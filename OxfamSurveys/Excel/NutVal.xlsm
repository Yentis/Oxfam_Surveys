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xml" ContentType="application/vnd.openxmlformats-officedocument.spreadsheetml.comments+xml"/>
  <Override PartName="/xl/drawings/drawing1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4.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pivotTables/pivotTable1.xml" ContentType="application/vnd.openxmlformats-officedocument.spreadsheetml.pivotTable+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pivotTables/pivotTable2.xml" ContentType="application/vnd.openxmlformats-officedocument.spreadsheetml.pivotTable+xml"/>
  <Override PartName="/xl/drawings/drawing1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harts/chart1.xml" ContentType="application/vnd.openxmlformats-officedocument.drawingml.chart+xml"/>
  <Override PartName="/xl/pivotTables/pivotTable3.xml" ContentType="application/vnd.openxmlformats-officedocument.spreadsheetml.pivotTable+xml"/>
  <Override PartName="/xl/drawings/drawing1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harts/chart2.xml" ContentType="application/vnd.openxmlformats-officedocument.drawingml.chart+xml"/>
  <Override PartName="/xl/pivotTables/pivotTable4.xml" ContentType="application/vnd.openxmlformats-officedocument.spreadsheetml.pivotTable+xml"/>
  <Override PartName="/xl/drawings/drawing1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harts/chart3.xml" ContentType="application/vnd.openxmlformats-officedocument.drawingml.chart+xml"/>
  <Override PartName="/xl/pivotTables/pivotTable5.xml" ContentType="application/vnd.openxmlformats-officedocument.spreadsheetml.pivotTable+xml"/>
  <Override PartName="/xl/drawings/drawing1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harts/chart4.xml" ContentType="application/vnd.openxmlformats-officedocument.drawingml.chart+xml"/>
  <Override PartName="/xl/drawings/drawing2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harts/chart5.xml" ContentType="application/vnd.openxmlformats-officedocument.drawingml.chart+xml"/>
  <Override PartName="/xl/drawings/drawing21.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harts/chart6.xml" ContentType="application/vnd.openxmlformats-officedocument.drawingml.chart+xml"/>
  <Override PartName="/xl/drawings/drawing2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harts/chart7.xml" ContentType="application/vnd.openxmlformats-officedocument.drawingml.chart+xml"/>
  <Override PartName="/xl/drawings/drawing23.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harts/chart8.xml" ContentType="application/vnd.openxmlformats-officedocument.drawingml.chart+xml"/>
  <Override PartName="/xl/drawings/drawing24.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harts/chart9.xml" ContentType="application/vnd.openxmlformats-officedocument.drawingml.chart+xml"/>
  <Override PartName="/xl/drawings/drawing2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6.xml" ContentType="application/vnd.openxmlformats-officedocument.drawing+xml"/>
  <Override PartName="/xl/ctrlProps/ctrlProp121.xml" ContentType="application/vnd.ms-excel.controlproperties+xml"/>
  <Override PartName="/xl/drawings/drawing27.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saveExternalLinkValues="0" codeName="ThisWorkbook" hidePivotFieldList="1"/>
  <mc:AlternateContent xmlns:mc="http://schemas.openxmlformats.org/markup-compatibility/2006">
    <mc:Choice Requires="x15">
      <x15ac:absPath xmlns:x15ac="http://schemas.microsoft.com/office/spreadsheetml/2010/11/ac" url="C:\Users\Yentl-PC\Downloads\"/>
    </mc:Choice>
  </mc:AlternateContent>
  <bookViews>
    <workbookView showSheetTabs="0" xWindow="0" yWindow="0" windowWidth="28800" windowHeight="12435" tabRatio="800" firstSheet="5" activeTab="12"/>
  </bookViews>
  <sheets>
    <sheet name="Home" sheetId="3" r:id="rId1"/>
    <sheet name="Help on Whats New" sheetId="40" r:id="rId2"/>
    <sheet name="Help on Screen view" sheetId="29" r:id="rId3"/>
    <sheet name="Help on Macros" sheetId="30" r:id="rId4"/>
    <sheet name="Help on Calculation" sheetId="6" r:id="rId5"/>
    <sheet name="Help on Database" sheetId="41" r:id="rId6"/>
    <sheet name="Help on OSDM" sheetId="10" r:id="rId7"/>
    <sheet name="Help on tracking" sheetId="11" r:id="rId8"/>
    <sheet name="Help on Logistics" sheetId="76" r:id="rId9"/>
    <sheet name="Acknowledgments" sheetId="52" r:id="rId10"/>
    <sheet name="Abbreviations" sheetId="85" r:id="rId11"/>
    <sheet name="Database" sheetId="27" r:id="rId12"/>
    <sheet name="Calculation Sheet" sheetId="1" r:id="rId13"/>
    <sheet name="SavedData" sheetId="64" r:id="rId14"/>
    <sheet name="LogisticsCalculator" sheetId="75" r:id="rId15"/>
    <sheet name="PivotTable1" sheetId="80" r:id="rId16"/>
    <sheet name="PivotChart1" sheetId="81" r:id="rId17"/>
    <sheet name="PivotChart2" sheetId="82" r:id="rId18"/>
    <sheet name="PivotChart3" sheetId="83" r:id="rId19"/>
    <sheet name="PivotChart4" sheetId="84" r:id="rId20"/>
    <sheet name="Macronutrient Pie Chart" sheetId="33" r:id="rId21"/>
    <sheet name="Vitamin Bar Chart" sheetId="53" r:id="rId22"/>
    <sheet name="Vitamin Radar Chart" sheetId="54" r:id="rId23"/>
    <sheet name="Mineral Bar Chart" sheetId="26" r:id="rId24"/>
    <sheet name="Mineral Radar Chart" sheetId="48" r:id="rId25"/>
    <sheet name="Food Basket Monitoring " sheetId="4" r:id="rId26"/>
    <sheet name="FBM Data Collection Sheet" sheetId="36" r:id="rId27"/>
    <sheet name="FBM Results" sheetId="5" r:id="rId28"/>
  </sheets>
  <definedNames>
    <definedName name="_xlnm._FilterDatabase" localSheetId="11" hidden="1">Database!$C$11:$Z$199</definedName>
    <definedName name="CalculatorNutrientData" hidden="1">'Calculation Sheet'!$F$110:$AC$347</definedName>
    <definedName name="CalculatorReq" hidden="1">'Calculation Sheet'!$G$49:$AC$49</definedName>
    <definedName name="CalculatorUL" hidden="1">'Calculation Sheet'!$G$50:$AC$50</definedName>
    <definedName name="DatabaseNutrientData" hidden="1">Database!$C$12:$Z$199</definedName>
    <definedName name="Duration" hidden="1">LogisticsCalculator!$G$7</definedName>
    <definedName name="FatPercentLowerLimit" hidden="1">'Calculation Sheet'!$F$103</definedName>
    <definedName name="FatPercentUpperLimit" hidden="1">'Calculation Sheet'!$F$104</definedName>
    <definedName name="FilterCriteria" hidden="1">Database!$A$247:$A$261</definedName>
    <definedName name="FilterValue" hidden="1">Database!$A$218</definedName>
    <definedName name="GREnergyTarget" hidden="1">'Calculation Sheet'!$F$102</definedName>
    <definedName name="GroupSelection" hidden="1">'Calculation Sheet'!$F$101</definedName>
    <definedName name="LogsFoodItemList" hidden="1">LogisticsCalculator!$B$11:$B$30</definedName>
    <definedName name="LogsFoodItemListOther" hidden="1">LogisticsCalculator!$B$31:$B$50</definedName>
    <definedName name="LogsRationAmount" hidden="1">LogisticsCalculator!$C$11:$C$30</definedName>
    <definedName name="LogsRationAmountOther" hidden="1">LogisticsCalculator!$C$31:$C$50</definedName>
    <definedName name="PercentLimitFat" hidden="1">'Calculation Sheet'!$F$103</definedName>
    <definedName name="PopSize" hidden="1">LogisticsCalculator!$C$7</definedName>
    <definedName name="RationAmounts" hidden="1">'Calculation Sheet'!$F$8:$F$17</definedName>
    <definedName name="RationAmountsOther" hidden="1">'Calculation Sheet'!$F$28:$F$29</definedName>
    <definedName name="RationDate" hidden="1">'Calculation Sheet'!$D$56:$F$56</definedName>
    <definedName name="RationEnergyContent" hidden="1">'Calculation Sheet'!$G$48</definedName>
    <definedName name="RationEnergyTarget" hidden="1">'Calculation Sheet'!$G$49</definedName>
    <definedName name="RationFatContent" hidden="1">'Calculation Sheet'!$I$48</definedName>
    <definedName name="RationItemList" hidden="1">'Calculation Sheet'!$C$8:$C$17</definedName>
    <definedName name="RationItemListOther" hidden="1">'Calculation Sheet'!$C$28:$C$29</definedName>
    <definedName name="RationName" hidden="1">'Calculation Sheet'!$D$54:$G$54</definedName>
    <definedName name="RationPercentSupplied" hidden="1">'Calculation Sheet'!$G$51:$AC$51</definedName>
    <definedName name="RationProteinContent" hidden="1">'Calculation Sheet'!$H$48</definedName>
    <definedName name="RationRequirements" hidden="1">'Calculation Sheet'!$F$49:$AC$49</definedName>
    <definedName name="RationTotals" hidden="1">'Calculation Sheet'!$F$48:$AC$48</definedName>
    <definedName name="RationValues" hidden="1">'Calculation Sheet'!$F$8:$AC$27</definedName>
    <definedName name="RationValuesOther" hidden="1">'Calculation Sheet'!$F$28:$AC$47</definedName>
    <definedName name="Req_05_10_yrs" hidden="1">'Calculation Sheet'!$G$78:$AC$78</definedName>
    <definedName name="Req_06_23_mon" hidden="1">'Calculation Sheet'!$G$72:$AC$72</definedName>
    <definedName name="Req_06_59_mon" hidden="1">'Calculation Sheet'!$G$76:$AC$76</definedName>
    <definedName name="Req_10_15_yrs" hidden="1">'Calculation Sheet'!$G$80:$AC$80</definedName>
    <definedName name="Req_15_18_yrs" hidden="1">'Calculation Sheet'!$G$82:$AC$82</definedName>
    <definedName name="Req_18_60_yrs" hidden="1">'Calculation Sheet'!$G$84:$AC$84</definedName>
    <definedName name="Req_18_60_yrs_females" hidden="1">'Calculation Sheet'!$G$88:$AC$88</definedName>
    <definedName name="Req_18_60_yrs_males" hidden="1">'Calculation Sheet'!$G$86:$AC$86</definedName>
    <definedName name="Req_24_59_mon" hidden="1">'Calculation Sheet'!$G$74:$AC$74</definedName>
    <definedName name="Req_60_years" hidden="1">'Calculation Sheet'!$G$90:$AC$90</definedName>
    <definedName name="Req_EnergyPercents" hidden="1">'Calculation Sheet'!$B$70:$F$97</definedName>
    <definedName name="Req_GeneralRation" hidden="1">'Calculation Sheet'!$G$70:$AC$70</definedName>
    <definedName name="Req_Lactating" hidden="1">'Calculation Sheet'!$G$94:$AC$94</definedName>
    <definedName name="Req_Pregnant" hidden="1">'Calculation Sheet'!$G$92:$AC$92</definedName>
    <definedName name="Req_WFP_HIV_Adults" hidden="1">'Calculation Sheet'!$G$96:$AC$96</definedName>
    <definedName name="Req_WFP_PrimarySchool" hidden="1">'Calculation Sheet'!$G$98:$AC$98</definedName>
    <definedName name="SixToTwelveMonths" hidden="1">'Calculation Sheet'!$I$10:$I$15</definedName>
    <definedName name="SortCriteria" hidden="1">Database!$A$221:$A$244</definedName>
    <definedName name="SortValue" hidden="1">Database!$A$215</definedName>
    <definedName name="UL_05_10_yrs" hidden="1">'Calculation Sheet'!$G$79:$AC$79</definedName>
    <definedName name="UL_06_23_mon" hidden="1">'Calculation Sheet'!$G$73:$AC$73</definedName>
    <definedName name="UL_06_59_mon" hidden="1">'Calculation Sheet'!$G$77:$AC$77</definedName>
    <definedName name="UL_10_15_yrs" hidden="1">'Calculation Sheet'!$G$81:$AC$81</definedName>
    <definedName name="UL_15_18_yrs" hidden="1">'Calculation Sheet'!$G$83:$AC$83</definedName>
    <definedName name="UL_18_30_yrs" hidden="1">'Calculation Sheet'!$G$85:$AC$85</definedName>
    <definedName name="UL_24_59_mon" hidden="1">'Calculation Sheet'!$G$75:$AC$75</definedName>
    <definedName name="UL_30_60_yrs" hidden="1">'Calculation Sheet'!$G$87:$AC$87</definedName>
    <definedName name="UL_60_years" hidden="1">'Calculation Sheet'!$G$91:$AC$91</definedName>
    <definedName name="UL_GeneralRation" hidden="1">'Calculation Sheet'!$G$71:$AC$71</definedName>
    <definedName name="UL_Lactating" hidden="1">'Calculation Sheet'!$G$95:$AC$95</definedName>
    <definedName name="UL_Pregnant" hidden="1">'Calculation Sheet'!$G$93:$AC$93</definedName>
    <definedName name="UL_WFP_HIV_Adults" hidden="1">'Calculation Sheet'!$G$97:$AC$97</definedName>
    <definedName name="UL_WFP_PrimarySchool" hidden="1">'Calculation Sheet'!$G$99:$AC$99</definedName>
  </definedNames>
  <calcPr calcId="152511" concurrentCalc="0"/>
  <customWorkbookViews>
    <customWorkbookView name="WORKING VIEW" guid="{662328B1-0775-4F70-9698-998A355FC5BA}" maximized="1" showSheetTabs="0" windowWidth="1020" windowHeight="597" tabRatio="324" activeSheetId="4" showFormulaBar="0"/>
    <customWorkbookView name="Editing View" guid="{0765DE49-5067-4ED5-85D4-D9739E06A59B}" maximized="1" windowWidth="1020" windowHeight="606" tabRatio="324" activeSheetId="4"/>
    <customWorkbookView name="Menu page - working view" guid="{05B716BD-D5FA-43A1-BE8D-50F5C9430082}" maximized="1" showHorizontalScroll="0" showVerticalScroll="0" showSheetTabs="0" windowWidth="1018" windowHeight="738" tabRatio="324" activeSheetId="3" showFormulaBar="0" showStatusbar="0"/>
    <customWorkbookView name="Calculation Sheet - Working View" guid="{D9DE8450-BFB9-43C9-99CE-F387EC95D082}" maximized="1" showHorizontalScroll="0" showSheetTabs="0" windowWidth="1020" windowHeight="715" tabRatio="324" activeSheetId="1" showFormulaBar="0" showStatusbar="0"/>
    <customWorkbookView name="Database working view" guid="{5C3D267B-61EB-4FFE-BD22-532277CBABA0}" maximized="1" showHorizontalScroll="0" showSheetTabs="0" windowWidth="1020" windowHeight="598" tabRatio="324" activeSheetId="27" showStatusbar="0"/>
    <customWorkbookView name="Database editiing view" guid="{BA4F6A8B-B7E1-468F-AE8D-B0079A2D20E5}" maximized="1" windowWidth="1020" windowHeight="598" tabRatio="324" activeSheetId="27" showStatusbar="0"/>
    <customWorkbookView name="Tracking Database Editing View" guid="{93429E49-92B0-4925-8D04-D425145938FD}" maximized="1" windowWidth="1020" windowHeight="571" tabRatio="663" activeSheetId="25" showStatusbar="0"/>
    <customWorkbookView name="Tracking Database Working view" guid="{E422BA57-AFCC-4512-A22E-E75FB5198808}" maximized="1" showHorizontalScroll="0" showVerticalScroll="0" showSheetTabs="0" windowWidth="1018" windowHeight="659" tabRatio="663" activeSheetId="25" showFormulaBar="0" showStatusbar="0"/>
    <customWorkbookView name="Calculation Sheet - Editing View" guid="{818A4ACB-56B8-4736-9E14-BA18A36B5B2F}" maximized="1" windowWidth="1018" windowHeight="660" tabRatio="525" activeSheetId="1" showFormulaBar="0" showStatusbar="0"/>
    <customWorkbookView name="Calculation Sheet Editing 19.05.2011" guid="{3EA4A73F-A388-49D1-AD67-268667AF56E2}" maximized="1" windowWidth="1231" windowHeight="743" tabRatio="525" activeSheetId="1" showFormulaBar="0" showStatusbar="0"/>
  </customWorkbookViews>
  <pivotCaches>
    <pivotCache cacheId="5" r:id="rId29"/>
    <pivotCache cacheId="6" r:id="rId30"/>
    <pivotCache cacheId="7" r:id="rId31"/>
    <pivotCache cacheId="8" r:id="rId32"/>
    <pivotCache cacheId="9" r:id="rId33"/>
  </pivotCaches>
</workbook>
</file>

<file path=xl/calcChain.xml><?xml version="1.0" encoding="utf-8"?>
<calcChain xmlns="http://schemas.openxmlformats.org/spreadsheetml/2006/main">
  <c r="G49" i="1" l="1"/>
  <c r="AC49" i="1"/>
  <c r="AB49" i="1"/>
  <c r="AA49" i="1"/>
  <c r="Z49" i="1"/>
  <c r="Y49" i="1"/>
  <c r="W49" i="1"/>
  <c r="V49" i="1"/>
  <c r="U49" i="1"/>
  <c r="T49" i="1"/>
  <c r="S49" i="1"/>
  <c r="R49" i="1"/>
  <c r="Q49" i="1"/>
  <c r="P49" i="1"/>
  <c r="O49" i="1"/>
  <c r="N49" i="1"/>
  <c r="M49" i="1"/>
  <c r="L49" i="1"/>
  <c r="K49" i="1"/>
  <c r="J49" i="1"/>
  <c r="I49" i="1"/>
  <c r="H49" i="1"/>
  <c r="Y248" i="1"/>
  <c r="W248" i="1"/>
  <c r="V248" i="1"/>
  <c r="T248" i="1"/>
  <c r="R248" i="1"/>
  <c r="Q248" i="1"/>
  <c r="P248" i="1"/>
  <c r="M248" i="1"/>
  <c r="M250" i="1"/>
  <c r="Y249" i="1"/>
  <c r="Y250" i="1"/>
  <c r="W249" i="1"/>
  <c r="V249" i="1"/>
  <c r="V250" i="1"/>
  <c r="T249" i="1"/>
  <c r="P249" i="1"/>
  <c r="P250" i="1"/>
  <c r="M249" i="1"/>
  <c r="R249" i="1"/>
  <c r="R250" i="1"/>
  <c r="Q249" i="1"/>
  <c r="Q250" i="1"/>
  <c r="X287" i="1"/>
  <c r="X286" i="1"/>
  <c r="X274" i="1"/>
  <c r="X273" i="1"/>
  <c r="X196" i="1"/>
  <c r="X152" i="1"/>
  <c r="X134" i="1"/>
  <c r="W261" i="1"/>
  <c r="W259" i="1"/>
  <c r="W260" i="1"/>
  <c r="W258" i="1"/>
  <c r="W256" i="1"/>
  <c r="W255" i="1"/>
  <c r="W214" i="1"/>
  <c r="W213" i="1"/>
  <c r="W193" i="1"/>
  <c r="W192" i="1"/>
  <c r="W182" i="1"/>
  <c r="W128" i="1"/>
  <c r="W250" i="1"/>
  <c r="T250" i="1"/>
  <c r="F11" i="75"/>
  <c r="L11" i="75"/>
  <c r="F13" i="75"/>
  <c r="G13" i="75"/>
  <c r="H13" i="75"/>
  <c r="F31" i="75"/>
  <c r="G31" i="75"/>
  <c r="H31" i="75"/>
  <c r="F12" i="75"/>
  <c r="G12" i="75"/>
  <c r="H12" i="75"/>
  <c r="F15" i="75"/>
  <c r="G15" i="75"/>
  <c r="H15" i="75"/>
  <c r="AC15" i="1"/>
  <c r="AC18" i="1"/>
  <c r="AC19" i="1"/>
  <c r="AC20" i="1"/>
  <c r="AC21" i="1"/>
  <c r="AC22" i="1"/>
  <c r="AC23" i="1"/>
  <c r="AC24" i="1"/>
  <c r="AC25" i="1"/>
  <c r="AC26" i="1"/>
  <c r="AC27" i="1"/>
  <c r="AA15" i="1"/>
  <c r="AB15" i="1"/>
  <c r="AA16" i="1"/>
  <c r="AB16" i="1"/>
  <c r="AA17" i="1"/>
  <c r="AB17" i="1"/>
  <c r="Y18" i="1"/>
  <c r="Z18" i="1"/>
  <c r="AA18" i="1"/>
  <c r="AB18" i="1"/>
  <c r="Y19" i="1"/>
  <c r="Z19" i="1"/>
  <c r="AA19" i="1"/>
  <c r="AB19" i="1"/>
  <c r="Y20" i="1"/>
  <c r="Z20" i="1"/>
  <c r="AA20" i="1"/>
  <c r="AB20" i="1"/>
  <c r="Y21" i="1"/>
  <c r="Z21" i="1"/>
  <c r="AA21" i="1"/>
  <c r="AB21" i="1"/>
  <c r="Y22" i="1"/>
  <c r="Z22" i="1"/>
  <c r="AA22" i="1"/>
  <c r="AB22" i="1"/>
  <c r="Y23" i="1"/>
  <c r="Z23" i="1"/>
  <c r="AA23" i="1"/>
  <c r="AB23" i="1"/>
  <c r="Y24" i="1"/>
  <c r="Z24" i="1"/>
  <c r="AA24" i="1"/>
  <c r="AB24" i="1"/>
  <c r="Y25" i="1"/>
  <c r="Z25" i="1"/>
  <c r="AA25" i="1"/>
  <c r="AB25" i="1"/>
  <c r="Y26" i="1"/>
  <c r="Z26" i="1"/>
  <c r="AA26" i="1"/>
  <c r="AB26" i="1"/>
  <c r="Y27" i="1"/>
  <c r="Z27" i="1"/>
  <c r="AA27" i="1"/>
  <c r="AB27" i="1"/>
  <c r="X17" i="1"/>
  <c r="X18" i="1"/>
  <c r="X19" i="1"/>
  <c r="X20" i="1"/>
  <c r="X21" i="1"/>
  <c r="X22" i="1"/>
  <c r="X23" i="1"/>
  <c r="X24" i="1"/>
  <c r="X25" i="1"/>
  <c r="X26" i="1"/>
  <c r="X27" i="1"/>
  <c r="C6" i="5"/>
  <c r="H6" i="5"/>
  <c r="C8" i="5"/>
  <c r="H8" i="5"/>
  <c r="J8" i="5"/>
  <c r="AG12" i="4"/>
  <c r="AG13" i="4"/>
  <c r="AG14" i="4"/>
  <c r="AG15" i="4"/>
  <c r="AG16" i="4"/>
  <c r="AG17" i="4"/>
  <c r="AG18" i="4"/>
  <c r="AG19" i="4"/>
  <c r="E14" i="5"/>
  <c r="B23" i="5"/>
  <c r="C23" i="5"/>
  <c r="D23" i="5"/>
  <c r="B24" i="5"/>
  <c r="C24" i="5"/>
  <c r="D24" i="5"/>
  <c r="B25" i="5"/>
  <c r="C25" i="5"/>
  <c r="D25" i="5"/>
  <c r="B26" i="5"/>
  <c r="C26" i="5"/>
  <c r="D26" i="5"/>
  <c r="B27" i="5"/>
  <c r="C27" i="5"/>
  <c r="D27" i="5"/>
  <c r="B28" i="5"/>
  <c r="C28" i="5"/>
  <c r="D28" i="5"/>
  <c r="B29" i="5"/>
  <c r="C29" i="5"/>
  <c r="D29" i="5"/>
  <c r="C30" i="5"/>
  <c r="D30" i="5"/>
  <c r="BC11" i="4" a="1"/>
  <c r="BC11" i="4"/>
  <c r="AU12" i="4"/>
  <c r="E13" i="5"/>
  <c r="AV12" i="4"/>
  <c r="E41" i="5"/>
  <c r="AW12" i="4"/>
  <c r="E42" i="5"/>
  <c r="BC12" i="4"/>
  <c r="AV13" i="4"/>
  <c r="C38" i="5"/>
  <c r="AW13" i="4"/>
  <c r="C39" i="5"/>
  <c r="BC13" i="4"/>
  <c r="AV14" i="4"/>
  <c r="D38" i="5"/>
  <c r="AW14" i="4"/>
  <c r="D39" i="5"/>
  <c r="BC14" i="4"/>
  <c r="AV15" i="4"/>
  <c r="E38" i="5"/>
  <c r="F38" i="5"/>
  <c r="AW15" i="4"/>
  <c r="E39" i="5"/>
  <c r="F39" i="5"/>
  <c r="BC15" i="4"/>
  <c r="BC16" i="4"/>
  <c r="AV17" i="4"/>
  <c r="G38" i="5"/>
  <c r="AW17" i="4"/>
  <c r="G39" i="5"/>
  <c r="BC17" i="4"/>
  <c r="W19" i="4"/>
  <c r="AV19" i="4"/>
  <c r="I38" i="5"/>
  <c r="AW19" i="4"/>
  <c r="I39" i="5"/>
  <c r="F26" i="4"/>
  <c r="K26" i="4"/>
  <c r="L26" i="4"/>
  <c r="M26" i="4"/>
  <c r="P26" i="4"/>
  <c r="U26" i="4"/>
  <c r="Z26" i="4"/>
  <c r="AE26" i="4"/>
  <c r="AJ26" i="4"/>
  <c r="B28" i="4"/>
  <c r="F28" i="4"/>
  <c r="H28" i="4"/>
  <c r="I28" i="4"/>
  <c r="K28" i="4"/>
  <c r="M28" i="4"/>
  <c r="N28" i="4"/>
  <c r="O28" i="4"/>
  <c r="P28" i="4"/>
  <c r="R28" i="4"/>
  <c r="S28" i="4"/>
  <c r="T28" i="4"/>
  <c r="U28" i="4"/>
  <c r="W28" i="4"/>
  <c r="X28" i="4"/>
  <c r="Y28" i="4"/>
  <c r="Z28" i="4"/>
  <c r="AB28" i="4"/>
  <c r="AC28" i="4"/>
  <c r="AE28" i="4"/>
  <c r="AG28" i="4"/>
  <c r="AH28" i="4"/>
  <c r="AI28" i="4"/>
  <c r="AJ28" i="4"/>
  <c r="AL28" i="4"/>
  <c r="AM28" i="4"/>
  <c r="AN28" i="4"/>
  <c r="F29" i="4"/>
  <c r="K29" i="4"/>
  <c r="P29" i="4"/>
  <c r="U29" i="4"/>
  <c r="Z29" i="4"/>
  <c r="AE29" i="4"/>
  <c r="AJ29" i="4"/>
  <c r="AO28" i="4"/>
  <c r="AP28" i="4"/>
  <c r="AQ28" i="4"/>
  <c r="B30" i="4"/>
  <c r="F30" i="4"/>
  <c r="H30" i="4"/>
  <c r="I30" i="4"/>
  <c r="J30" i="4"/>
  <c r="K30" i="4"/>
  <c r="M30" i="4"/>
  <c r="N30" i="4"/>
  <c r="O30" i="4"/>
  <c r="P30" i="4"/>
  <c r="R30" i="4"/>
  <c r="S30" i="4"/>
  <c r="T30" i="4"/>
  <c r="U30" i="4"/>
  <c r="W30" i="4"/>
  <c r="X30" i="4"/>
  <c r="Y30" i="4"/>
  <c r="Z30" i="4"/>
  <c r="AB30" i="4"/>
  <c r="AC30" i="4"/>
  <c r="AD30" i="4"/>
  <c r="AE30" i="4"/>
  <c r="AG30" i="4"/>
  <c r="AH30" i="4"/>
  <c r="AJ30" i="4"/>
  <c r="AL30" i="4"/>
  <c r="AM30" i="4"/>
  <c r="AN30" i="4"/>
  <c r="B31" i="4"/>
  <c r="F31" i="4"/>
  <c r="K31" i="4"/>
  <c r="P31" i="4"/>
  <c r="U31" i="4"/>
  <c r="Z31" i="4"/>
  <c r="AE31" i="4"/>
  <c r="AJ31" i="4"/>
  <c r="AO30" i="4"/>
  <c r="AP30" i="4"/>
  <c r="AQ30" i="4"/>
  <c r="B32" i="4"/>
  <c r="F32" i="4"/>
  <c r="H32" i="4"/>
  <c r="I32" i="4"/>
  <c r="K32" i="4"/>
  <c r="M32" i="4"/>
  <c r="N32" i="4"/>
  <c r="O32" i="4"/>
  <c r="P32" i="4"/>
  <c r="R32" i="4"/>
  <c r="S32" i="4"/>
  <c r="T32" i="4"/>
  <c r="U32" i="4"/>
  <c r="W32" i="4"/>
  <c r="X32" i="4"/>
  <c r="Y32" i="4"/>
  <c r="Z32" i="4"/>
  <c r="AB32" i="4"/>
  <c r="AC32" i="4"/>
  <c r="AD32" i="4"/>
  <c r="AE32" i="4"/>
  <c r="AG32" i="4"/>
  <c r="AH32" i="4"/>
  <c r="AI32" i="4"/>
  <c r="AJ32" i="4"/>
  <c r="AL32" i="4"/>
  <c r="AM32" i="4"/>
  <c r="AN32" i="4"/>
  <c r="B33" i="4"/>
  <c r="F33" i="4"/>
  <c r="K33" i="4"/>
  <c r="P33" i="4"/>
  <c r="U33" i="4"/>
  <c r="Z33" i="4"/>
  <c r="AE33" i="4"/>
  <c r="AJ33" i="4"/>
  <c r="AO32" i="4"/>
  <c r="AP32" i="4"/>
  <c r="AQ32" i="4"/>
  <c r="B34" i="4"/>
  <c r="F34" i="4"/>
  <c r="H34" i="4"/>
  <c r="I34" i="4"/>
  <c r="J34" i="4"/>
  <c r="K34" i="4"/>
  <c r="M34" i="4"/>
  <c r="N34" i="4"/>
  <c r="O34" i="4"/>
  <c r="P34" i="4"/>
  <c r="R34" i="4"/>
  <c r="S34" i="4"/>
  <c r="T34" i="4"/>
  <c r="U34" i="4"/>
  <c r="W34" i="4"/>
  <c r="X34" i="4"/>
  <c r="Y34" i="4"/>
  <c r="Z34" i="4"/>
  <c r="AB34" i="4"/>
  <c r="AC34" i="4"/>
  <c r="AD34" i="4"/>
  <c r="AE34" i="4"/>
  <c r="AG34" i="4"/>
  <c r="AH34" i="4"/>
  <c r="AI34" i="4"/>
  <c r="AJ34" i="4"/>
  <c r="AL34" i="4"/>
  <c r="AM34" i="4"/>
  <c r="AN34" i="4"/>
  <c r="B35" i="4"/>
  <c r="F35" i="4"/>
  <c r="K35" i="4"/>
  <c r="P35" i="4"/>
  <c r="U35" i="4"/>
  <c r="Z35" i="4"/>
  <c r="AE35" i="4"/>
  <c r="AJ35" i="4"/>
  <c r="AO34" i="4"/>
  <c r="AP34" i="4"/>
  <c r="AQ34" i="4"/>
  <c r="B36" i="4"/>
  <c r="F36" i="4"/>
  <c r="H36" i="4"/>
  <c r="I36" i="4"/>
  <c r="J36" i="4"/>
  <c r="K36" i="4"/>
  <c r="M36" i="4"/>
  <c r="N36" i="4"/>
  <c r="O36" i="4"/>
  <c r="P36" i="4"/>
  <c r="R36" i="4"/>
  <c r="S36" i="4"/>
  <c r="T36" i="4"/>
  <c r="U36" i="4"/>
  <c r="W36" i="4"/>
  <c r="X36" i="4"/>
  <c r="Y36" i="4"/>
  <c r="Z36" i="4"/>
  <c r="AB36" i="4"/>
  <c r="AC36" i="4"/>
  <c r="AD36" i="4"/>
  <c r="AE36" i="4"/>
  <c r="AG36" i="4"/>
  <c r="AH36" i="4"/>
  <c r="AI36" i="4"/>
  <c r="AJ36" i="4"/>
  <c r="AL36" i="4"/>
  <c r="AM36" i="4"/>
  <c r="AN36" i="4"/>
  <c r="F37" i="4"/>
  <c r="K37" i="4"/>
  <c r="P37" i="4"/>
  <c r="U37" i="4"/>
  <c r="Z37" i="4"/>
  <c r="AE37" i="4"/>
  <c r="AJ37" i="4"/>
  <c r="AO36" i="4"/>
  <c r="AP36" i="4"/>
  <c r="AQ36" i="4"/>
  <c r="B37" i="4"/>
  <c r="B38" i="4"/>
  <c r="F38" i="4"/>
  <c r="H38" i="4"/>
  <c r="J38" i="4"/>
  <c r="K38" i="4"/>
  <c r="M38" i="4"/>
  <c r="O38" i="4"/>
  <c r="N38" i="4"/>
  <c r="P38" i="4"/>
  <c r="R38" i="4"/>
  <c r="T38" i="4"/>
  <c r="U38" i="4"/>
  <c r="W38" i="4"/>
  <c r="Y38" i="4"/>
  <c r="B39" i="4"/>
  <c r="B40" i="4"/>
  <c r="B41" i="4"/>
  <c r="B42" i="4"/>
  <c r="J28" i="4"/>
  <c r="AD28" i="4"/>
  <c r="AI30" i="4"/>
  <c r="J32" i="4"/>
  <c r="I38" i="4"/>
  <c r="S38" i="4"/>
  <c r="X38" i="4"/>
  <c r="Z38" i="4"/>
  <c r="AB38" i="4"/>
  <c r="AC38" i="4"/>
  <c r="AD38" i="4"/>
  <c r="AE38" i="4"/>
  <c r="AG38" i="4"/>
  <c r="AH38" i="4"/>
  <c r="AI38" i="4"/>
  <c r="AJ38" i="4"/>
  <c r="AL38" i="4"/>
  <c r="AM38" i="4"/>
  <c r="AN38" i="4"/>
  <c r="F39" i="4"/>
  <c r="K39" i="4"/>
  <c r="P39" i="4"/>
  <c r="U39" i="4"/>
  <c r="Z39" i="4"/>
  <c r="AE39" i="4"/>
  <c r="AJ39" i="4"/>
  <c r="AO38" i="4"/>
  <c r="AP38" i="4"/>
  <c r="AQ38" i="4"/>
  <c r="F40" i="4"/>
  <c r="H40" i="4"/>
  <c r="I40" i="4"/>
  <c r="J40" i="4"/>
  <c r="K40" i="4"/>
  <c r="M40" i="4"/>
  <c r="N40" i="4"/>
  <c r="O40" i="4"/>
  <c r="P40" i="4"/>
  <c r="R40" i="4"/>
  <c r="S40" i="4"/>
  <c r="T40" i="4"/>
  <c r="U40" i="4"/>
  <c r="W40" i="4"/>
  <c r="X40" i="4"/>
  <c r="Y40" i="4"/>
  <c r="Z40" i="4"/>
  <c r="AB40" i="4"/>
  <c r="AC40" i="4"/>
  <c r="AD40" i="4"/>
  <c r="AE40" i="4"/>
  <c r="AG40" i="4"/>
  <c r="AH40" i="4"/>
  <c r="AI40" i="4"/>
  <c r="AJ40" i="4"/>
  <c r="AL40" i="4"/>
  <c r="AM40" i="4"/>
  <c r="AN40" i="4"/>
  <c r="F41" i="4"/>
  <c r="K41" i="4"/>
  <c r="P41" i="4"/>
  <c r="U41" i="4"/>
  <c r="Z41" i="4"/>
  <c r="AE41" i="4"/>
  <c r="AJ41" i="4"/>
  <c r="AO40" i="4"/>
  <c r="AP40" i="4"/>
  <c r="AQ40" i="4"/>
  <c r="F42" i="4"/>
  <c r="H42" i="4"/>
  <c r="I42" i="4"/>
  <c r="J42" i="4"/>
  <c r="K42" i="4"/>
  <c r="M42" i="4"/>
  <c r="N42" i="4"/>
  <c r="O42" i="4"/>
  <c r="P42" i="4"/>
  <c r="R42" i="4"/>
  <c r="S42" i="4"/>
  <c r="T42" i="4"/>
  <c r="U42" i="4"/>
  <c r="W42" i="4"/>
  <c r="X42" i="4"/>
  <c r="Y42" i="4"/>
  <c r="Z42" i="4"/>
  <c r="AB42" i="4"/>
  <c r="AC42" i="4"/>
  <c r="AD42" i="4"/>
  <c r="AE42" i="4"/>
  <c r="AG42" i="4"/>
  <c r="AH42" i="4"/>
  <c r="AI42" i="4"/>
  <c r="AJ42" i="4"/>
  <c r="AL42" i="4"/>
  <c r="AM42" i="4"/>
  <c r="AN42" i="4"/>
  <c r="F43" i="4"/>
  <c r="K43" i="4"/>
  <c r="P43" i="4"/>
  <c r="U43" i="4"/>
  <c r="Z43" i="4"/>
  <c r="AE43" i="4"/>
  <c r="AJ43" i="4"/>
  <c r="AO42" i="4"/>
  <c r="AP42" i="4"/>
  <c r="AQ42" i="4"/>
  <c r="B43" i="4"/>
  <c r="B44" i="4"/>
  <c r="F44" i="4"/>
  <c r="H44" i="4"/>
  <c r="I44" i="4"/>
  <c r="J44" i="4"/>
  <c r="K44" i="4"/>
  <c r="M44" i="4"/>
  <c r="N44" i="4"/>
  <c r="O44" i="4"/>
  <c r="P44" i="4"/>
  <c r="R44" i="4"/>
  <c r="S44" i="4"/>
  <c r="T44" i="4"/>
  <c r="U44" i="4"/>
  <c r="W44" i="4"/>
  <c r="X44" i="4"/>
  <c r="Y44" i="4"/>
  <c r="Z44" i="4"/>
  <c r="AB44" i="4"/>
  <c r="AC44" i="4"/>
  <c r="AD44" i="4"/>
  <c r="AE44" i="4"/>
  <c r="AG44" i="4"/>
  <c r="AH44" i="4"/>
  <c r="AI44" i="4"/>
  <c r="AJ44" i="4"/>
  <c r="AL44" i="4"/>
  <c r="AM44" i="4"/>
  <c r="AN44" i="4"/>
  <c r="F45" i="4"/>
  <c r="K45" i="4"/>
  <c r="P45" i="4"/>
  <c r="U45" i="4"/>
  <c r="Z45" i="4"/>
  <c r="AE45" i="4"/>
  <c r="AJ45" i="4"/>
  <c r="AO44" i="4"/>
  <c r="AP44" i="4"/>
  <c r="AQ44" i="4"/>
  <c r="B45" i="4"/>
  <c r="B46" i="4"/>
  <c r="F46" i="4"/>
  <c r="H46" i="4"/>
  <c r="I46" i="4"/>
  <c r="J46" i="4"/>
  <c r="K46" i="4"/>
  <c r="M46" i="4"/>
  <c r="N46" i="4"/>
  <c r="O46" i="4"/>
  <c r="P46" i="4"/>
  <c r="R46" i="4"/>
  <c r="S46" i="4"/>
  <c r="T46" i="4"/>
  <c r="U46" i="4"/>
  <c r="W46" i="4"/>
  <c r="X46" i="4"/>
  <c r="Y46" i="4"/>
  <c r="Z46" i="4"/>
  <c r="AB46" i="4"/>
  <c r="AC46" i="4"/>
  <c r="AD46" i="4"/>
  <c r="AE46" i="4"/>
  <c r="AG46" i="4"/>
  <c r="AH46" i="4"/>
  <c r="AI46" i="4"/>
  <c r="AJ46" i="4"/>
  <c r="AL46" i="4"/>
  <c r="AM46" i="4"/>
  <c r="AN46" i="4"/>
  <c r="F47" i="4"/>
  <c r="K47" i="4"/>
  <c r="P47" i="4"/>
  <c r="U47" i="4"/>
  <c r="Z47" i="4"/>
  <c r="AE47" i="4"/>
  <c r="AJ47" i="4"/>
  <c r="AO46" i="4"/>
  <c r="AP46" i="4"/>
  <c r="AQ46" i="4"/>
  <c r="B47" i="4"/>
  <c r="B48" i="4"/>
  <c r="F48" i="4"/>
  <c r="H48" i="4"/>
  <c r="I48" i="4"/>
  <c r="J48" i="4"/>
  <c r="K48" i="4"/>
  <c r="M48" i="4"/>
  <c r="N48" i="4"/>
  <c r="O48" i="4"/>
  <c r="P48" i="4"/>
  <c r="R48" i="4"/>
  <c r="S48" i="4"/>
  <c r="T48" i="4"/>
  <c r="U48" i="4"/>
  <c r="W48" i="4"/>
  <c r="X48" i="4"/>
  <c r="Y48" i="4"/>
  <c r="Z48" i="4"/>
  <c r="AB48" i="4"/>
  <c r="AC48" i="4"/>
  <c r="AD48" i="4"/>
  <c r="AE48" i="4"/>
  <c r="AG48" i="4"/>
  <c r="AH48" i="4"/>
  <c r="AI48" i="4"/>
  <c r="AJ48" i="4"/>
  <c r="AL48" i="4"/>
  <c r="AM48" i="4"/>
  <c r="AN48" i="4"/>
  <c r="F49" i="4"/>
  <c r="K49" i="4"/>
  <c r="P49" i="4"/>
  <c r="U49" i="4"/>
  <c r="Z49" i="4"/>
  <c r="AE49" i="4"/>
  <c r="AJ49" i="4"/>
  <c r="AO48" i="4"/>
  <c r="AP48" i="4"/>
  <c r="AQ48" i="4"/>
  <c r="B49" i="4"/>
  <c r="B50" i="4"/>
  <c r="F50" i="4"/>
  <c r="H50" i="4"/>
  <c r="I50" i="4"/>
  <c r="J50" i="4"/>
  <c r="K50" i="4"/>
  <c r="M50" i="4"/>
  <c r="N50" i="4"/>
  <c r="O50" i="4"/>
  <c r="P50" i="4"/>
  <c r="R50" i="4"/>
  <c r="S50" i="4"/>
  <c r="T50" i="4"/>
  <c r="U50" i="4"/>
  <c r="W50" i="4"/>
  <c r="X50" i="4"/>
  <c r="Y50" i="4"/>
  <c r="Z50" i="4"/>
  <c r="AB50" i="4"/>
  <c r="AC50" i="4"/>
  <c r="AD50" i="4"/>
  <c r="AE50" i="4"/>
  <c r="AG50" i="4"/>
  <c r="AH50" i="4"/>
  <c r="AI50" i="4"/>
  <c r="AJ50" i="4"/>
  <c r="AL50" i="4"/>
  <c r="AM50" i="4"/>
  <c r="AN50" i="4"/>
  <c r="F51" i="4"/>
  <c r="K51" i="4"/>
  <c r="P51" i="4"/>
  <c r="U51" i="4"/>
  <c r="Z51" i="4"/>
  <c r="AE51" i="4"/>
  <c r="AJ51" i="4"/>
  <c r="AO50" i="4"/>
  <c r="AP50" i="4"/>
  <c r="AQ50" i="4"/>
  <c r="B51" i="4"/>
  <c r="B52" i="4"/>
  <c r="F52" i="4"/>
  <c r="H52" i="4"/>
  <c r="I52" i="4"/>
  <c r="J52" i="4"/>
  <c r="K52" i="4"/>
  <c r="M52" i="4"/>
  <c r="N52" i="4"/>
  <c r="O52" i="4"/>
  <c r="P52" i="4"/>
  <c r="R52" i="4"/>
  <c r="S52" i="4"/>
  <c r="T52" i="4"/>
  <c r="U52" i="4"/>
  <c r="W52" i="4"/>
  <c r="X52" i="4"/>
  <c r="Y52" i="4"/>
  <c r="Z52" i="4"/>
  <c r="AB52" i="4"/>
  <c r="AC52" i="4"/>
  <c r="AD52" i="4"/>
  <c r="AE52" i="4"/>
  <c r="AG52" i="4"/>
  <c r="AH52" i="4"/>
  <c r="AI52" i="4"/>
  <c r="AJ52" i="4"/>
  <c r="AL52" i="4"/>
  <c r="AM52" i="4"/>
  <c r="AN52" i="4"/>
  <c r="F53" i="4"/>
  <c r="K53" i="4"/>
  <c r="P53" i="4"/>
  <c r="U53" i="4"/>
  <c r="Z53" i="4"/>
  <c r="AE53" i="4"/>
  <c r="AJ53" i="4"/>
  <c r="AO52" i="4"/>
  <c r="AP52" i="4"/>
  <c r="AQ52" i="4"/>
  <c r="B53" i="4"/>
  <c r="B54" i="4"/>
  <c r="F54" i="4"/>
  <c r="H54" i="4"/>
  <c r="I54" i="4"/>
  <c r="J54" i="4"/>
  <c r="K54" i="4"/>
  <c r="M54" i="4"/>
  <c r="N54" i="4"/>
  <c r="O54" i="4"/>
  <c r="P54" i="4"/>
  <c r="R54" i="4"/>
  <c r="S54" i="4"/>
  <c r="T54" i="4"/>
  <c r="U54" i="4"/>
  <c r="W54" i="4"/>
  <c r="X54" i="4"/>
  <c r="Y54" i="4"/>
  <c r="Z54" i="4"/>
  <c r="AB54" i="4"/>
  <c r="AC54" i="4"/>
  <c r="AD54" i="4"/>
  <c r="AE54" i="4"/>
  <c r="AG54" i="4"/>
  <c r="AH54" i="4"/>
  <c r="AI54" i="4"/>
  <c r="AJ54" i="4"/>
  <c r="AL54" i="4"/>
  <c r="AM54" i="4"/>
  <c r="AN54" i="4"/>
  <c r="F55" i="4"/>
  <c r="K55" i="4"/>
  <c r="P55" i="4"/>
  <c r="U55" i="4"/>
  <c r="Z55" i="4"/>
  <c r="AE55" i="4"/>
  <c r="AJ55" i="4"/>
  <c r="AO54" i="4"/>
  <c r="AP54" i="4"/>
  <c r="AQ54" i="4"/>
  <c r="B55" i="4"/>
  <c r="B56" i="4"/>
  <c r="F56" i="4"/>
  <c r="H56" i="4"/>
  <c r="I56" i="4"/>
  <c r="J56" i="4"/>
  <c r="K56" i="4"/>
  <c r="M56" i="4"/>
  <c r="N56" i="4"/>
  <c r="O56" i="4"/>
  <c r="P56" i="4"/>
  <c r="R56" i="4"/>
  <c r="S56" i="4"/>
  <c r="T56" i="4"/>
  <c r="U56" i="4"/>
  <c r="W56" i="4"/>
  <c r="X56" i="4"/>
  <c r="Y56" i="4"/>
  <c r="Z56" i="4"/>
  <c r="AB56" i="4"/>
  <c r="AC56" i="4"/>
  <c r="AD56" i="4"/>
  <c r="AE56" i="4"/>
  <c r="AG56" i="4"/>
  <c r="AH56" i="4"/>
  <c r="AI56" i="4"/>
  <c r="AJ56" i="4"/>
  <c r="AL56" i="4"/>
  <c r="AM56" i="4"/>
  <c r="AN56" i="4"/>
  <c r="F57" i="4"/>
  <c r="K57" i="4"/>
  <c r="P57" i="4"/>
  <c r="U57" i="4"/>
  <c r="Z57" i="4"/>
  <c r="AE57" i="4"/>
  <c r="AJ57" i="4"/>
  <c r="AO56" i="4"/>
  <c r="AP56" i="4"/>
  <c r="AQ56" i="4"/>
  <c r="B57" i="4"/>
  <c r="B58" i="4"/>
  <c r="F58" i="4"/>
  <c r="H58" i="4"/>
  <c r="I58" i="4"/>
  <c r="J58" i="4"/>
  <c r="K58" i="4"/>
  <c r="M58" i="4"/>
  <c r="N58" i="4"/>
  <c r="O58" i="4"/>
  <c r="P58" i="4"/>
  <c r="R58" i="4"/>
  <c r="S58" i="4"/>
  <c r="T58" i="4"/>
  <c r="U58" i="4"/>
  <c r="W58" i="4"/>
  <c r="X58" i="4"/>
  <c r="Y58" i="4"/>
  <c r="Z58" i="4"/>
  <c r="AB58" i="4"/>
  <c r="AC58" i="4"/>
  <c r="AD58" i="4"/>
  <c r="AE58" i="4"/>
  <c r="AG58" i="4"/>
  <c r="AH58" i="4"/>
  <c r="AI58" i="4"/>
  <c r="AJ58" i="4"/>
  <c r="AL58" i="4"/>
  <c r="AM58" i="4"/>
  <c r="AN58" i="4"/>
  <c r="F59" i="4"/>
  <c r="K59" i="4"/>
  <c r="P59" i="4"/>
  <c r="U59" i="4"/>
  <c r="Z59" i="4"/>
  <c r="AE59" i="4"/>
  <c r="AJ59" i="4"/>
  <c r="AO58" i="4"/>
  <c r="AP58" i="4"/>
  <c r="AQ58" i="4"/>
  <c r="B59" i="4"/>
  <c r="B60" i="4"/>
  <c r="F60" i="4"/>
  <c r="H60" i="4"/>
  <c r="I60" i="4"/>
  <c r="J60" i="4"/>
  <c r="K60" i="4"/>
  <c r="M60" i="4"/>
  <c r="N60" i="4"/>
  <c r="O60" i="4"/>
  <c r="P60" i="4"/>
  <c r="R60" i="4"/>
  <c r="S60" i="4"/>
  <c r="T60" i="4"/>
  <c r="U60" i="4"/>
  <c r="W60" i="4"/>
  <c r="X60" i="4"/>
  <c r="Y60" i="4"/>
  <c r="Z60" i="4"/>
  <c r="AB60" i="4"/>
  <c r="AC60" i="4"/>
  <c r="AD60" i="4"/>
  <c r="AE60" i="4"/>
  <c r="AG60" i="4"/>
  <c r="AH60" i="4"/>
  <c r="AI60" i="4"/>
  <c r="AJ60" i="4"/>
  <c r="AL60" i="4"/>
  <c r="AM60" i="4"/>
  <c r="AN60" i="4"/>
  <c r="F61" i="4"/>
  <c r="K61" i="4"/>
  <c r="P61" i="4"/>
  <c r="U61" i="4"/>
  <c r="Z61" i="4"/>
  <c r="AE61" i="4"/>
  <c r="AJ61" i="4"/>
  <c r="AO60" i="4"/>
  <c r="AP60" i="4"/>
  <c r="AQ60" i="4"/>
  <c r="B61" i="4"/>
  <c r="B62" i="4"/>
  <c r="F62" i="4"/>
  <c r="H62" i="4"/>
  <c r="I62" i="4"/>
  <c r="J62" i="4"/>
  <c r="K62" i="4"/>
  <c r="M62" i="4"/>
  <c r="N62" i="4"/>
  <c r="O62" i="4"/>
  <c r="P62" i="4"/>
  <c r="R62" i="4"/>
  <c r="S62" i="4"/>
  <c r="T62" i="4"/>
  <c r="U62" i="4"/>
  <c r="W62" i="4"/>
  <c r="X62" i="4"/>
  <c r="Y62" i="4"/>
  <c r="Z62" i="4"/>
  <c r="AB62" i="4"/>
  <c r="AC62" i="4"/>
  <c r="AD62" i="4"/>
  <c r="AE62" i="4"/>
  <c r="AG62" i="4"/>
  <c r="AH62" i="4"/>
  <c r="AI62" i="4"/>
  <c r="AJ62" i="4"/>
  <c r="AL62" i="4"/>
  <c r="AM62" i="4"/>
  <c r="AN62" i="4"/>
  <c r="F63" i="4"/>
  <c r="K63" i="4"/>
  <c r="P63" i="4"/>
  <c r="U63" i="4"/>
  <c r="Z63" i="4"/>
  <c r="AE63" i="4"/>
  <c r="AJ63" i="4"/>
  <c r="AO62" i="4"/>
  <c r="AP62" i="4"/>
  <c r="AQ62" i="4"/>
  <c r="B63" i="4"/>
  <c r="B64" i="4"/>
  <c r="F64" i="4"/>
  <c r="H64" i="4"/>
  <c r="I64" i="4"/>
  <c r="J64" i="4"/>
  <c r="K64" i="4"/>
  <c r="M64" i="4"/>
  <c r="N64" i="4"/>
  <c r="O64" i="4"/>
  <c r="P64" i="4"/>
  <c r="R64" i="4"/>
  <c r="S64" i="4"/>
  <c r="T64" i="4"/>
  <c r="U64" i="4"/>
  <c r="W64" i="4"/>
  <c r="X64" i="4"/>
  <c r="Y64" i="4"/>
  <c r="Z64" i="4"/>
  <c r="AB64" i="4"/>
  <c r="AC64" i="4"/>
  <c r="AD64" i="4"/>
  <c r="AE64" i="4"/>
  <c r="AG64" i="4"/>
  <c r="AH64" i="4"/>
  <c r="AI64" i="4"/>
  <c r="AJ64" i="4"/>
  <c r="AL64" i="4"/>
  <c r="AM64" i="4"/>
  <c r="AN64" i="4"/>
  <c r="F65" i="4"/>
  <c r="K65" i="4"/>
  <c r="P65" i="4"/>
  <c r="U65" i="4"/>
  <c r="Z65" i="4"/>
  <c r="AE65" i="4"/>
  <c r="AJ65" i="4"/>
  <c r="AO64" i="4"/>
  <c r="AP64" i="4"/>
  <c r="AQ64" i="4"/>
  <c r="B65" i="4"/>
  <c r="B66" i="4"/>
  <c r="F66" i="4"/>
  <c r="H66" i="4"/>
  <c r="I66" i="4"/>
  <c r="J66" i="4"/>
  <c r="K66" i="4"/>
  <c r="M66" i="4"/>
  <c r="N66" i="4"/>
  <c r="O66" i="4"/>
  <c r="P66" i="4"/>
  <c r="R66" i="4"/>
  <c r="S66" i="4"/>
  <c r="T66" i="4"/>
  <c r="U66" i="4"/>
  <c r="W66" i="4"/>
  <c r="X66" i="4"/>
  <c r="Y66" i="4"/>
  <c r="Z66" i="4"/>
  <c r="AB66" i="4"/>
  <c r="AC66" i="4"/>
  <c r="AD66" i="4"/>
  <c r="AE66" i="4"/>
  <c r="AG66" i="4"/>
  <c r="AH66" i="4"/>
  <c r="AI66" i="4"/>
  <c r="AJ66" i="4"/>
  <c r="AL66" i="4"/>
  <c r="AM66" i="4"/>
  <c r="AN66" i="4"/>
  <c r="F67" i="4"/>
  <c r="K67" i="4"/>
  <c r="P67" i="4"/>
  <c r="U67" i="4"/>
  <c r="Z67" i="4"/>
  <c r="AE67" i="4"/>
  <c r="AJ67" i="4"/>
  <c r="AO66" i="4"/>
  <c r="AP66" i="4"/>
  <c r="AQ66" i="4"/>
  <c r="B67" i="4"/>
  <c r="B68" i="4"/>
  <c r="F68" i="4"/>
  <c r="H68" i="4"/>
  <c r="I68" i="4"/>
  <c r="J68" i="4"/>
  <c r="K68" i="4"/>
  <c r="M68" i="4"/>
  <c r="N68" i="4"/>
  <c r="O68" i="4"/>
  <c r="P68" i="4"/>
  <c r="R68" i="4"/>
  <c r="S68" i="4"/>
  <c r="T68" i="4"/>
  <c r="U68" i="4"/>
  <c r="W68" i="4"/>
  <c r="X68" i="4"/>
  <c r="Y68" i="4"/>
  <c r="Z68" i="4"/>
  <c r="AB68" i="4"/>
  <c r="AC68" i="4"/>
  <c r="AD68" i="4"/>
  <c r="AE68" i="4"/>
  <c r="AG68" i="4"/>
  <c r="AH68" i="4"/>
  <c r="AI68" i="4"/>
  <c r="AJ68" i="4"/>
  <c r="AL68" i="4"/>
  <c r="AM68" i="4"/>
  <c r="AN68" i="4"/>
  <c r="F69" i="4"/>
  <c r="K69" i="4"/>
  <c r="P69" i="4"/>
  <c r="U69" i="4"/>
  <c r="Z69" i="4"/>
  <c r="AE69" i="4"/>
  <c r="AJ69" i="4"/>
  <c r="AO68" i="4"/>
  <c r="AP68" i="4"/>
  <c r="AQ68" i="4"/>
  <c r="B69" i="4"/>
  <c r="B70" i="4"/>
  <c r="F70" i="4"/>
  <c r="H70" i="4"/>
  <c r="I70" i="4"/>
  <c r="J70" i="4"/>
  <c r="K70" i="4"/>
  <c r="M70" i="4"/>
  <c r="N70" i="4"/>
  <c r="O70" i="4"/>
  <c r="P70" i="4"/>
  <c r="R70" i="4"/>
  <c r="S70" i="4"/>
  <c r="T70" i="4"/>
  <c r="U70" i="4"/>
  <c r="W70" i="4"/>
  <c r="X70" i="4"/>
  <c r="Y70" i="4"/>
  <c r="Z70" i="4"/>
  <c r="AB70" i="4"/>
  <c r="AC70" i="4"/>
  <c r="AD70" i="4"/>
  <c r="AE70" i="4"/>
  <c r="AG70" i="4"/>
  <c r="AH70" i="4"/>
  <c r="AI70" i="4"/>
  <c r="AJ70" i="4"/>
  <c r="AL70" i="4"/>
  <c r="AM70" i="4"/>
  <c r="AN70" i="4"/>
  <c r="F71" i="4"/>
  <c r="K71" i="4"/>
  <c r="P71" i="4"/>
  <c r="U71" i="4"/>
  <c r="Z71" i="4"/>
  <c r="AE71" i="4"/>
  <c r="AJ71" i="4"/>
  <c r="AO70" i="4"/>
  <c r="AP70" i="4"/>
  <c r="AQ70" i="4"/>
  <c r="B71" i="4"/>
  <c r="B72" i="4"/>
  <c r="F72" i="4"/>
  <c r="H72" i="4"/>
  <c r="I72" i="4"/>
  <c r="J72" i="4"/>
  <c r="K72" i="4"/>
  <c r="M72" i="4"/>
  <c r="N72" i="4"/>
  <c r="O72" i="4"/>
  <c r="P72" i="4"/>
  <c r="R72" i="4"/>
  <c r="S72" i="4"/>
  <c r="T72" i="4"/>
  <c r="U72" i="4"/>
  <c r="W72" i="4"/>
  <c r="X72" i="4"/>
  <c r="Y72" i="4"/>
  <c r="Z72" i="4"/>
  <c r="AB72" i="4"/>
  <c r="AC72" i="4"/>
  <c r="AD72" i="4"/>
  <c r="AE72" i="4"/>
  <c r="AG72" i="4"/>
  <c r="AH72" i="4"/>
  <c r="AI72" i="4"/>
  <c r="AJ72" i="4"/>
  <c r="AL72" i="4"/>
  <c r="AM72" i="4"/>
  <c r="AN72" i="4"/>
  <c r="F73" i="4"/>
  <c r="K73" i="4"/>
  <c r="P73" i="4"/>
  <c r="U73" i="4"/>
  <c r="Z73" i="4"/>
  <c r="AE73" i="4"/>
  <c r="AJ73" i="4"/>
  <c r="AO72" i="4"/>
  <c r="AP72" i="4"/>
  <c r="AQ72" i="4"/>
  <c r="B74" i="4"/>
  <c r="F74" i="4"/>
  <c r="H74" i="4"/>
  <c r="I74" i="4"/>
  <c r="J74" i="4"/>
  <c r="K74" i="4"/>
  <c r="M74" i="4"/>
  <c r="N74" i="4"/>
  <c r="O74" i="4"/>
  <c r="P74" i="4"/>
  <c r="R74" i="4"/>
  <c r="S74" i="4"/>
  <c r="T74" i="4"/>
  <c r="U74" i="4"/>
  <c r="W74" i="4"/>
  <c r="X74" i="4"/>
  <c r="Y74" i="4"/>
  <c r="Z74" i="4"/>
  <c r="AB74" i="4"/>
  <c r="AC74" i="4"/>
  <c r="AD74" i="4"/>
  <c r="AE74" i="4"/>
  <c r="AG74" i="4"/>
  <c r="AH74" i="4"/>
  <c r="AI74" i="4"/>
  <c r="AJ74" i="4"/>
  <c r="AL74" i="4"/>
  <c r="AM74" i="4"/>
  <c r="AN74" i="4"/>
  <c r="F75" i="4"/>
  <c r="K75" i="4"/>
  <c r="P75" i="4"/>
  <c r="U75" i="4"/>
  <c r="Z75" i="4"/>
  <c r="AE75" i="4"/>
  <c r="AJ75" i="4"/>
  <c r="AO74" i="4"/>
  <c r="AP74" i="4"/>
  <c r="AQ74" i="4"/>
  <c r="B75" i="4"/>
  <c r="B76" i="4"/>
  <c r="F76" i="4"/>
  <c r="H76" i="4"/>
  <c r="I76" i="4"/>
  <c r="J76" i="4"/>
  <c r="K76" i="4"/>
  <c r="M76" i="4"/>
  <c r="N76" i="4"/>
  <c r="O76" i="4"/>
  <c r="P76" i="4"/>
  <c r="R76" i="4"/>
  <c r="S76" i="4"/>
  <c r="T76" i="4"/>
  <c r="U76" i="4"/>
  <c r="W76" i="4"/>
  <c r="X76" i="4"/>
  <c r="Y76" i="4"/>
  <c r="Z76" i="4"/>
  <c r="AB76" i="4"/>
  <c r="AC76" i="4"/>
  <c r="AD76" i="4"/>
  <c r="AE76" i="4"/>
  <c r="AG76" i="4"/>
  <c r="AH76" i="4"/>
  <c r="AI76" i="4"/>
  <c r="AJ76" i="4"/>
  <c r="AL76" i="4"/>
  <c r="AM76" i="4"/>
  <c r="AN76" i="4"/>
  <c r="F77" i="4"/>
  <c r="K77" i="4"/>
  <c r="P77" i="4"/>
  <c r="U77" i="4"/>
  <c r="Z77" i="4"/>
  <c r="AE77" i="4"/>
  <c r="AJ77" i="4"/>
  <c r="AO76" i="4"/>
  <c r="AP76" i="4"/>
  <c r="AQ76" i="4"/>
  <c r="B77" i="4"/>
  <c r="B78" i="4"/>
  <c r="F78" i="4"/>
  <c r="H78" i="4"/>
  <c r="I78" i="4"/>
  <c r="J78" i="4"/>
  <c r="K78" i="4"/>
  <c r="M78" i="4"/>
  <c r="N78" i="4"/>
  <c r="O78" i="4"/>
  <c r="P78" i="4"/>
  <c r="R78" i="4"/>
  <c r="S78" i="4"/>
  <c r="T78" i="4"/>
  <c r="U78" i="4"/>
  <c r="W78" i="4"/>
  <c r="X78" i="4"/>
  <c r="Y78" i="4"/>
  <c r="Z78" i="4"/>
  <c r="AB78" i="4"/>
  <c r="AC78" i="4"/>
  <c r="AD78" i="4"/>
  <c r="AE78" i="4"/>
  <c r="AG78" i="4"/>
  <c r="AH78" i="4"/>
  <c r="AI78" i="4"/>
  <c r="AJ78" i="4"/>
  <c r="AL78" i="4"/>
  <c r="AM78" i="4"/>
  <c r="AN78" i="4"/>
  <c r="F79" i="4"/>
  <c r="K79" i="4"/>
  <c r="P79" i="4"/>
  <c r="U79" i="4"/>
  <c r="Z79" i="4"/>
  <c r="AE79" i="4"/>
  <c r="AJ79" i="4"/>
  <c r="AO78" i="4"/>
  <c r="AP78" i="4"/>
  <c r="AQ78" i="4"/>
  <c r="B79" i="4"/>
  <c r="B80" i="4"/>
  <c r="F80" i="4"/>
  <c r="H80" i="4"/>
  <c r="I80" i="4"/>
  <c r="J80" i="4"/>
  <c r="K80" i="4"/>
  <c r="M80" i="4"/>
  <c r="N80" i="4"/>
  <c r="O80" i="4"/>
  <c r="P80" i="4"/>
  <c r="R80" i="4"/>
  <c r="S80" i="4"/>
  <c r="T80" i="4"/>
  <c r="U80" i="4"/>
  <c r="W80" i="4"/>
  <c r="X80" i="4"/>
  <c r="Y80" i="4"/>
  <c r="Z80" i="4"/>
  <c r="AB80" i="4"/>
  <c r="AC80" i="4"/>
  <c r="AD80" i="4"/>
  <c r="AE80" i="4"/>
  <c r="AG80" i="4"/>
  <c r="AH80" i="4"/>
  <c r="AI80" i="4"/>
  <c r="AJ80" i="4"/>
  <c r="AL80" i="4"/>
  <c r="AM80" i="4"/>
  <c r="AN80" i="4"/>
  <c r="F81" i="4"/>
  <c r="K81" i="4"/>
  <c r="P81" i="4"/>
  <c r="U81" i="4"/>
  <c r="Z81" i="4"/>
  <c r="AE81" i="4"/>
  <c r="AJ81" i="4"/>
  <c r="AO80" i="4"/>
  <c r="AP80" i="4"/>
  <c r="AQ80" i="4"/>
  <c r="B81" i="4"/>
  <c r="B82" i="4"/>
  <c r="F82" i="4"/>
  <c r="H82" i="4"/>
  <c r="I82" i="4"/>
  <c r="J82" i="4"/>
  <c r="K82" i="4"/>
  <c r="M82" i="4"/>
  <c r="N82" i="4"/>
  <c r="O82" i="4"/>
  <c r="P82" i="4"/>
  <c r="R82" i="4"/>
  <c r="S82" i="4"/>
  <c r="T82" i="4"/>
  <c r="U82" i="4"/>
  <c r="W82" i="4"/>
  <c r="X82" i="4"/>
  <c r="Y82" i="4"/>
  <c r="Z82" i="4"/>
  <c r="AB82" i="4"/>
  <c r="AC82" i="4"/>
  <c r="AD82" i="4"/>
  <c r="AE82" i="4"/>
  <c r="AG82" i="4"/>
  <c r="AH82" i="4"/>
  <c r="AI82" i="4"/>
  <c r="AJ82" i="4"/>
  <c r="AL82" i="4"/>
  <c r="AM82" i="4"/>
  <c r="AN82" i="4"/>
  <c r="F83" i="4"/>
  <c r="K83" i="4"/>
  <c r="P83" i="4"/>
  <c r="U83" i="4"/>
  <c r="AE83" i="4"/>
  <c r="AJ83" i="4"/>
  <c r="AO82" i="4"/>
  <c r="AP82" i="4"/>
  <c r="AQ82" i="4"/>
  <c r="B83" i="4"/>
  <c r="Z83" i="4"/>
  <c r="B84" i="4"/>
  <c r="F84" i="4"/>
  <c r="H84" i="4"/>
  <c r="I84" i="4"/>
  <c r="J84" i="4"/>
  <c r="K84" i="4"/>
  <c r="M84" i="4"/>
  <c r="N84" i="4"/>
  <c r="O84" i="4"/>
  <c r="P84" i="4"/>
  <c r="R84" i="4"/>
  <c r="S84" i="4"/>
  <c r="T84" i="4"/>
  <c r="U84" i="4"/>
  <c r="W84" i="4"/>
  <c r="X84" i="4"/>
  <c r="Y84" i="4"/>
  <c r="Z84" i="4"/>
  <c r="AB84" i="4"/>
  <c r="AC84" i="4"/>
  <c r="AD84" i="4"/>
  <c r="AE84" i="4"/>
  <c r="AG84" i="4"/>
  <c r="AH84" i="4"/>
  <c r="AI84" i="4"/>
  <c r="AJ84" i="4"/>
  <c r="AL84" i="4"/>
  <c r="AM84" i="4"/>
  <c r="AN84" i="4"/>
  <c r="F85" i="4"/>
  <c r="K85" i="4"/>
  <c r="P85" i="4"/>
  <c r="U85" i="4"/>
  <c r="Z85" i="4"/>
  <c r="AE85" i="4"/>
  <c r="AJ85" i="4"/>
  <c r="AO84" i="4"/>
  <c r="AP84" i="4"/>
  <c r="AQ84" i="4"/>
  <c r="B86" i="4"/>
  <c r="F86" i="4"/>
  <c r="H86" i="4"/>
  <c r="I86" i="4"/>
  <c r="J86" i="4"/>
  <c r="K86" i="4"/>
  <c r="M86" i="4"/>
  <c r="N86" i="4"/>
  <c r="O86" i="4"/>
  <c r="P86" i="4"/>
  <c r="R86" i="4"/>
  <c r="S86" i="4"/>
  <c r="T86" i="4"/>
  <c r="U86" i="4"/>
  <c r="W86" i="4"/>
  <c r="X86" i="4"/>
  <c r="Y86" i="4"/>
  <c r="Z86" i="4"/>
  <c r="AB86" i="4"/>
  <c r="AC86" i="4"/>
  <c r="AD86" i="4"/>
  <c r="AE86" i="4"/>
  <c r="AG86" i="4"/>
  <c r="AH86" i="4"/>
  <c r="AI86" i="4"/>
  <c r="AJ86" i="4"/>
  <c r="AL86" i="4"/>
  <c r="AM86" i="4"/>
  <c r="AN86" i="4"/>
  <c r="F87" i="4"/>
  <c r="K87" i="4"/>
  <c r="P87" i="4"/>
  <c r="U87" i="4"/>
  <c r="Z87" i="4"/>
  <c r="AE87" i="4"/>
  <c r="AJ87" i="4"/>
  <c r="AO86" i="4"/>
  <c r="AP86" i="4"/>
  <c r="AQ86" i="4"/>
  <c r="B88" i="4"/>
  <c r="F88" i="4"/>
  <c r="H88" i="4"/>
  <c r="I88" i="4"/>
  <c r="J88" i="4"/>
  <c r="K88" i="4"/>
  <c r="M88" i="4"/>
  <c r="N88" i="4"/>
  <c r="O88" i="4"/>
  <c r="P88" i="4"/>
  <c r="R88" i="4"/>
  <c r="S88" i="4"/>
  <c r="T88" i="4"/>
  <c r="U88" i="4"/>
  <c r="W88" i="4"/>
  <c r="X88" i="4"/>
  <c r="Y88" i="4"/>
  <c r="Z88" i="4"/>
  <c r="AB88" i="4"/>
  <c r="AC88" i="4"/>
  <c r="AD88" i="4"/>
  <c r="AE88" i="4"/>
  <c r="AG88" i="4"/>
  <c r="AH88" i="4"/>
  <c r="AI88" i="4"/>
  <c r="AJ88" i="4"/>
  <c r="AL88" i="4"/>
  <c r="AM88" i="4"/>
  <c r="AN88" i="4"/>
  <c r="F89" i="4"/>
  <c r="K89" i="4"/>
  <c r="P89" i="4"/>
  <c r="U89" i="4"/>
  <c r="Z89" i="4"/>
  <c r="AE89" i="4"/>
  <c r="AJ89" i="4"/>
  <c r="AO88" i="4"/>
  <c r="AP88" i="4"/>
  <c r="AQ88" i="4"/>
  <c r="B90" i="4"/>
  <c r="F90" i="4"/>
  <c r="H90" i="4"/>
  <c r="I90" i="4"/>
  <c r="J90" i="4"/>
  <c r="K90" i="4"/>
  <c r="M90" i="4"/>
  <c r="N90" i="4"/>
  <c r="O90" i="4"/>
  <c r="P90" i="4"/>
  <c r="R90" i="4"/>
  <c r="S90" i="4"/>
  <c r="T90" i="4"/>
  <c r="U90" i="4"/>
  <c r="W90" i="4"/>
  <c r="X90" i="4"/>
  <c r="Y90" i="4"/>
  <c r="Z90" i="4"/>
  <c r="AB90" i="4"/>
  <c r="AC90" i="4"/>
  <c r="AD90" i="4"/>
  <c r="AE90" i="4"/>
  <c r="AG90" i="4"/>
  <c r="AH90" i="4"/>
  <c r="AI90" i="4"/>
  <c r="AJ90" i="4"/>
  <c r="AL90" i="4"/>
  <c r="AM90" i="4"/>
  <c r="AN90" i="4"/>
  <c r="F91" i="4"/>
  <c r="K91" i="4"/>
  <c r="P91" i="4"/>
  <c r="U91" i="4"/>
  <c r="Z91" i="4"/>
  <c r="AE91" i="4"/>
  <c r="AJ91" i="4"/>
  <c r="AO90" i="4"/>
  <c r="AP90" i="4"/>
  <c r="AQ90" i="4"/>
  <c r="B92" i="4"/>
  <c r="F92" i="4"/>
  <c r="H92" i="4"/>
  <c r="I92" i="4"/>
  <c r="J92" i="4"/>
  <c r="K92" i="4"/>
  <c r="M92" i="4"/>
  <c r="N92" i="4"/>
  <c r="O92" i="4"/>
  <c r="P92" i="4"/>
  <c r="R92" i="4"/>
  <c r="S92" i="4"/>
  <c r="T92" i="4"/>
  <c r="U92" i="4"/>
  <c r="W92" i="4"/>
  <c r="X92" i="4"/>
  <c r="Y92" i="4"/>
  <c r="Z92" i="4"/>
  <c r="AB92" i="4"/>
  <c r="AC92" i="4"/>
  <c r="AD92" i="4"/>
  <c r="AE92" i="4"/>
  <c r="AG92" i="4"/>
  <c r="AH92" i="4"/>
  <c r="AI92" i="4"/>
  <c r="AJ92" i="4"/>
  <c r="AL92" i="4"/>
  <c r="AM92" i="4"/>
  <c r="AN92" i="4"/>
  <c r="F93" i="4"/>
  <c r="K93" i="4"/>
  <c r="P93" i="4"/>
  <c r="U93" i="4"/>
  <c r="Z93" i="4"/>
  <c r="AE93" i="4"/>
  <c r="AJ93" i="4"/>
  <c r="AO92" i="4"/>
  <c r="AP92" i="4"/>
  <c r="AQ92" i="4"/>
  <c r="B94" i="4"/>
  <c r="F94" i="4"/>
  <c r="H94" i="4"/>
  <c r="I94" i="4"/>
  <c r="J94" i="4"/>
  <c r="K94" i="4"/>
  <c r="M94" i="4"/>
  <c r="N94" i="4"/>
  <c r="O94" i="4"/>
  <c r="P94" i="4"/>
  <c r="R94" i="4"/>
  <c r="S94" i="4"/>
  <c r="T94" i="4"/>
  <c r="U94" i="4"/>
  <c r="W94" i="4"/>
  <c r="X94" i="4"/>
  <c r="Y94" i="4"/>
  <c r="Z94" i="4"/>
  <c r="AB94" i="4"/>
  <c r="AC94" i="4"/>
  <c r="AD94" i="4"/>
  <c r="AE94" i="4"/>
  <c r="AG94" i="4"/>
  <c r="AH94" i="4"/>
  <c r="AI94" i="4"/>
  <c r="AJ94" i="4"/>
  <c r="AL94" i="4"/>
  <c r="AM94" i="4"/>
  <c r="AN94" i="4"/>
  <c r="F95" i="4"/>
  <c r="K95" i="4"/>
  <c r="P95" i="4"/>
  <c r="U95" i="4"/>
  <c r="Z95" i="4"/>
  <c r="AE95" i="4"/>
  <c r="AJ95" i="4"/>
  <c r="AO94" i="4"/>
  <c r="AP94" i="4"/>
  <c r="AQ94" i="4"/>
  <c r="B96" i="4"/>
  <c r="F96" i="4"/>
  <c r="H96" i="4"/>
  <c r="I96" i="4"/>
  <c r="J96" i="4"/>
  <c r="K96" i="4"/>
  <c r="M96" i="4"/>
  <c r="N96" i="4"/>
  <c r="O96" i="4"/>
  <c r="P96" i="4"/>
  <c r="R96" i="4"/>
  <c r="S96" i="4"/>
  <c r="T96" i="4"/>
  <c r="U96" i="4"/>
  <c r="W96" i="4"/>
  <c r="X96" i="4"/>
  <c r="Y96" i="4"/>
  <c r="Z96" i="4"/>
  <c r="AB96" i="4"/>
  <c r="AC96" i="4"/>
  <c r="AD96" i="4"/>
  <c r="AE96" i="4"/>
  <c r="AG96" i="4"/>
  <c r="AH96" i="4"/>
  <c r="AI96" i="4"/>
  <c r="AJ96" i="4"/>
  <c r="AL96" i="4"/>
  <c r="AM96" i="4"/>
  <c r="AN96" i="4"/>
  <c r="F97" i="4"/>
  <c r="K97" i="4"/>
  <c r="P97" i="4"/>
  <c r="U97" i="4"/>
  <c r="AE97" i="4"/>
  <c r="AJ97" i="4"/>
  <c r="AO96" i="4"/>
  <c r="AP96" i="4"/>
  <c r="AQ96" i="4"/>
  <c r="Z97" i="4"/>
  <c r="B98" i="4"/>
  <c r="F98" i="4"/>
  <c r="H98" i="4"/>
  <c r="I98" i="4"/>
  <c r="J98" i="4"/>
  <c r="K98" i="4"/>
  <c r="M98" i="4"/>
  <c r="N98" i="4"/>
  <c r="O98" i="4"/>
  <c r="P98" i="4"/>
  <c r="R98" i="4"/>
  <c r="S98" i="4"/>
  <c r="T98" i="4"/>
  <c r="U98" i="4"/>
  <c r="W98" i="4"/>
  <c r="X98" i="4"/>
  <c r="Y98" i="4"/>
  <c r="Z98" i="4"/>
  <c r="AB98" i="4"/>
  <c r="AC98" i="4"/>
  <c r="AD98" i="4"/>
  <c r="AE98" i="4"/>
  <c r="AG98" i="4"/>
  <c r="AH98" i="4"/>
  <c r="AI98" i="4"/>
  <c r="AJ98" i="4"/>
  <c r="AL98" i="4"/>
  <c r="AM98" i="4"/>
  <c r="AN98" i="4"/>
  <c r="F99" i="4"/>
  <c r="K99" i="4"/>
  <c r="P99" i="4"/>
  <c r="U99" i="4"/>
  <c r="Z99" i="4"/>
  <c r="AE99" i="4"/>
  <c r="AJ99" i="4"/>
  <c r="AO98" i="4"/>
  <c r="AP98" i="4"/>
  <c r="AQ98" i="4"/>
  <c r="B100" i="4"/>
  <c r="F100" i="4"/>
  <c r="H100" i="4"/>
  <c r="I100" i="4"/>
  <c r="J100" i="4"/>
  <c r="K100" i="4"/>
  <c r="M100" i="4"/>
  <c r="N100" i="4"/>
  <c r="O100" i="4"/>
  <c r="P100" i="4"/>
  <c r="R100" i="4"/>
  <c r="S100" i="4"/>
  <c r="T100" i="4"/>
  <c r="U100" i="4"/>
  <c r="W100" i="4"/>
  <c r="X100" i="4"/>
  <c r="Y100" i="4"/>
  <c r="Z100" i="4"/>
  <c r="AB100" i="4"/>
  <c r="AC100" i="4"/>
  <c r="AD100" i="4"/>
  <c r="AE100" i="4"/>
  <c r="AG100" i="4"/>
  <c r="AH100" i="4"/>
  <c r="AI100" i="4"/>
  <c r="AJ100" i="4"/>
  <c r="AL100" i="4"/>
  <c r="AM100" i="4"/>
  <c r="AN100" i="4"/>
  <c r="AO100" i="4"/>
  <c r="AP100" i="4"/>
  <c r="AQ100" i="4"/>
  <c r="BI14" i="4"/>
  <c r="AU15" i="4"/>
  <c r="D25" i="48"/>
  <c r="D27" i="48"/>
  <c r="H25" i="48"/>
  <c r="D25" i="26"/>
  <c r="D27" i="26"/>
  <c r="H25" i="26"/>
  <c r="D25" i="54"/>
  <c r="D27" i="54"/>
  <c r="H25" i="54"/>
  <c r="D25" i="53"/>
  <c r="D27" i="53"/>
  <c r="H25" i="53"/>
  <c r="D25" i="33"/>
  <c r="D27" i="33"/>
  <c r="H25" i="33"/>
  <c r="G15" i="1"/>
  <c r="H15" i="1"/>
  <c r="K15" i="1"/>
  <c r="L15" i="1"/>
  <c r="O15" i="1"/>
  <c r="P15" i="1"/>
  <c r="S15" i="1"/>
  <c r="T15" i="1"/>
  <c r="W15" i="1"/>
  <c r="G16" i="1"/>
  <c r="J16" i="1"/>
  <c r="K16" i="1"/>
  <c r="N16" i="1"/>
  <c r="O16" i="1"/>
  <c r="R16" i="1"/>
  <c r="S16" i="1"/>
  <c r="V16" i="1"/>
  <c r="W16" i="1"/>
  <c r="I17" i="1"/>
  <c r="J17" i="1"/>
  <c r="M17" i="1"/>
  <c r="N17" i="1"/>
  <c r="Q17" i="1"/>
  <c r="R17" i="1"/>
  <c r="U17" i="1"/>
  <c r="V17" i="1"/>
  <c r="G18" i="1"/>
  <c r="H18" i="1"/>
  <c r="I18" i="1"/>
  <c r="J18" i="1"/>
  <c r="K18" i="1"/>
  <c r="L18" i="1"/>
  <c r="M18" i="1"/>
  <c r="N18" i="1"/>
  <c r="O18" i="1"/>
  <c r="P18" i="1"/>
  <c r="Q18" i="1"/>
  <c r="R18" i="1"/>
  <c r="S18" i="1"/>
  <c r="T18" i="1"/>
  <c r="U18" i="1"/>
  <c r="V18" i="1"/>
  <c r="W18" i="1"/>
  <c r="G19" i="1"/>
  <c r="H19" i="1"/>
  <c r="I19" i="1"/>
  <c r="J19" i="1"/>
  <c r="K19" i="1"/>
  <c r="L19" i="1"/>
  <c r="M19" i="1"/>
  <c r="N19" i="1"/>
  <c r="O19" i="1"/>
  <c r="P19" i="1"/>
  <c r="Q19" i="1"/>
  <c r="R19" i="1"/>
  <c r="S19" i="1"/>
  <c r="T19" i="1"/>
  <c r="U19" i="1"/>
  <c r="V19" i="1"/>
  <c r="W19" i="1"/>
  <c r="G20" i="1"/>
  <c r="H20" i="1"/>
  <c r="I20" i="1"/>
  <c r="J20" i="1"/>
  <c r="K20" i="1"/>
  <c r="L20" i="1"/>
  <c r="M20" i="1"/>
  <c r="N20" i="1"/>
  <c r="O20" i="1"/>
  <c r="P20" i="1"/>
  <c r="Q20" i="1"/>
  <c r="R20" i="1"/>
  <c r="S20" i="1"/>
  <c r="T20" i="1"/>
  <c r="U20" i="1"/>
  <c r="V20" i="1"/>
  <c r="W20" i="1"/>
  <c r="G21" i="1"/>
  <c r="H21" i="1"/>
  <c r="I21" i="1"/>
  <c r="J21" i="1"/>
  <c r="K21" i="1"/>
  <c r="L21" i="1"/>
  <c r="M21" i="1"/>
  <c r="N21" i="1"/>
  <c r="O21" i="1"/>
  <c r="P21" i="1"/>
  <c r="Q21" i="1"/>
  <c r="R21" i="1"/>
  <c r="S21" i="1"/>
  <c r="T21" i="1"/>
  <c r="U21" i="1"/>
  <c r="V21" i="1"/>
  <c r="W21" i="1"/>
  <c r="G22" i="1"/>
  <c r="H22" i="1"/>
  <c r="I22" i="1"/>
  <c r="J22" i="1"/>
  <c r="K22" i="1"/>
  <c r="L22" i="1"/>
  <c r="M22" i="1"/>
  <c r="N22" i="1"/>
  <c r="O22" i="1"/>
  <c r="P22" i="1"/>
  <c r="Q22" i="1"/>
  <c r="R22" i="1"/>
  <c r="S22" i="1"/>
  <c r="T22" i="1"/>
  <c r="U22" i="1"/>
  <c r="V22" i="1"/>
  <c r="W22" i="1"/>
  <c r="G23" i="1"/>
  <c r="H23" i="1"/>
  <c r="I23" i="1"/>
  <c r="J23" i="1"/>
  <c r="K23" i="1"/>
  <c r="L23" i="1"/>
  <c r="M23" i="1"/>
  <c r="N23" i="1"/>
  <c r="O23" i="1"/>
  <c r="P23" i="1"/>
  <c r="Q23" i="1"/>
  <c r="R23" i="1"/>
  <c r="S23" i="1"/>
  <c r="T23" i="1"/>
  <c r="U23" i="1"/>
  <c r="V23" i="1"/>
  <c r="W23" i="1"/>
  <c r="G24" i="1"/>
  <c r="H24" i="1"/>
  <c r="I24" i="1"/>
  <c r="J24" i="1"/>
  <c r="K24" i="1"/>
  <c r="L24" i="1"/>
  <c r="M24" i="1"/>
  <c r="N24" i="1"/>
  <c r="O24" i="1"/>
  <c r="P24" i="1"/>
  <c r="Q24" i="1"/>
  <c r="R24" i="1"/>
  <c r="S24" i="1"/>
  <c r="T24" i="1"/>
  <c r="U24" i="1"/>
  <c r="V24" i="1"/>
  <c r="W24" i="1"/>
  <c r="G25" i="1"/>
  <c r="H25" i="1"/>
  <c r="I25" i="1"/>
  <c r="J25" i="1"/>
  <c r="K25" i="1"/>
  <c r="L25" i="1"/>
  <c r="M25" i="1"/>
  <c r="N25" i="1"/>
  <c r="O25" i="1"/>
  <c r="P25" i="1"/>
  <c r="Q25" i="1"/>
  <c r="R25" i="1"/>
  <c r="S25" i="1"/>
  <c r="T25" i="1"/>
  <c r="U25" i="1"/>
  <c r="V25" i="1"/>
  <c r="W25" i="1"/>
  <c r="G26" i="1"/>
  <c r="H26" i="1"/>
  <c r="I26" i="1"/>
  <c r="J26" i="1"/>
  <c r="K26" i="1"/>
  <c r="L26" i="1"/>
  <c r="M26" i="1"/>
  <c r="N26" i="1"/>
  <c r="O26" i="1"/>
  <c r="P26" i="1"/>
  <c r="Q26" i="1"/>
  <c r="R26" i="1"/>
  <c r="S26" i="1"/>
  <c r="T26" i="1"/>
  <c r="U26" i="1"/>
  <c r="V26" i="1"/>
  <c r="W26" i="1"/>
  <c r="G27" i="1"/>
  <c r="H27" i="1"/>
  <c r="I27" i="1"/>
  <c r="J27" i="1"/>
  <c r="K27" i="1"/>
  <c r="L27" i="1"/>
  <c r="M27" i="1"/>
  <c r="N27" i="1"/>
  <c r="O27" i="1"/>
  <c r="P27" i="1"/>
  <c r="Q27" i="1"/>
  <c r="R27" i="1"/>
  <c r="S27" i="1"/>
  <c r="T27" i="1"/>
  <c r="U27" i="1"/>
  <c r="V27" i="1"/>
  <c r="W27" i="1"/>
  <c r="F48" i="1"/>
  <c r="G70" i="1"/>
  <c r="H70" i="1"/>
  <c r="Q71" i="1"/>
  <c r="T71" i="1"/>
  <c r="V71" i="1"/>
  <c r="X71" i="1"/>
  <c r="Z71" i="1"/>
  <c r="AA71" i="1"/>
  <c r="AB71" i="1"/>
  <c r="AC71" i="1"/>
  <c r="G96" i="1"/>
  <c r="F103" i="1"/>
  <c r="F104" i="1"/>
  <c r="F116" i="1"/>
  <c r="F270" i="1"/>
  <c r="G8" i="1"/>
  <c r="AC17" i="1"/>
  <c r="AA152" i="1"/>
  <c r="T194" i="1"/>
  <c r="T195" i="1"/>
  <c r="T198" i="1"/>
  <c r="T200" i="1"/>
  <c r="T201" i="1"/>
  <c r="T203" i="1"/>
  <c r="T204" i="1"/>
  <c r="T205" i="1"/>
  <c r="K213" i="1"/>
  <c r="L213" i="1"/>
  <c r="M213" i="1"/>
  <c r="O213" i="1"/>
  <c r="P213" i="1"/>
  <c r="Q213" i="1"/>
  <c r="R213" i="1"/>
  <c r="S213" i="1"/>
  <c r="T213" i="1"/>
  <c r="V213" i="1"/>
  <c r="Y213" i="1"/>
  <c r="Z213" i="1"/>
  <c r="AA213" i="1"/>
  <c r="AB213" i="1"/>
  <c r="K214" i="1"/>
  <c r="L214" i="1"/>
  <c r="M214" i="1"/>
  <c r="O214" i="1"/>
  <c r="P214" i="1"/>
  <c r="Q214" i="1"/>
  <c r="R214" i="1"/>
  <c r="S214" i="1"/>
  <c r="T214" i="1"/>
  <c r="V214" i="1"/>
  <c r="Y214" i="1"/>
  <c r="Z214" i="1"/>
  <c r="AA214" i="1"/>
  <c r="AB214" i="1"/>
  <c r="Q223" i="1"/>
  <c r="AA223" i="1"/>
  <c r="Q224" i="1"/>
  <c r="Q10" i="1"/>
  <c r="AA224" i="1"/>
  <c r="G11" i="75"/>
  <c r="H11" i="75"/>
  <c r="M11" i="75"/>
  <c r="L12" i="75"/>
  <c r="L13" i="75"/>
  <c r="F14" i="75"/>
  <c r="G14" i="75"/>
  <c r="H14" i="75"/>
  <c r="L14" i="75"/>
  <c r="M14" i="75"/>
  <c r="L15" i="75"/>
  <c r="M15" i="75"/>
  <c r="F16" i="75"/>
  <c r="G16" i="75"/>
  <c r="H16" i="75"/>
  <c r="L16" i="75"/>
  <c r="F17" i="75"/>
  <c r="G17" i="75"/>
  <c r="H17" i="75"/>
  <c r="L17" i="75"/>
  <c r="F18" i="75"/>
  <c r="G18" i="75"/>
  <c r="H18" i="75"/>
  <c r="L18" i="75"/>
  <c r="F19" i="75"/>
  <c r="G19" i="75"/>
  <c r="H19" i="75"/>
  <c r="L19" i="75"/>
  <c r="F20" i="75"/>
  <c r="G20" i="75"/>
  <c r="H20" i="75"/>
  <c r="L20" i="75"/>
  <c r="F21" i="75"/>
  <c r="G21" i="75"/>
  <c r="H21" i="75"/>
  <c r="L21" i="75"/>
  <c r="F22" i="75"/>
  <c r="G22" i="75"/>
  <c r="H22" i="75"/>
  <c r="L22" i="75"/>
  <c r="F23" i="75"/>
  <c r="G23" i="75"/>
  <c r="H23" i="75"/>
  <c r="L23" i="75"/>
  <c r="F24" i="75"/>
  <c r="G24" i="75"/>
  <c r="H24" i="75"/>
  <c r="L24" i="75"/>
  <c r="F25" i="75"/>
  <c r="G25" i="75"/>
  <c r="H25" i="75"/>
  <c r="L25" i="75"/>
  <c r="F26" i="75"/>
  <c r="G26" i="75"/>
  <c r="H26" i="75"/>
  <c r="L26" i="75"/>
  <c r="F27" i="75"/>
  <c r="G27" i="75"/>
  <c r="H27" i="75"/>
  <c r="L27" i="75"/>
  <c r="F28" i="75"/>
  <c r="G28" i="75"/>
  <c r="H28" i="75"/>
  <c r="L28" i="75"/>
  <c r="F29" i="75"/>
  <c r="G29" i="75"/>
  <c r="H29" i="75"/>
  <c r="L29" i="75"/>
  <c r="F30" i="75"/>
  <c r="G30" i="75"/>
  <c r="H30" i="75"/>
  <c r="L30" i="75"/>
  <c r="L31" i="75"/>
  <c r="F32" i="75"/>
  <c r="G32" i="75"/>
  <c r="H32" i="75"/>
  <c r="L32" i="75"/>
  <c r="F33" i="75"/>
  <c r="G33" i="75"/>
  <c r="H33" i="75"/>
  <c r="L33" i="75"/>
  <c r="F34" i="75"/>
  <c r="G34" i="75"/>
  <c r="H34" i="75"/>
  <c r="L34" i="75"/>
  <c r="F35" i="75"/>
  <c r="G35" i="75"/>
  <c r="H35" i="75"/>
  <c r="L35" i="75"/>
  <c r="F36" i="75"/>
  <c r="G36" i="75"/>
  <c r="H36" i="75"/>
  <c r="L36" i="75"/>
  <c r="F37" i="75"/>
  <c r="G37" i="75"/>
  <c r="H37" i="75"/>
  <c r="L37" i="75"/>
  <c r="F38" i="75"/>
  <c r="G38" i="75"/>
  <c r="H38" i="75"/>
  <c r="L38" i="75"/>
  <c r="F39" i="75"/>
  <c r="G39" i="75"/>
  <c r="H39" i="75"/>
  <c r="L39" i="75"/>
  <c r="F40" i="75"/>
  <c r="G40" i="75"/>
  <c r="H40" i="75"/>
  <c r="L40" i="75"/>
  <c r="F41" i="75"/>
  <c r="G41" i="75"/>
  <c r="H41" i="75"/>
  <c r="L41" i="75"/>
  <c r="F42" i="75"/>
  <c r="G42" i="75"/>
  <c r="H42" i="75"/>
  <c r="L42" i="75"/>
  <c r="F43" i="75"/>
  <c r="G43" i="75"/>
  <c r="H43" i="75"/>
  <c r="L43" i="75"/>
  <c r="F44" i="75"/>
  <c r="G44" i="75"/>
  <c r="H44" i="75"/>
  <c r="L44" i="75"/>
  <c r="F45" i="75"/>
  <c r="G45" i="75"/>
  <c r="H45" i="75"/>
  <c r="L45" i="75"/>
  <c r="F46" i="75"/>
  <c r="G46" i="75"/>
  <c r="H46" i="75"/>
  <c r="L46" i="75"/>
  <c r="F47" i="75"/>
  <c r="G47" i="75"/>
  <c r="H47" i="75"/>
  <c r="L47" i="75"/>
  <c r="F48" i="75"/>
  <c r="G48" i="75"/>
  <c r="H48" i="75"/>
  <c r="L48" i="75"/>
  <c r="F49" i="75"/>
  <c r="G49" i="75"/>
  <c r="H49" i="75"/>
  <c r="L49" i="75"/>
  <c r="F50" i="75"/>
  <c r="G50" i="75"/>
  <c r="H50" i="75"/>
  <c r="L50" i="75"/>
  <c r="AU17" i="4"/>
  <c r="AU18" i="4"/>
  <c r="J14" i="5"/>
  <c r="BH12" i="4"/>
  <c r="AV16" i="4"/>
  <c r="BE17" i="4"/>
  <c r="BH16" i="4"/>
  <c r="BH13" i="4"/>
  <c r="BE14" i="4"/>
  <c r="BE13" i="4"/>
  <c r="BH17" i="4"/>
  <c r="BH14" i="4"/>
  <c r="BD14" i="4"/>
  <c r="AU14" i="4"/>
  <c r="E15" i="5"/>
  <c r="E16" i="5"/>
  <c r="AU16" i="4"/>
  <c r="BF15" i="4"/>
  <c r="AU19" i="4"/>
  <c r="AU20" i="4"/>
  <c r="J16" i="5"/>
  <c r="BD17" i="4"/>
  <c r="BD16" i="4"/>
  <c r="BE15" i="4"/>
  <c r="BD13" i="4"/>
  <c r="AU13" i="4"/>
  <c r="BD12" i="4"/>
  <c r="BE11" i="4"/>
  <c r="AW18" i="4"/>
  <c r="H39" i="5"/>
  <c r="BE16" i="4"/>
  <c r="BE12" i="4"/>
  <c r="BF11" i="4"/>
  <c r="BI12" i="4"/>
  <c r="BH15" i="4"/>
  <c r="BH11" i="4"/>
  <c r="AW20" i="4"/>
  <c r="J39" i="5"/>
  <c r="BI17" i="4"/>
  <c r="BD15" i="4"/>
  <c r="BF14" i="4"/>
  <c r="BG14" i="4"/>
  <c r="BI13" i="4"/>
  <c r="BD11" i="4"/>
  <c r="E43" i="5"/>
  <c r="AV20" i="4"/>
  <c r="J38" i="5"/>
  <c r="BF16" i="4"/>
  <c r="AW16" i="4"/>
  <c r="BI15" i="4"/>
  <c r="BF12" i="4"/>
  <c r="BI11" i="4"/>
  <c r="AV18" i="4"/>
  <c r="H38" i="5"/>
  <c r="BF17" i="4"/>
  <c r="BI16" i="4"/>
  <c r="BF13" i="4"/>
  <c r="J13" i="5"/>
  <c r="BG11" i="4"/>
  <c r="J15" i="5"/>
  <c r="BG15" i="4"/>
  <c r="BG12" i="4"/>
  <c r="BG17" i="4"/>
  <c r="BG13" i="4"/>
  <c r="BG16" i="4"/>
  <c r="T17" i="1"/>
  <c r="P17" i="1"/>
  <c r="L17" i="1"/>
  <c r="H17" i="1"/>
  <c r="U16" i="1"/>
  <c r="Q16" i="1"/>
  <c r="M16" i="1"/>
  <c r="I16" i="1"/>
  <c r="V15" i="1"/>
  <c r="R15" i="1"/>
  <c r="N15" i="1"/>
  <c r="J15" i="1"/>
  <c r="W14" i="1"/>
  <c r="X16" i="1"/>
  <c r="Z17" i="1"/>
  <c r="Z16" i="1"/>
  <c r="Z15" i="1"/>
  <c r="S14" i="1"/>
  <c r="W17" i="1"/>
  <c r="S17" i="1"/>
  <c r="O17" i="1"/>
  <c r="K17" i="1"/>
  <c r="G17" i="1"/>
  <c r="T16" i="1"/>
  <c r="P16" i="1"/>
  <c r="L16" i="1"/>
  <c r="H16" i="1"/>
  <c r="U15" i="1"/>
  <c r="Q15" i="1"/>
  <c r="M15" i="1"/>
  <c r="I15" i="1"/>
  <c r="X15" i="1"/>
  <c r="Y17" i="1"/>
  <c r="Y16" i="1"/>
  <c r="Y15" i="1"/>
  <c r="AC16" i="1"/>
  <c r="AC10" i="1"/>
  <c r="AC14" i="1"/>
  <c r="AA9" i="1"/>
  <c r="AA10" i="1"/>
  <c r="AA11" i="1"/>
  <c r="AA12" i="1"/>
  <c r="AA13" i="1"/>
  <c r="AA14" i="1"/>
  <c r="X9" i="1"/>
  <c r="X13" i="1"/>
  <c r="I9" i="1"/>
  <c r="M9" i="1"/>
  <c r="Q9" i="1"/>
  <c r="U9" i="1"/>
  <c r="H10" i="1"/>
  <c r="L10" i="1"/>
  <c r="P10" i="1"/>
  <c r="T10" i="1"/>
  <c r="G11" i="1"/>
  <c r="K11" i="1"/>
  <c r="O11" i="1"/>
  <c r="S11" i="1"/>
  <c r="W11" i="1"/>
  <c r="J12" i="1"/>
  <c r="N12" i="1"/>
  <c r="R12" i="1"/>
  <c r="V12" i="1"/>
  <c r="I13" i="1"/>
  <c r="M13" i="1"/>
  <c r="Q13" i="1"/>
  <c r="U13" i="1"/>
  <c r="H14" i="1"/>
  <c r="L14" i="1"/>
  <c r="P14" i="1"/>
  <c r="T14" i="1"/>
  <c r="AC12" i="1"/>
  <c r="Y9" i="1"/>
  <c r="Y11" i="1"/>
  <c r="Y13" i="1"/>
  <c r="Y14" i="1"/>
  <c r="X14" i="1"/>
  <c r="P8" i="1"/>
  <c r="G9" i="1"/>
  <c r="O9" i="1"/>
  <c r="W9" i="1"/>
  <c r="J10" i="1"/>
  <c r="R10" i="1"/>
  <c r="I11" i="1"/>
  <c r="Q11" i="1"/>
  <c r="H12" i="1"/>
  <c r="P12" i="1"/>
  <c r="G13" i="1"/>
  <c r="O13" i="1"/>
  <c r="W13" i="1"/>
  <c r="N14" i="1"/>
  <c r="V14" i="1"/>
  <c r="AC13" i="1"/>
  <c r="Z9" i="1"/>
  <c r="Z11" i="1"/>
  <c r="Z13" i="1"/>
  <c r="X12" i="1"/>
  <c r="L9" i="1"/>
  <c r="T9" i="1"/>
  <c r="G10" i="1"/>
  <c r="O10" i="1"/>
  <c r="W10" i="1"/>
  <c r="N11" i="1"/>
  <c r="V11" i="1"/>
  <c r="M12" i="1"/>
  <c r="U12" i="1"/>
  <c r="L13" i="1"/>
  <c r="T13" i="1"/>
  <c r="K14" i="1"/>
  <c r="AC11" i="1"/>
  <c r="AB9" i="1"/>
  <c r="AB10" i="1"/>
  <c r="AB11" i="1"/>
  <c r="AB12" i="1"/>
  <c r="AB13" i="1"/>
  <c r="AB14" i="1"/>
  <c r="X10" i="1"/>
  <c r="X8" i="1"/>
  <c r="J9" i="1"/>
  <c r="N9" i="1"/>
  <c r="R9" i="1"/>
  <c r="V9" i="1"/>
  <c r="I10" i="1"/>
  <c r="M10" i="1"/>
  <c r="U10" i="1"/>
  <c r="H11" i="1"/>
  <c r="L11" i="1"/>
  <c r="P11" i="1"/>
  <c r="T11" i="1"/>
  <c r="G12" i="1"/>
  <c r="K12" i="1"/>
  <c r="O12" i="1"/>
  <c r="S12" i="1"/>
  <c r="W12" i="1"/>
  <c r="J13" i="1"/>
  <c r="N13" i="1"/>
  <c r="R13" i="1"/>
  <c r="V13" i="1"/>
  <c r="I14" i="1"/>
  <c r="M14" i="1"/>
  <c r="Q14" i="1"/>
  <c r="U14" i="1"/>
  <c r="Y10" i="1"/>
  <c r="Y12" i="1"/>
  <c r="X11" i="1"/>
  <c r="K9" i="1"/>
  <c r="S9" i="1"/>
  <c r="N10" i="1"/>
  <c r="V10" i="1"/>
  <c r="M11" i="1"/>
  <c r="U11" i="1"/>
  <c r="L12" i="1"/>
  <c r="T12" i="1"/>
  <c r="K13" i="1"/>
  <c r="S13" i="1"/>
  <c r="J14" i="1"/>
  <c r="R14" i="1"/>
  <c r="AC9" i="1"/>
  <c r="Z10" i="1"/>
  <c r="Z12" i="1"/>
  <c r="Z14" i="1"/>
  <c r="H9" i="1"/>
  <c r="P9" i="1"/>
  <c r="K10" i="1"/>
  <c r="S10" i="1"/>
  <c r="J11" i="1"/>
  <c r="R11" i="1"/>
  <c r="I12" i="1"/>
  <c r="Q12" i="1"/>
  <c r="H13" i="1"/>
  <c r="P13" i="1"/>
  <c r="G14" i="1"/>
  <c r="O14" i="1"/>
  <c r="R70" i="1"/>
  <c r="M30" i="75"/>
  <c r="M28" i="75"/>
  <c r="M29" i="75"/>
  <c r="M26" i="75"/>
  <c r="M25" i="75"/>
  <c r="M31" i="75"/>
  <c r="M49" i="75"/>
  <c r="M47" i="75"/>
  <c r="M45" i="75"/>
  <c r="M43" i="75"/>
  <c r="M41" i="75"/>
  <c r="M39" i="75"/>
  <c r="M37" i="75"/>
  <c r="M35" i="75"/>
  <c r="M33" i="75"/>
  <c r="M50" i="75"/>
  <c r="M48" i="75"/>
  <c r="M46" i="75"/>
  <c r="M44" i="75"/>
  <c r="M42" i="75"/>
  <c r="M40" i="75"/>
  <c r="M38" i="75"/>
  <c r="M36" i="75"/>
  <c r="M34" i="75"/>
  <c r="M32" i="75"/>
  <c r="M27" i="75"/>
  <c r="M20" i="75"/>
  <c r="M22" i="75"/>
  <c r="M23" i="75"/>
  <c r="M19" i="75"/>
  <c r="M21" i="75"/>
  <c r="M24" i="75"/>
  <c r="M18" i="75"/>
  <c r="N8" i="1"/>
  <c r="M8" i="1"/>
  <c r="AC70" i="1"/>
  <c r="Y8" i="1"/>
  <c r="Y48" i="1"/>
  <c r="W8" i="1"/>
  <c r="T70" i="1"/>
  <c r="AB70" i="1"/>
  <c r="W70" i="1"/>
  <c r="J70" i="1"/>
  <c r="AA8" i="1"/>
  <c r="AA48" i="1"/>
  <c r="S8" i="1"/>
  <c r="J8" i="1"/>
  <c r="L70" i="1"/>
  <c r="D107" i="1"/>
  <c r="H8" i="1"/>
  <c r="H48" i="1"/>
  <c r="AA70" i="1"/>
  <c r="V70" i="1"/>
  <c r="S70" i="1"/>
  <c r="Z70" i="1"/>
  <c r="U70" i="1"/>
  <c r="K70" i="1"/>
  <c r="T8" i="1"/>
  <c r="O8" i="1"/>
  <c r="Q8" i="1"/>
  <c r="AB8" i="1"/>
  <c r="V8" i="1"/>
  <c r="V48" i="1"/>
  <c r="Z8" i="1"/>
  <c r="I70" i="1"/>
  <c r="P70" i="1"/>
  <c r="AC8" i="1"/>
  <c r="N70" i="1"/>
  <c r="Q70" i="1"/>
  <c r="O70" i="1"/>
  <c r="M70" i="1"/>
  <c r="Y70" i="1"/>
  <c r="U8" i="1"/>
  <c r="L8" i="1"/>
  <c r="L48" i="1"/>
  <c r="K8" i="1"/>
  <c r="I8" i="1"/>
  <c r="R8" i="1"/>
  <c r="N48" i="1"/>
  <c r="P48" i="1"/>
  <c r="N51" i="1"/>
  <c r="AA51" i="1"/>
  <c r="V51" i="1"/>
  <c r="H51" i="1"/>
  <c r="L51" i="1"/>
  <c r="P51" i="1"/>
  <c r="Y51" i="1"/>
  <c r="M48" i="1"/>
  <c r="AC48" i="1"/>
  <c r="AC51" i="1"/>
  <c r="X48" i="1"/>
  <c r="I48" i="1"/>
  <c r="I51" i="1"/>
  <c r="S48" i="1"/>
  <c r="K48" i="1"/>
  <c r="K51" i="1"/>
  <c r="T48" i="1"/>
  <c r="R48" i="1"/>
  <c r="R51" i="1"/>
  <c r="J48" i="1"/>
  <c r="J51" i="1"/>
  <c r="Z48" i="1"/>
  <c r="Z51" i="1"/>
  <c r="O48" i="1"/>
  <c r="O51" i="1"/>
  <c r="G48" i="1"/>
  <c r="G51" i="1"/>
  <c r="AB48" i="1"/>
  <c r="AB51" i="1"/>
  <c r="W48" i="1"/>
  <c r="U48" i="1"/>
  <c r="Q48" i="1"/>
  <c r="Q51" i="1"/>
  <c r="M17" i="75"/>
  <c r="M13" i="75"/>
  <c r="M12" i="75"/>
  <c r="M16" i="75"/>
  <c r="T51" i="1"/>
  <c r="W51" i="1"/>
  <c r="U51" i="1"/>
  <c r="S51" i="1"/>
  <c r="M51" i="1"/>
  <c r="K25" i="53"/>
  <c r="K25" i="26"/>
  <c r="I52" i="1"/>
  <c r="H52" i="1"/>
  <c r="K25" i="33"/>
  <c r="K25" i="54"/>
  <c r="K25" i="48"/>
  <c r="J7" i="75"/>
  <c r="G52" i="1"/>
  <c r="E23" i="5" a="1"/>
  <c r="J26" i="5"/>
  <c r="I24" i="5"/>
  <c r="F29" i="5"/>
  <c r="I28" i="5"/>
  <c r="I25" i="5"/>
  <c r="F26" i="5"/>
  <c r="F25" i="5"/>
  <c r="I29" i="5"/>
  <c r="I26" i="5"/>
  <c r="E26" i="5"/>
  <c r="E29" i="5"/>
  <c r="E28" i="5"/>
  <c r="F27" i="5"/>
  <c r="E25" i="5"/>
  <c r="E24" i="5"/>
  <c r="F23" i="5"/>
  <c r="F28" i="5"/>
  <c r="F24" i="5"/>
  <c r="G23" i="5"/>
  <c r="J24" i="5"/>
  <c r="I27" i="5"/>
  <c r="I23" i="5"/>
  <c r="J29" i="5"/>
  <c r="E27" i="5"/>
  <c r="H26" i="5"/>
  <c r="J25" i="5"/>
  <c r="E23" i="5"/>
  <c r="J27" i="5"/>
  <c r="J23" i="5"/>
  <c r="J28" i="5"/>
  <c r="G26" i="5"/>
  <c r="H23" i="5"/>
  <c r="G27" i="5"/>
  <c r="H27" i="5"/>
  <c r="G24" i="5"/>
  <c r="H24" i="5"/>
  <c r="G29" i="5"/>
  <c r="H29" i="5"/>
  <c r="G25" i="5"/>
  <c r="H25" i="5"/>
  <c r="G28" i="5"/>
  <c r="H28" i="5"/>
</calcChain>
</file>

<file path=xl/comments1.xml><?xml version="1.0" encoding="utf-8"?>
<comments xmlns="http://schemas.openxmlformats.org/spreadsheetml/2006/main">
  <authors>
    <author>AS</author>
    <author>AJS</author>
    <author>Your User Name</author>
  </authors>
  <commentList>
    <comment ref="D18" authorId="0"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D21" authorId="1" shapeId="0">
      <text>
        <r>
          <rPr>
            <sz val="8"/>
            <color indexed="81"/>
            <rFont val="Tahoma"/>
            <family val="2"/>
          </rPr>
          <t xml:space="preserve">The nutrient and energy values for BEANS, DRIED are the average of GREAT NORTHERN, KIDNEY, NAVY, PINK, and PINTO beans. </t>
        </r>
      </text>
    </comment>
    <comment ref="D30" authorId="1" shapeId="0">
      <text>
        <r>
          <rPr>
            <sz val="8"/>
            <color indexed="81"/>
            <rFont val="Tahoma"/>
            <family val="2"/>
          </rPr>
          <t xml:space="preserve">Product for acute disaster feeding
Nutrient values taken from manufacturers data sheet. </t>
        </r>
      </text>
    </comment>
    <comment ref="D73" authorId="1" shapeId="0">
      <text>
        <r>
          <rPr>
            <sz val="8"/>
            <color indexed="81"/>
            <rFont val="Tahoma"/>
            <family val="2"/>
          </rPr>
          <t>The composition given is for the dry milk powder! Before consumption it should be diluted according go to the manufacturers instructions to give about 100 kcal/100 ml.</t>
        </r>
      </text>
    </comment>
    <comment ref="D74" authorId="1" shapeId="0">
      <text>
        <r>
          <rPr>
            <sz val="8"/>
            <color indexed="81"/>
            <rFont val="Tahoma"/>
            <family val="2"/>
          </rPr>
          <t>The composition given is for the dry milk powder! Before consumption it should be diluted according go to the manufacturers instructions to give about 75 kcal/100 ml.</t>
        </r>
      </text>
    </comment>
    <comment ref="D94" authorId="1" shapeId="0">
      <text>
        <r>
          <rPr>
            <sz val="8"/>
            <color indexed="81"/>
            <rFont val="Tahoma"/>
            <family val="2"/>
          </rPr>
          <t>Lipid Nutrient Supplement (LNS)
Manufacturers mid-range values used for nutrient content</t>
        </r>
      </text>
    </comment>
    <comment ref="D95" authorId="1" shapeId="0">
      <text>
        <r>
          <rPr>
            <sz val="8"/>
            <color indexed="81"/>
            <rFont val="Tahoma"/>
            <family val="2"/>
          </rPr>
          <t>Lipid Nutrient Supplement (LNS)
Manufacturers mid-range values used for nutrient content</t>
        </r>
      </text>
    </comment>
    <comment ref="R9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9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0"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2"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3"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5"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D115" authorId="1" shapeId="0">
      <text>
        <r>
          <rPr>
            <sz val="8"/>
            <color indexed="81"/>
            <rFont val="Tahoma"/>
            <family val="2"/>
          </rPr>
          <t>Formulation designed for: 
- under-5 children 
- with NO access to fortified food
- area NOT affected by malaria</t>
        </r>
      </text>
    </comment>
    <comment ref="D116" authorId="1" shapeId="0">
      <text>
        <r>
          <rPr>
            <sz val="8"/>
            <color indexed="81"/>
            <rFont val="Tahoma"/>
            <family val="2"/>
          </rPr>
          <t>Formulation designed for: 
- under-5 children 
- with NO access to fortified food
- area NOT affected by malaria</t>
        </r>
      </text>
    </comment>
    <comment ref="D157" authorId="1" shapeId="0">
      <text>
        <r>
          <rPr>
            <sz val="8"/>
            <color indexed="81"/>
            <rFont val="Tahoma"/>
            <family val="2"/>
          </rPr>
          <t>Ready to Use Supplementary Food (RUSF)
Manufacturers mid-range values used for nutrient content</t>
        </r>
      </text>
    </comment>
    <comment ref="D158" authorId="1" shapeId="0">
      <text>
        <r>
          <rPr>
            <sz val="8"/>
            <color indexed="81"/>
            <rFont val="Tahoma"/>
            <family val="2"/>
          </rPr>
          <t>Ready to Use Supplementary Food (RUSF)
Manufacturers mid-range values used for nutrient content</t>
        </r>
      </text>
    </comment>
    <comment ref="D159" authorId="1" shapeId="0">
      <text>
        <r>
          <rPr>
            <sz val="8"/>
            <color indexed="81"/>
            <rFont val="Tahoma"/>
            <family val="2"/>
          </rPr>
          <t xml:space="preserve">Ready to Use Supplementary Food (RUSF)
</t>
        </r>
      </text>
    </comment>
    <comment ref="D160" authorId="1" shapeId="0">
      <text>
        <r>
          <rPr>
            <sz val="8"/>
            <color indexed="81"/>
            <rFont val="Tahoma"/>
            <family val="2"/>
          </rPr>
          <t>Ready to Use Therapeutic Food (RUTF)</t>
        </r>
      </text>
    </comment>
    <comment ref="D161" authorId="1" shapeId="0">
      <text>
        <r>
          <rPr>
            <sz val="8"/>
            <color indexed="81"/>
            <rFont val="Tahoma"/>
            <family val="2"/>
          </rPr>
          <t>Ready to Use Therapeutic Food (RUTF)
Manufacturers data on fortificant addition used for micronutrient content.</t>
        </r>
      </text>
    </comment>
    <comment ref="D162" authorId="1" shapeId="0">
      <text>
        <r>
          <rPr>
            <sz val="8"/>
            <color indexed="81"/>
            <rFont val="Tahoma"/>
            <family val="2"/>
          </rPr>
          <t>Ready to Use Therapeutic Food (RUTF)
Manufacturers mid-range values used for nutrient content.</t>
        </r>
      </text>
    </comment>
    <comment ref="D163" authorId="1" shapeId="0">
      <text>
        <r>
          <rPr>
            <sz val="8"/>
            <color indexed="81"/>
            <rFont val="Tahoma"/>
            <family val="2"/>
          </rPr>
          <t>For nutrients where an acceptable range is specified, the value given in NutVal is the mid-point of the range</t>
        </r>
      </text>
    </comment>
    <comment ref="J164" authorId="1" shapeId="0">
      <text>
        <r>
          <rPr>
            <sz val="9"/>
            <color indexed="81"/>
            <rFont val="Tahoma"/>
            <family val="2"/>
          </rPr>
          <t>Range specified as 30.0-50.0 mg/kg</t>
        </r>
      </text>
    </comment>
    <comment ref="V191" authorId="1" shapeId="0">
      <text>
        <r>
          <rPr>
            <b/>
            <sz val="9"/>
            <color indexed="81"/>
            <rFont val="Tahoma"/>
            <family val="2"/>
          </rPr>
          <t>AJS:</t>
        </r>
        <r>
          <rPr>
            <sz val="9"/>
            <color indexed="81"/>
            <rFont val="Tahoma"/>
            <family val="2"/>
          </rPr>
          <t xml:space="preserve">
mid point of fortification range used</t>
        </r>
      </text>
    </comment>
  </commentList>
</comments>
</file>

<file path=xl/comments2.xml><?xml version="1.0" encoding="utf-8"?>
<comments xmlns="http://schemas.openxmlformats.org/spreadsheetml/2006/main">
  <authors>
    <author>AJS</author>
    <author>Your User Name</author>
    <author>AS</author>
  </authors>
  <commentList>
    <comment ref="D69" authorId="0" shapeId="0">
      <text>
        <r>
          <rPr>
            <b/>
            <sz val="9"/>
            <color indexed="81"/>
            <rFont val="Tahoma"/>
            <family val="2"/>
          </rPr>
          <t>AJS:</t>
        </r>
        <r>
          <rPr>
            <sz val="9"/>
            <color indexed="81"/>
            <rFont val="Tahoma"/>
            <family val="2"/>
          </rPr>
          <t xml:space="preserve">
Upper and lower %'s used in applying conditional formatting.</t>
        </r>
      </text>
    </comment>
    <comment ref="R71" authorId="0" shapeId="0">
      <text>
        <r>
          <rPr>
            <b/>
            <sz val="9"/>
            <color indexed="81"/>
            <rFont val="Tahoma"/>
            <family val="2"/>
          </rPr>
          <t>AJS:</t>
        </r>
        <r>
          <rPr>
            <sz val="9"/>
            <color indexed="81"/>
            <rFont val="Tahoma"/>
            <family val="2"/>
          </rPr>
          <t xml:space="preserve">
Not available as at 2013</t>
        </r>
      </text>
    </comment>
    <comment ref="S71" authorId="0" shapeId="0">
      <text>
        <r>
          <rPr>
            <b/>
            <sz val="9"/>
            <color indexed="81"/>
            <rFont val="Tahoma"/>
            <family val="2"/>
          </rPr>
          <t>AJS:</t>
        </r>
        <r>
          <rPr>
            <sz val="9"/>
            <color indexed="81"/>
            <rFont val="Tahoma"/>
            <family val="2"/>
          </rPr>
          <t xml:space="preserve">
Not available as at 2013</t>
        </r>
      </text>
    </comment>
    <comment ref="U71" authorId="0" shapeId="0">
      <text>
        <r>
          <rPr>
            <b/>
            <sz val="9"/>
            <color indexed="81"/>
            <rFont val="Tahoma"/>
            <family val="2"/>
          </rPr>
          <t>AJS:</t>
        </r>
        <r>
          <rPr>
            <sz val="9"/>
            <color indexed="81"/>
            <rFont val="Tahoma"/>
            <family val="2"/>
          </rPr>
          <t xml:space="preserve">
Not available as at 2013</t>
        </r>
      </text>
    </comment>
    <comment ref="Y71" authorId="0" shapeId="0">
      <text>
        <r>
          <rPr>
            <b/>
            <sz val="9"/>
            <color indexed="81"/>
            <rFont val="Tahoma"/>
            <family val="2"/>
          </rPr>
          <t>AJS:</t>
        </r>
        <r>
          <rPr>
            <sz val="9"/>
            <color indexed="81"/>
            <rFont val="Tahoma"/>
            <family val="2"/>
          </rPr>
          <t xml:space="preserve">
Not available as at 2013</t>
        </r>
      </text>
    </comment>
    <comment ref="R73" authorId="0" shapeId="0">
      <text>
        <r>
          <rPr>
            <b/>
            <sz val="9"/>
            <color indexed="81"/>
            <rFont val="Tahoma"/>
            <family val="2"/>
          </rPr>
          <t>AJS:</t>
        </r>
        <r>
          <rPr>
            <sz val="9"/>
            <color indexed="81"/>
            <rFont val="Tahoma"/>
            <family val="2"/>
          </rPr>
          <t xml:space="preserve">
Not available as at 2013</t>
        </r>
      </text>
    </comment>
    <comment ref="S73" authorId="0" shapeId="0">
      <text>
        <r>
          <rPr>
            <b/>
            <sz val="9"/>
            <color indexed="81"/>
            <rFont val="Tahoma"/>
            <family val="2"/>
          </rPr>
          <t>AJS:</t>
        </r>
        <r>
          <rPr>
            <sz val="9"/>
            <color indexed="81"/>
            <rFont val="Tahoma"/>
            <family val="2"/>
          </rPr>
          <t xml:space="preserve">
Not available as at 2013</t>
        </r>
      </text>
    </comment>
    <comment ref="U73" authorId="0" shapeId="0">
      <text>
        <r>
          <rPr>
            <b/>
            <sz val="9"/>
            <color indexed="81"/>
            <rFont val="Tahoma"/>
            <family val="2"/>
          </rPr>
          <t>AJS:</t>
        </r>
        <r>
          <rPr>
            <sz val="9"/>
            <color indexed="81"/>
            <rFont val="Tahoma"/>
            <family val="2"/>
          </rPr>
          <t xml:space="preserve">
Not available as at 2013</t>
        </r>
      </text>
    </comment>
    <comment ref="Y73" authorId="0" shapeId="0">
      <text>
        <r>
          <rPr>
            <b/>
            <sz val="9"/>
            <color indexed="81"/>
            <rFont val="Tahoma"/>
            <family val="2"/>
          </rPr>
          <t>AJS:</t>
        </r>
        <r>
          <rPr>
            <sz val="9"/>
            <color indexed="81"/>
            <rFont val="Tahoma"/>
            <family val="2"/>
          </rPr>
          <t xml:space="preserve">
Not available as at 2013</t>
        </r>
      </text>
    </comment>
    <comment ref="R75" authorId="0" shapeId="0">
      <text>
        <r>
          <rPr>
            <b/>
            <sz val="9"/>
            <color indexed="81"/>
            <rFont val="Tahoma"/>
            <family val="2"/>
          </rPr>
          <t>AJS:</t>
        </r>
        <r>
          <rPr>
            <sz val="9"/>
            <color indexed="81"/>
            <rFont val="Tahoma"/>
            <family val="2"/>
          </rPr>
          <t xml:space="preserve">
Not available as at 2013</t>
        </r>
      </text>
    </comment>
    <comment ref="S75" authorId="0" shapeId="0">
      <text>
        <r>
          <rPr>
            <b/>
            <sz val="9"/>
            <color indexed="81"/>
            <rFont val="Tahoma"/>
            <family val="2"/>
          </rPr>
          <t>AJS:</t>
        </r>
        <r>
          <rPr>
            <sz val="9"/>
            <color indexed="81"/>
            <rFont val="Tahoma"/>
            <family val="2"/>
          </rPr>
          <t xml:space="preserve">
Not available as at 2013</t>
        </r>
      </text>
    </comment>
    <comment ref="U75" authorId="0" shapeId="0">
      <text>
        <r>
          <rPr>
            <b/>
            <sz val="9"/>
            <color indexed="81"/>
            <rFont val="Tahoma"/>
            <family val="2"/>
          </rPr>
          <t>AJS:</t>
        </r>
        <r>
          <rPr>
            <sz val="9"/>
            <color indexed="81"/>
            <rFont val="Tahoma"/>
            <family val="2"/>
          </rPr>
          <t xml:space="preserve">
Not available as at 2013</t>
        </r>
      </text>
    </comment>
    <comment ref="Y75" authorId="0" shapeId="0">
      <text>
        <r>
          <rPr>
            <b/>
            <sz val="9"/>
            <color indexed="81"/>
            <rFont val="Tahoma"/>
            <family val="2"/>
          </rPr>
          <t>AJS:</t>
        </r>
        <r>
          <rPr>
            <sz val="9"/>
            <color indexed="81"/>
            <rFont val="Tahoma"/>
            <family val="2"/>
          </rPr>
          <t xml:space="preserve">
Not available as at 2013</t>
        </r>
      </text>
    </comment>
    <comment ref="R77" authorId="0" shapeId="0">
      <text>
        <r>
          <rPr>
            <b/>
            <sz val="9"/>
            <color indexed="81"/>
            <rFont val="Tahoma"/>
            <family val="2"/>
          </rPr>
          <t>AJS:</t>
        </r>
        <r>
          <rPr>
            <sz val="9"/>
            <color indexed="81"/>
            <rFont val="Tahoma"/>
            <family val="2"/>
          </rPr>
          <t xml:space="preserve">
Not available as at 2013</t>
        </r>
      </text>
    </comment>
    <comment ref="S77" authorId="0" shapeId="0">
      <text>
        <r>
          <rPr>
            <b/>
            <sz val="9"/>
            <color indexed="81"/>
            <rFont val="Tahoma"/>
            <family val="2"/>
          </rPr>
          <t>AJS:</t>
        </r>
        <r>
          <rPr>
            <sz val="9"/>
            <color indexed="81"/>
            <rFont val="Tahoma"/>
            <family val="2"/>
          </rPr>
          <t xml:space="preserve">
Not available as at 2013</t>
        </r>
      </text>
    </comment>
    <comment ref="U77" authorId="0" shapeId="0">
      <text>
        <r>
          <rPr>
            <b/>
            <sz val="9"/>
            <color indexed="81"/>
            <rFont val="Tahoma"/>
            <family val="2"/>
          </rPr>
          <t>AJS:</t>
        </r>
        <r>
          <rPr>
            <sz val="9"/>
            <color indexed="81"/>
            <rFont val="Tahoma"/>
            <family val="2"/>
          </rPr>
          <t xml:space="preserve">
Not available as at 2013</t>
        </r>
      </text>
    </comment>
    <comment ref="Y77" authorId="0" shapeId="0">
      <text>
        <r>
          <rPr>
            <b/>
            <sz val="9"/>
            <color indexed="81"/>
            <rFont val="Tahoma"/>
            <family val="2"/>
          </rPr>
          <t>AJS:</t>
        </r>
        <r>
          <rPr>
            <sz val="9"/>
            <color indexed="81"/>
            <rFont val="Tahoma"/>
            <family val="2"/>
          </rPr>
          <t xml:space="preserve">
Not available as at 2013</t>
        </r>
      </text>
    </comment>
    <comment ref="R79" authorId="0" shapeId="0">
      <text>
        <r>
          <rPr>
            <b/>
            <sz val="9"/>
            <color indexed="81"/>
            <rFont val="Tahoma"/>
            <family val="2"/>
          </rPr>
          <t>AJS:</t>
        </r>
        <r>
          <rPr>
            <sz val="9"/>
            <color indexed="81"/>
            <rFont val="Tahoma"/>
            <family val="2"/>
          </rPr>
          <t xml:space="preserve">
Not available as at 2013</t>
        </r>
      </text>
    </comment>
    <comment ref="S79" authorId="0" shapeId="0">
      <text>
        <r>
          <rPr>
            <b/>
            <sz val="9"/>
            <color indexed="81"/>
            <rFont val="Tahoma"/>
            <family val="2"/>
          </rPr>
          <t>AJS:</t>
        </r>
        <r>
          <rPr>
            <sz val="9"/>
            <color indexed="81"/>
            <rFont val="Tahoma"/>
            <family val="2"/>
          </rPr>
          <t xml:space="preserve">
Not available as at 2013</t>
        </r>
      </text>
    </comment>
    <comment ref="U79" authorId="0" shapeId="0">
      <text>
        <r>
          <rPr>
            <b/>
            <sz val="9"/>
            <color indexed="81"/>
            <rFont val="Tahoma"/>
            <family val="2"/>
          </rPr>
          <t>AJS:</t>
        </r>
        <r>
          <rPr>
            <sz val="9"/>
            <color indexed="81"/>
            <rFont val="Tahoma"/>
            <family val="2"/>
          </rPr>
          <t xml:space="preserve">
Not available as at 2013</t>
        </r>
      </text>
    </comment>
    <comment ref="Y79" authorId="0" shapeId="0">
      <text>
        <r>
          <rPr>
            <b/>
            <sz val="9"/>
            <color indexed="81"/>
            <rFont val="Tahoma"/>
            <family val="2"/>
          </rPr>
          <t>AJS:</t>
        </r>
        <r>
          <rPr>
            <sz val="9"/>
            <color indexed="81"/>
            <rFont val="Tahoma"/>
            <family val="2"/>
          </rPr>
          <t xml:space="preserve">
Not available as at 2013</t>
        </r>
      </text>
    </comment>
    <comment ref="R81" authorId="0" shapeId="0">
      <text>
        <r>
          <rPr>
            <b/>
            <sz val="9"/>
            <color indexed="81"/>
            <rFont val="Tahoma"/>
            <family val="2"/>
          </rPr>
          <t>AJS:</t>
        </r>
        <r>
          <rPr>
            <sz val="9"/>
            <color indexed="81"/>
            <rFont val="Tahoma"/>
            <family val="2"/>
          </rPr>
          <t xml:space="preserve">
Not available as at 2013</t>
        </r>
      </text>
    </comment>
    <comment ref="S81" authorId="0" shapeId="0">
      <text>
        <r>
          <rPr>
            <b/>
            <sz val="9"/>
            <color indexed="81"/>
            <rFont val="Tahoma"/>
            <family val="2"/>
          </rPr>
          <t>AJS:</t>
        </r>
        <r>
          <rPr>
            <sz val="9"/>
            <color indexed="81"/>
            <rFont val="Tahoma"/>
            <family val="2"/>
          </rPr>
          <t xml:space="preserve">
Not available as at 2013</t>
        </r>
      </text>
    </comment>
    <comment ref="U81" authorId="0" shapeId="0">
      <text>
        <r>
          <rPr>
            <b/>
            <sz val="9"/>
            <color indexed="81"/>
            <rFont val="Tahoma"/>
            <family val="2"/>
          </rPr>
          <t>AJS:</t>
        </r>
        <r>
          <rPr>
            <sz val="9"/>
            <color indexed="81"/>
            <rFont val="Tahoma"/>
            <family val="2"/>
          </rPr>
          <t xml:space="preserve">
Not available as at 2013</t>
        </r>
      </text>
    </comment>
    <comment ref="Y81" authorId="0" shapeId="0">
      <text>
        <r>
          <rPr>
            <b/>
            <sz val="9"/>
            <color indexed="81"/>
            <rFont val="Tahoma"/>
            <family val="2"/>
          </rPr>
          <t>AJS:</t>
        </r>
        <r>
          <rPr>
            <sz val="9"/>
            <color indexed="81"/>
            <rFont val="Tahoma"/>
            <family val="2"/>
          </rPr>
          <t xml:space="preserve">
Not available as at 2013</t>
        </r>
      </text>
    </comment>
    <comment ref="R83" authorId="0" shapeId="0">
      <text>
        <r>
          <rPr>
            <b/>
            <sz val="9"/>
            <color indexed="81"/>
            <rFont val="Tahoma"/>
            <family val="2"/>
          </rPr>
          <t>AJS:</t>
        </r>
        <r>
          <rPr>
            <sz val="9"/>
            <color indexed="81"/>
            <rFont val="Tahoma"/>
            <family val="2"/>
          </rPr>
          <t xml:space="preserve">
Not available as at 2013</t>
        </r>
      </text>
    </comment>
    <comment ref="S83" authorId="0" shapeId="0">
      <text>
        <r>
          <rPr>
            <b/>
            <sz val="9"/>
            <color indexed="81"/>
            <rFont val="Tahoma"/>
            <family val="2"/>
          </rPr>
          <t>AJS:</t>
        </r>
        <r>
          <rPr>
            <sz val="9"/>
            <color indexed="81"/>
            <rFont val="Tahoma"/>
            <family val="2"/>
          </rPr>
          <t xml:space="preserve">
Not available as at 2013</t>
        </r>
      </text>
    </comment>
    <comment ref="U83" authorId="0" shapeId="0">
      <text>
        <r>
          <rPr>
            <b/>
            <sz val="9"/>
            <color indexed="81"/>
            <rFont val="Tahoma"/>
            <family val="2"/>
          </rPr>
          <t>AJS:</t>
        </r>
        <r>
          <rPr>
            <sz val="9"/>
            <color indexed="81"/>
            <rFont val="Tahoma"/>
            <family val="2"/>
          </rPr>
          <t xml:space="preserve">
Not available as at 2013</t>
        </r>
      </text>
    </comment>
    <comment ref="Y83" authorId="0" shapeId="0">
      <text>
        <r>
          <rPr>
            <b/>
            <sz val="9"/>
            <color indexed="81"/>
            <rFont val="Tahoma"/>
            <family val="2"/>
          </rPr>
          <t>AJS:</t>
        </r>
        <r>
          <rPr>
            <sz val="9"/>
            <color indexed="81"/>
            <rFont val="Tahoma"/>
            <family val="2"/>
          </rPr>
          <t xml:space="preserve">
Not available as at 2013</t>
        </r>
      </text>
    </comment>
    <comment ref="R85" authorId="0" shapeId="0">
      <text>
        <r>
          <rPr>
            <b/>
            <sz val="9"/>
            <color indexed="81"/>
            <rFont val="Tahoma"/>
            <family val="2"/>
          </rPr>
          <t>AJS:</t>
        </r>
        <r>
          <rPr>
            <sz val="9"/>
            <color indexed="81"/>
            <rFont val="Tahoma"/>
            <family val="2"/>
          </rPr>
          <t xml:space="preserve">
Not available as at 2013</t>
        </r>
      </text>
    </comment>
    <comment ref="S85" authorId="0" shapeId="0">
      <text>
        <r>
          <rPr>
            <b/>
            <sz val="9"/>
            <color indexed="81"/>
            <rFont val="Tahoma"/>
            <family val="2"/>
          </rPr>
          <t>AJS:</t>
        </r>
        <r>
          <rPr>
            <sz val="9"/>
            <color indexed="81"/>
            <rFont val="Tahoma"/>
            <family val="2"/>
          </rPr>
          <t xml:space="preserve">
Not available as at 2013</t>
        </r>
      </text>
    </comment>
    <comment ref="U85" authorId="0" shapeId="0">
      <text>
        <r>
          <rPr>
            <b/>
            <sz val="9"/>
            <color indexed="81"/>
            <rFont val="Tahoma"/>
            <family val="2"/>
          </rPr>
          <t>AJS:</t>
        </r>
        <r>
          <rPr>
            <sz val="9"/>
            <color indexed="81"/>
            <rFont val="Tahoma"/>
            <family val="2"/>
          </rPr>
          <t xml:space="preserve">
Not available as at 2013</t>
        </r>
      </text>
    </comment>
    <comment ref="Y85" authorId="0" shapeId="0">
      <text>
        <r>
          <rPr>
            <b/>
            <sz val="9"/>
            <color indexed="81"/>
            <rFont val="Tahoma"/>
            <family val="2"/>
          </rPr>
          <t>AJS:</t>
        </r>
        <r>
          <rPr>
            <sz val="9"/>
            <color indexed="81"/>
            <rFont val="Tahoma"/>
            <family val="2"/>
          </rPr>
          <t xml:space="preserve">
Not available as at 2013</t>
        </r>
      </text>
    </comment>
    <comment ref="R87" authorId="0" shapeId="0">
      <text>
        <r>
          <rPr>
            <b/>
            <sz val="9"/>
            <color indexed="81"/>
            <rFont val="Tahoma"/>
            <family val="2"/>
          </rPr>
          <t>AJS:</t>
        </r>
        <r>
          <rPr>
            <sz val="9"/>
            <color indexed="81"/>
            <rFont val="Tahoma"/>
            <family val="2"/>
          </rPr>
          <t xml:space="preserve">
Not available as at 2013</t>
        </r>
      </text>
    </comment>
    <comment ref="S87" authorId="0" shapeId="0">
      <text>
        <r>
          <rPr>
            <b/>
            <sz val="9"/>
            <color indexed="81"/>
            <rFont val="Tahoma"/>
            <family val="2"/>
          </rPr>
          <t>AJS:</t>
        </r>
        <r>
          <rPr>
            <sz val="9"/>
            <color indexed="81"/>
            <rFont val="Tahoma"/>
            <family val="2"/>
          </rPr>
          <t xml:space="preserve">
Not available as at 2013</t>
        </r>
      </text>
    </comment>
    <comment ref="U87" authorId="0" shapeId="0">
      <text>
        <r>
          <rPr>
            <b/>
            <sz val="9"/>
            <color indexed="81"/>
            <rFont val="Tahoma"/>
            <family val="2"/>
          </rPr>
          <t>AJS:</t>
        </r>
        <r>
          <rPr>
            <sz val="9"/>
            <color indexed="81"/>
            <rFont val="Tahoma"/>
            <family val="2"/>
          </rPr>
          <t xml:space="preserve">
Not available as at 2013</t>
        </r>
      </text>
    </comment>
    <comment ref="Y87" authorId="0" shapeId="0">
      <text>
        <r>
          <rPr>
            <b/>
            <sz val="9"/>
            <color indexed="81"/>
            <rFont val="Tahoma"/>
            <family val="2"/>
          </rPr>
          <t>AJS:</t>
        </r>
        <r>
          <rPr>
            <sz val="9"/>
            <color indexed="81"/>
            <rFont val="Tahoma"/>
            <family val="2"/>
          </rPr>
          <t xml:space="preserve">
Not available as at 2013</t>
        </r>
      </text>
    </comment>
    <comment ref="R91" authorId="0" shapeId="0">
      <text>
        <r>
          <rPr>
            <b/>
            <sz val="9"/>
            <color indexed="81"/>
            <rFont val="Tahoma"/>
            <family val="2"/>
          </rPr>
          <t>AJS:</t>
        </r>
        <r>
          <rPr>
            <sz val="9"/>
            <color indexed="81"/>
            <rFont val="Tahoma"/>
            <family val="2"/>
          </rPr>
          <t xml:space="preserve">
Not available as at 2013</t>
        </r>
      </text>
    </comment>
    <comment ref="S91" authorId="0" shapeId="0">
      <text>
        <r>
          <rPr>
            <b/>
            <sz val="9"/>
            <color indexed="81"/>
            <rFont val="Tahoma"/>
            <family val="2"/>
          </rPr>
          <t>AJS:</t>
        </r>
        <r>
          <rPr>
            <sz val="9"/>
            <color indexed="81"/>
            <rFont val="Tahoma"/>
            <family val="2"/>
          </rPr>
          <t xml:space="preserve">
Not available as at 2013</t>
        </r>
      </text>
    </comment>
    <comment ref="U91" authorId="0" shapeId="0">
      <text>
        <r>
          <rPr>
            <b/>
            <sz val="9"/>
            <color indexed="81"/>
            <rFont val="Tahoma"/>
            <family val="2"/>
          </rPr>
          <t>AJS:</t>
        </r>
        <r>
          <rPr>
            <sz val="9"/>
            <color indexed="81"/>
            <rFont val="Tahoma"/>
            <family val="2"/>
          </rPr>
          <t xml:space="preserve">
Not available as at 2013</t>
        </r>
      </text>
    </comment>
    <comment ref="Y91" authorId="0" shapeId="0">
      <text>
        <r>
          <rPr>
            <b/>
            <sz val="9"/>
            <color indexed="81"/>
            <rFont val="Tahoma"/>
            <family val="2"/>
          </rPr>
          <t>AJS:</t>
        </r>
        <r>
          <rPr>
            <sz val="9"/>
            <color indexed="81"/>
            <rFont val="Tahoma"/>
            <family val="2"/>
          </rPr>
          <t xml:space="preserve">
Not available as at 2013</t>
        </r>
      </text>
    </comment>
    <comment ref="M93" authorId="0" shapeId="0">
      <text>
        <r>
          <rPr>
            <b/>
            <sz val="9"/>
            <color indexed="81"/>
            <rFont val="Tahoma"/>
            <family val="2"/>
          </rPr>
          <t>AJS:</t>
        </r>
        <r>
          <rPr>
            <sz val="9"/>
            <color indexed="81"/>
            <rFont val="Tahoma"/>
            <family val="2"/>
          </rPr>
          <t xml:space="preserve">
Not available as at 2013</t>
        </r>
      </text>
    </comment>
    <comment ref="R93" authorId="0" shapeId="0">
      <text>
        <r>
          <rPr>
            <b/>
            <sz val="9"/>
            <color indexed="81"/>
            <rFont val="Tahoma"/>
            <family val="2"/>
          </rPr>
          <t>AJS:</t>
        </r>
        <r>
          <rPr>
            <sz val="9"/>
            <color indexed="81"/>
            <rFont val="Tahoma"/>
            <family val="2"/>
          </rPr>
          <t xml:space="preserve">
Not available as at 2013</t>
        </r>
      </text>
    </comment>
    <comment ref="S93" authorId="0" shapeId="0">
      <text>
        <r>
          <rPr>
            <b/>
            <sz val="9"/>
            <color indexed="81"/>
            <rFont val="Tahoma"/>
            <family val="2"/>
          </rPr>
          <t>AJS:</t>
        </r>
        <r>
          <rPr>
            <sz val="9"/>
            <color indexed="81"/>
            <rFont val="Tahoma"/>
            <family val="2"/>
          </rPr>
          <t xml:space="preserve">
Not available as at 2013</t>
        </r>
      </text>
    </comment>
    <comment ref="T93" authorId="0" shapeId="0">
      <text>
        <r>
          <rPr>
            <b/>
            <sz val="9"/>
            <color indexed="81"/>
            <rFont val="Tahoma"/>
            <family val="2"/>
          </rPr>
          <t>AJS:</t>
        </r>
        <r>
          <rPr>
            <sz val="9"/>
            <color indexed="81"/>
            <rFont val="Tahoma"/>
            <family val="2"/>
          </rPr>
          <t xml:space="preserve">
Not available as at 2013</t>
        </r>
      </text>
    </comment>
    <comment ref="U93" authorId="0" shapeId="0">
      <text>
        <r>
          <rPr>
            <b/>
            <sz val="9"/>
            <color indexed="81"/>
            <rFont val="Tahoma"/>
            <family val="2"/>
          </rPr>
          <t>AJS:</t>
        </r>
        <r>
          <rPr>
            <sz val="9"/>
            <color indexed="81"/>
            <rFont val="Tahoma"/>
            <family val="2"/>
          </rPr>
          <t xml:space="preserve">
Not available as at 2013</t>
        </r>
      </text>
    </comment>
    <comment ref="Y93" authorId="0" shapeId="0">
      <text>
        <r>
          <rPr>
            <b/>
            <sz val="9"/>
            <color indexed="81"/>
            <rFont val="Tahoma"/>
            <family val="2"/>
          </rPr>
          <t>AJS:</t>
        </r>
        <r>
          <rPr>
            <sz val="9"/>
            <color indexed="81"/>
            <rFont val="Tahoma"/>
            <family val="2"/>
          </rPr>
          <t xml:space="preserve">
Not available as at 2013</t>
        </r>
      </text>
    </comment>
    <comment ref="M95" authorId="0" shapeId="0">
      <text>
        <r>
          <rPr>
            <b/>
            <sz val="9"/>
            <color indexed="81"/>
            <rFont val="Tahoma"/>
            <family val="2"/>
          </rPr>
          <t>AJS:</t>
        </r>
        <r>
          <rPr>
            <sz val="9"/>
            <color indexed="81"/>
            <rFont val="Tahoma"/>
            <family val="2"/>
          </rPr>
          <t xml:space="preserve">
Not available as at 2013</t>
        </r>
      </text>
    </comment>
    <comment ref="R95" authorId="0" shapeId="0">
      <text>
        <r>
          <rPr>
            <b/>
            <sz val="9"/>
            <color indexed="81"/>
            <rFont val="Tahoma"/>
            <family val="2"/>
          </rPr>
          <t>AJS:</t>
        </r>
        <r>
          <rPr>
            <sz val="9"/>
            <color indexed="81"/>
            <rFont val="Tahoma"/>
            <family val="2"/>
          </rPr>
          <t xml:space="preserve">
Not available as at 2013</t>
        </r>
      </text>
    </comment>
    <comment ref="S95" authorId="0" shapeId="0">
      <text>
        <r>
          <rPr>
            <b/>
            <sz val="9"/>
            <color indexed="81"/>
            <rFont val="Tahoma"/>
            <family val="2"/>
          </rPr>
          <t>AJS:</t>
        </r>
        <r>
          <rPr>
            <sz val="9"/>
            <color indexed="81"/>
            <rFont val="Tahoma"/>
            <family val="2"/>
          </rPr>
          <t xml:space="preserve">
Not available as at 2013</t>
        </r>
      </text>
    </comment>
    <comment ref="T95" authorId="0" shapeId="0">
      <text>
        <r>
          <rPr>
            <b/>
            <sz val="9"/>
            <color indexed="81"/>
            <rFont val="Tahoma"/>
            <family val="2"/>
          </rPr>
          <t>AJS:</t>
        </r>
        <r>
          <rPr>
            <sz val="9"/>
            <color indexed="81"/>
            <rFont val="Tahoma"/>
            <family val="2"/>
          </rPr>
          <t xml:space="preserve">
Not available as at 2013</t>
        </r>
      </text>
    </comment>
    <comment ref="U95" authorId="0" shapeId="0">
      <text>
        <r>
          <rPr>
            <b/>
            <sz val="9"/>
            <color indexed="81"/>
            <rFont val="Tahoma"/>
            <family val="2"/>
          </rPr>
          <t>AJS:</t>
        </r>
        <r>
          <rPr>
            <sz val="9"/>
            <color indexed="81"/>
            <rFont val="Tahoma"/>
            <family val="2"/>
          </rPr>
          <t xml:space="preserve">
Not available as at 2013</t>
        </r>
      </text>
    </comment>
    <comment ref="Y95" authorId="0" shapeId="0">
      <text>
        <r>
          <rPr>
            <b/>
            <sz val="9"/>
            <color indexed="81"/>
            <rFont val="Tahoma"/>
            <family val="2"/>
          </rPr>
          <t>AJS:</t>
        </r>
        <r>
          <rPr>
            <sz val="9"/>
            <color indexed="81"/>
            <rFont val="Tahoma"/>
            <family val="2"/>
          </rPr>
          <t xml:space="preserve">
Not available as at 2013</t>
        </r>
      </text>
    </comment>
    <comment ref="R97" authorId="0" shapeId="0">
      <text>
        <r>
          <rPr>
            <b/>
            <sz val="9"/>
            <color indexed="81"/>
            <rFont val="Tahoma"/>
            <family val="2"/>
          </rPr>
          <t>AJS:</t>
        </r>
        <r>
          <rPr>
            <sz val="9"/>
            <color indexed="81"/>
            <rFont val="Tahoma"/>
            <family val="2"/>
          </rPr>
          <t xml:space="preserve">
Not available as at 2013</t>
        </r>
      </text>
    </comment>
    <comment ref="S97" authorId="0" shapeId="0">
      <text>
        <r>
          <rPr>
            <b/>
            <sz val="9"/>
            <color indexed="81"/>
            <rFont val="Tahoma"/>
            <family val="2"/>
          </rPr>
          <t>AJS:</t>
        </r>
        <r>
          <rPr>
            <sz val="9"/>
            <color indexed="81"/>
            <rFont val="Tahoma"/>
            <family val="2"/>
          </rPr>
          <t xml:space="preserve">
Not available as at 2013</t>
        </r>
      </text>
    </comment>
    <comment ref="U97" authorId="0" shapeId="0">
      <text>
        <r>
          <rPr>
            <b/>
            <sz val="9"/>
            <color indexed="81"/>
            <rFont val="Tahoma"/>
            <family val="2"/>
          </rPr>
          <t>AJS:</t>
        </r>
        <r>
          <rPr>
            <sz val="9"/>
            <color indexed="81"/>
            <rFont val="Tahoma"/>
            <family val="2"/>
          </rPr>
          <t xml:space="preserve">
Not available as at 2013</t>
        </r>
      </text>
    </comment>
    <comment ref="Y97" authorId="0" shapeId="0">
      <text>
        <r>
          <rPr>
            <b/>
            <sz val="9"/>
            <color indexed="81"/>
            <rFont val="Tahoma"/>
            <family val="2"/>
          </rPr>
          <t>AJS:</t>
        </r>
        <r>
          <rPr>
            <sz val="9"/>
            <color indexed="81"/>
            <rFont val="Tahoma"/>
            <family val="2"/>
          </rPr>
          <t xml:space="preserve">
Not available as at 2013</t>
        </r>
      </text>
    </comment>
    <comment ref="C98" authorId="0" shapeId="0">
      <text>
        <r>
          <rPr>
            <b/>
            <sz val="9"/>
            <color indexed="81"/>
            <rFont val="Tahoma"/>
            <family val="2"/>
          </rPr>
          <t>AJS:</t>
        </r>
        <r>
          <rPr>
            <sz val="9"/>
            <color indexed="81"/>
            <rFont val="Tahoma"/>
            <family val="2"/>
          </rPr>
          <t xml:space="preserve">
UL used from children 5-10 years entry above
</t>
        </r>
      </text>
    </comment>
    <comment ref="R99" authorId="0" shapeId="0">
      <text>
        <r>
          <rPr>
            <b/>
            <sz val="9"/>
            <color indexed="81"/>
            <rFont val="Tahoma"/>
            <family val="2"/>
          </rPr>
          <t>AJS:</t>
        </r>
        <r>
          <rPr>
            <sz val="9"/>
            <color indexed="81"/>
            <rFont val="Tahoma"/>
            <family val="2"/>
          </rPr>
          <t xml:space="preserve">
Not available as at 2013</t>
        </r>
      </text>
    </comment>
    <comment ref="U99" authorId="0" shapeId="0">
      <text>
        <r>
          <rPr>
            <b/>
            <sz val="9"/>
            <color indexed="81"/>
            <rFont val="Tahoma"/>
            <family val="2"/>
          </rPr>
          <t>AJS:</t>
        </r>
        <r>
          <rPr>
            <sz val="9"/>
            <color indexed="81"/>
            <rFont val="Tahoma"/>
            <family val="2"/>
          </rPr>
          <t xml:space="preserve">
Not available as at 2013</t>
        </r>
      </text>
    </comment>
    <comment ref="Y99" authorId="0" shapeId="0">
      <text>
        <r>
          <rPr>
            <b/>
            <sz val="9"/>
            <color indexed="81"/>
            <rFont val="Tahoma"/>
            <family val="2"/>
          </rPr>
          <t>AJS:</t>
        </r>
        <r>
          <rPr>
            <sz val="9"/>
            <color indexed="81"/>
            <rFont val="Tahoma"/>
            <family val="2"/>
          </rPr>
          <t xml:space="preserve">
Not available as at 2013</t>
        </r>
      </text>
    </comment>
    <comment ref="L109" authorId="1" shapeId="0">
      <text>
        <r>
          <rPr>
            <b/>
            <sz val="8"/>
            <color indexed="81"/>
            <rFont val="Tahoma"/>
            <family val="2"/>
          </rPr>
          <t>Your User Name:</t>
        </r>
        <r>
          <rPr>
            <sz val="8"/>
            <color indexed="81"/>
            <rFont val="Tahoma"/>
            <family val="2"/>
          </rPr>
          <t xml:space="preserve">
Iodine values taken mainly from M and W 5th Edition</t>
        </r>
      </text>
    </comment>
    <comment ref="F116" authorId="2"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F119" authorId="0" shapeId="0">
      <text>
        <r>
          <rPr>
            <sz val="8"/>
            <color indexed="81"/>
            <rFont val="Tahoma"/>
            <family val="2"/>
          </rPr>
          <t xml:space="preserve">The nutrient and energy values for BEANS, DRIED are the average of GREAT NORTHERN, KIDNEY, NAVY, PINK, and PINTO beans. </t>
        </r>
      </text>
    </comment>
    <comment ref="F128" authorId="0" shapeId="0">
      <text>
        <r>
          <rPr>
            <sz val="8"/>
            <color indexed="81"/>
            <rFont val="Tahoma"/>
            <family val="2"/>
          </rPr>
          <t xml:space="preserve">Product for acute disaster feeding
Nutrient values taken from manufacturers data sheet. </t>
        </r>
      </text>
    </comment>
    <comment ref="F171" authorId="0" shapeId="0">
      <text>
        <r>
          <rPr>
            <sz val="8"/>
            <color indexed="81"/>
            <rFont val="Tahoma"/>
            <family val="2"/>
          </rPr>
          <t>The composition given is for the dry milk powder! Before consumption it should be diluted according go to the manufacturers instructions to give about 100 kcal/100 ml.</t>
        </r>
      </text>
    </comment>
    <comment ref="F172" authorId="0" shapeId="0">
      <text>
        <r>
          <rPr>
            <sz val="8"/>
            <color indexed="81"/>
            <rFont val="Tahoma"/>
            <family val="2"/>
          </rPr>
          <t>The composition given is for the dry milk powder! Before consumption it should be diluted according go to the manufacturers instructions to give about 75 kcal/100 ml.</t>
        </r>
      </text>
    </comment>
    <comment ref="F192" authorId="0" shapeId="0">
      <text>
        <r>
          <rPr>
            <sz val="8"/>
            <color indexed="81"/>
            <rFont val="Tahoma"/>
            <family val="2"/>
          </rPr>
          <t>Lipid Nutrient Supplement (LNS)
Manufacturers mid-range values used for nutrient content</t>
        </r>
      </text>
    </comment>
    <comment ref="F193" authorId="0" shapeId="0">
      <text>
        <r>
          <rPr>
            <sz val="8"/>
            <color indexed="81"/>
            <rFont val="Tahoma"/>
            <family val="2"/>
          </rPr>
          <t>Lipid Nutrient Supplement (LNS)
Manufacturers mid-range values used for nutrient content</t>
        </r>
      </text>
    </comment>
    <comment ref="T19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8"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0"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1"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3"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F213" authorId="0" shapeId="0">
      <text>
        <r>
          <rPr>
            <sz val="8"/>
            <color indexed="81"/>
            <rFont val="Tahoma"/>
            <family val="2"/>
          </rPr>
          <t>Formulation designed for: 
- under-5 children 
- with NO access to fortified food
- area NOT affected by malaria</t>
        </r>
      </text>
    </comment>
    <comment ref="F214" authorId="0" shapeId="0">
      <text>
        <r>
          <rPr>
            <sz val="8"/>
            <color indexed="81"/>
            <rFont val="Tahoma"/>
            <family val="2"/>
          </rPr>
          <t>Formulation designed for: 
- under-5 children 
- with NO access to fortified food
- area NOT affected by malaria</t>
        </r>
      </text>
    </comment>
    <comment ref="F255" authorId="0" shapeId="0">
      <text>
        <r>
          <rPr>
            <sz val="8"/>
            <color indexed="81"/>
            <rFont val="Tahoma"/>
            <family val="2"/>
          </rPr>
          <t>Ready to Use Supplementary Food (RUSF)
Manufacturers mid-range values used for nutrient content</t>
        </r>
      </text>
    </comment>
    <comment ref="F256" authorId="0" shapeId="0">
      <text>
        <r>
          <rPr>
            <sz val="8"/>
            <color indexed="81"/>
            <rFont val="Tahoma"/>
            <family val="2"/>
          </rPr>
          <t>Ready to Use Supplementary Food (RUSF)
Manufacturers mid-range values used for nutrient content</t>
        </r>
      </text>
    </comment>
    <comment ref="F257" authorId="0" shapeId="0">
      <text>
        <r>
          <rPr>
            <sz val="8"/>
            <color indexed="81"/>
            <rFont val="Tahoma"/>
            <family val="2"/>
          </rPr>
          <t xml:space="preserve">Ready to Use Supplementary Food (RUSF)
</t>
        </r>
      </text>
    </comment>
    <comment ref="F258" authorId="0" shapeId="0">
      <text>
        <r>
          <rPr>
            <sz val="8"/>
            <color indexed="81"/>
            <rFont val="Tahoma"/>
            <family val="2"/>
          </rPr>
          <t>Ready to Use Therapeutic Food (RUTF)</t>
        </r>
      </text>
    </comment>
    <comment ref="F259" authorId="0" shapeId="0">
      <text>
        <r>
          <rPr>
            <sz val="8"/>
            <color indexed="81"/>
            <rFont val="Tahoma"/>
            <family val="2"/>
          </rPr>
          <t>Ready to Use Therapeutic Food (RUTF)
Manufacturers data on fortificant addition used for micronutrient content.</t>
        </r>
      </text>
    </comment>
    <comment ref="F260" authorId="0" shapeId="0">
      <text>
        <r>
          <rPr>
            <sz val="8"/>
            <color indexed="81"/>
            <rFont val="Tahoma"/>
            <family val="2"/>
          </rPr>
          <t>Ready to Use Therapeutic Food (RUTF)
Manufacturers mid-range values used for nutrient content.</t>
        </r>
      </text>
    </comment>
    <comment ref="F261" authorId="0" shapeId="0">
      <text>
        <r>
          <rPr>
            <sz val="8"/>
            <color indexed="81"/>
            <rFont val="Tahoma"/>
            <family val="2"/>
          </rPr>
          <t>For nutrients where an acceptable range is specified, the value given in NutVal is the mid-point of the range</t>
        </r>
      </text>
    </comment>
    <comment ref="L262" authorId="0" shapeId="0">
      <text>
        <r>
          <rPr>
            <sz val="9"/>
            <color indexed="81"/>
            <rFont val="Tahoma"/>
            <family val="2"/>
          </rPr>
          <t>Range specified as 30.0-50.0 mg/kg</t>
        </r>
      </text>
    </comment>
    <comment ref="X289" authorId="0" shapeId="0">
      <text>
        <r>
          <rPr>
            <b/>
            <sz val="9"/>
            <color indexed="81"/>
            <rFont val="Tahoma"/>
            <family val="2"/>
          </rPr>
          <t>AJS:</t>
        </r>
        <r>
          <rPr>
            <sz val="9"/>
            <color indexed="81"/>
            <rFont val="Tahoma"/>
            <family val="2"/>
          </rPr>
          <t xml:space="preserve">
mid point of fortification range used</t>
        </r>
      </text>
    </comment>
  </commentList>
</comments>
</file>

<file path=xl/sharedStrings.xml><?xml version="1.0" encoding="utf-8"?>
<sst xmlns="http://schemas.openxmlformats.org/spreadsheetml/2006/main" count="2860" uniqueCount="966">
  <si>
    <t>Site 1</t>
  </si>
  <si>
    <t>m</t>
  </si>
  <si>
    <t>Whole Population</t>
  </si>
  <si>
    <t>Carbohydrate</t>
  </si>
  <si>
    <t>Lactating</t>
  </si>
  <si>
    <t>Pregnant</t>
  </si>
  <si>
    <t>BEANS, SOYA</t>
  </si>
  <si>
    <t>SOYA FLOUR, FULL FAT, RAW</t>
  </si>
  <si>
    <t>MAIZE GRAIN, WHITE</t>
  </si>
  <si>
    <t>BEANS, DRIED</t>
  </si>
  <si>
    <t>SUGAR</t>
  </si>
  <si>
    <t>ANIMAL FAT</t>
  </si>
  <si>
    <t>APRICOTS, DRIED</t>
  </si>
  <si>
    <t>AVOCADO PEAR</t>
  </si>
  <si>
    <t>BANANA</t>
  </si>
  <si>
    <t>BEEF, MODERATELY FAT</t>
  </si>
  <si>
    <t>BULGUR WHEAT</t>
  </si>
  <si>
    <t>CANNED MEAT</t>
  </si>
  <si>
    <t>CHEESE, CANNED</t>
  </si>
  <si>
    <t>COCONUT MEAT, RAW</t>
  </si>
  <si>
    <t>CORNED BEEF, CANNED</t>
  </si>
  <si>
    <t>DRIED SKIM MILK (DSM)</t>
  </si>
  <si>
    <t>DRIED SKIM MILK (DSM), FORTIFIED</t>
  </si>
  <si>
    <t>DRIED WHOLE MILK (DWM)</t>
  </si>
  <si>
    <t>EGGPLANT (AUBERGINE)</t>
  </si>
  <si>
    <t>FISH, DRIED, SALTED</t>
  </si>
  <si>
    <t>FRUIT IN SYRUP, CANNED</t>
  </si>
  <si>
    <t>GHEE, BUTTER OIL</t>
  </si>
  <si>
    <t>GUAVA</t>
  </si>
  <si>
    <t>LEAVES, DARK GREEN, e.g. SPINACH</t>
  </si>
  <si>
    <t>LEAVES, LIGHT GREEN, e.g. CABBAGE</t>
  </si>
  <si>
    <t>LEAVES, MEDIUM GREEN, e.g. PUMPKIN</t>
  </si>
  <si>
    <t>LENTILS</t>
  </si>
  <si>
    <t>MAIZE GRAIN, YELLOW</t>
  </si>
  <si>
    <t>MAIZE MEAL, WHITE, DEGERMED</t>
  </si>
  <si>
    <t>MAIZE MEAL, WHITE, WHOLE GRAIN</t>
  </si>
  <si>
    <t>MAIZE MEAL, YELLOW, DEGERMED</t>
  </si>
  <si>
    <t>MAIZE MEAL, YELLOW, WHOLE GRAIN</t>
  </si>
  <si>
    <t>MANGO</t>
  </si>
  <si>
    <t>OATS, WHOLE</t>
  </si>
  <si>
    <t>ONION</t>
  </si>
  <si>
    <t>PEAS, DRIED, SPLIT</t>
  </si>
  <si>
    <t>PEPPERS, SWEET, GREEN, RAW</t>
  </si>
  <si>
    <t>PEPPERS, SWEET, RED, RAW</t>
  </si>
  <si>
    <t>PEPPERS, SWEET, YELLOW, RAW</t>
  </si>
  <si>
    <t>PINEAPPLE</t>
  </si>
  <si>
    <t>PLANTAIN</t>
  </si>
  <si>
    <t>POTATO, IRISH</t>
  </si>
  <si>
    <t>SUNFLOWER SEED, DRIED KERNELS</t>
  </si>
  <si>
    <t>WATER MELON</t>
  </si>
  <si>
    <t>WHEAT FLOUR, WHITE</t>
  </si>
  <si>
    <t>Main Data Sources</t>
  </si>
  <si>
    <t>The focus of NutVal remains the planning and monitoring of general food rations. The addition of these new special nutritional products is primarily to allow users to access composition data in a convenient format.</t>
  </si>
  <si>
    <t>Soybean Oil Specification reference v2.0 (20th May 2011)</t>
  </si>
  <si>
    <t>Food Commodities and Products</t>
  </si>
  <si>
    <t xml:space="preserve">Several additional improvements have been made and the help pages have been updated to reflect the main changes. </t>
  </si>
  <si>
    <t>To allow NutVal to operate correctly macros must be allowed to work.  However, Excel has security protection which can prevent macros from working.  It has this security protection because macros may contain computer viruses.  To allow macros to work in Excel you may need to do the following: 
(1) Search help in your version of Excel and find out how to set the macro security level to medium. 
(2) Set the security level to medium, close NutVal and re-open it, and then click the button that allows macros to work.</t>
  </si>
  <si>
    <t>(3) Also enter the number of days covered by the</t>
  </si>
  <si>
    <t>View Results button to see the printer friendly results sheet.</t>
  </si>
  <si>
    <t xml:space="preserve"> </t>
  </si>
  <si>
    <t xml:space="preserve">   Total weight:</t>
  </si>
  <si>
    <t>Rec. (g)</t>
  </si>
  <si>
    <t>g/p/d2</t>
  </si>
  <si>
    <t>Rec. g/p/d1</t>
  </si>
  <si>
    <t>g/p/d1</t>
  </si>
  <si>
    <t>g/p/d3</t>
  </si>
  <si>
    <t>g/p/d4</t>
  </si>
  <si>
    <t>g/p/d5</t>
  </si>
  <si>
    <t>g/p/d6</t>
  </si>
  <si>
    <t>g/p/d7</t>
  </si>
  <si>
    <t>person per day (g/p/d), and the kcal/100g into Box (B).</t>
  </si>
  <si>
    <t xml:space="preserve">(2) Enter the planned ration commodities, the grams per </t>
  </si>
  <si>
    <t xml:space="preserve">            Energy content:</t>
  </si>
  <si>
    <r>
      <t>What's new in</t>
    </r>
    <r>
      <rPr>
        <b/>
        <sz val="11"/>
        <color indexed="8"/>
        <rFont val="Arial"/>
        <family val="2"/>
      </rPr>
      <t xml:space="preserve"> </t>
    </r>
    <r>
      <rPr>
        <b/>
        <i/>
        <sz val="15"/>
        <color indexed="18"/>
        <rFont val="Verdana"/>
        <family val="2"/>
      </rPr>
      <t>NutVal</t>
    </r>
    <r>
      <rPr>
        <b/>
        <sz val="15"/>
        <color indexed="18"/>
        <rFont val="Arial"/>
        <family val="2"/>
      </rPr>
      <t xml:space="preserve"> </t>
    </r>
    <r>
      <rPr>
        <b/>
        <sz val="12"/>
        <color indexed="8"/>
        <rFont val="Arial"/>
        <family val="2"/>
      </rPr>
      <t>2006</t>
    </r>
  </si>
  <si>
    <r>
      <t xml:space="preserve">The Food Basket Monitoring (OSDM) </t>
    </r>
    <r>
      <rPr>
        <i/>
        <sz val="11"/>
        <color indexed="8"/>
        <rFont val="Arial"/>
        <family val="2"/>
      </rPr>
      <t>data entry sheet</t>
    </r>
    <r>
      <rPr>
        <sz val="11"/>
        <color indexed="8"/>
        <rFont val="Arial"/>
        <family val="2"/>
      </rPr>
      <t xml:space="preserve"> has been modified to make data entry easier and give a more streamlined look.</t>
    </r>
  </si>
  <si>
    <t>Primary School Feeding [WFP]</t>
  </si>
  <si>
    <t>HIV +ve Adults on ART [WFP]</t>
  </si>
  <si>
    <r>
      <t xml:space="preserve">Food commodity </t>
    </r>
    <r>
      <rPr>
        <b/>
        <i/>
        <sz val="11"/>
        <color indexed="8"/>
        <rFont val="Arial"/>
        <family val="2"/>
      </rPr>
      <t>price data</t>
    </r>
    <r>
      <rPr>
        <sz val="11"/>
        <color indexed="8"/>
        <rFont val="Arial"/>
        <family val="2"/>
      </rPr>
      <t xml:space="preserve"> was included in earlier versions of NutVal.  However, due to the recent sharp increases in food prices and continuing market volatility it is no longer possible to provide a meaningful FOB guide price for planning purposes. To prevent confusion this data has now been removed in v2. Users are advised to obtain up to date food commodity, and transport and handling prices for planning and monitoring programmes.</t>
    </r>
  </si>
  <si>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v2.1</t>
    </r>
  </si>
  <si>
    <t>The nutrient content of barley has been adjusted to bring it in to line with the latest USDA nutrient composition data.</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</si>
  <si>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v2.2</t>
    </r>
  </si>
  <si>
    <t>Some users may have experienced problems in running version 2.1 for the first time on computers with certain installations of Excel. This bug has been fixed in version 2.2. No other functionality has been changed.</t>
  </si>
  <si>
    <t>GR Energy Value</t>
  </si>
  <si>
    <t>Population Groups</t>
  </si>
  <si>
    <t xml:space="preserve">% Energy from Fat </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</si>
  <si>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v2.0</t>
    </r>
  </si>
  <si>
    <t>Lower % Energy from Fat Limit</t>
  </si>
  <si>
    <t>Upper % Energy from Fat Limit</t>
  </si>
  <si>
    <r>
      <t>BP-5</t>
    </r>
    <r>
      <rPr>
        <sz val="9"/>
        <color indexed="20"/>
        <rFont val="Arial"/>
        <family val="2"/>
      </rPr>
      <t>™</t>
    </r>
  </si>
  <si>
    <r>
      <t>RUTF - BP100</t>
    </r>
    <r>
      <rPr>
        <sz val="9"/>
        <color indexed="20"/>
        <rFont val="Arial"/>
        <family val="2"/>
      </rPr>
      <t>™</t>
    </r>
  </si>
  <si>
    <r>
      <t>RUTF - PLUMPY'NUT</t>
    </r>
    <r>
      <rPr>
        <sz val="9"/>
        <color indexed="20"/>
        <rFont val="Arial"/>
        <family val="2"/>
      </rPr>
      <t>®</t>
    </r>
  </si>
  <si>
    <t>Compact Product Sheet (Version 260907)</t>
  </si>
  <si>
    <t>F&amp;N Needs in Emergencies (2002)</t>
  </si>
  <si>
    <t>WFP calculated total content emailed by Crystal Karakochuk (16/11/2011)</t>
  </si>
  <si>
    <t>09.01.2012</t>
  </si>
  <si>
    <t>MNP FORMULATION (UN Joint Statement)</t>
  </si>
  <si>
    <t>Compact Product Sheet (Version Draft 1)</t>
  </si>
  <si>
    <t>RUSF - eeZeeRUSF™</t>
  </si>
  <si>
    <t>Compact Product Sheet (Version 040311)</t>
  </si>
  <si>
    <t>RUTF - eeZeePaste NUT™</t>
  </si>
  <si>
    <t>UN Joint Statement (May 2007)</t>
  </si>
  <si>
    <t>RUTF SPECIFICATIONS (UN Joint Statement, 2007)</t>
  </si>
  <si>
    <t>TOMATOES, RED, RIPE</t>
  </si>
  <si>
    <t>TOMATOES, SUN DRIED</t>
  </si>
  <si>
    <t>Last updated</t>
  </si>
  <si>
    <r>
      <t>NutVal</t>
    </r>
    <r>
      <rPr>
        <b/>
        <sz val="15"/>
        <rFont val="Verdana"/>
        <family val="2"/>
      </rPr>
      <t xml:space="preserve"> </t>
    </r>
    <r>
      <rPr>
        <sz val="14"/>
        <rFont val="Verdana"/>
        <family val="2"/>
      </rPr>
      <t>-</t>
    </r>
    <r>
      <rPr>
        <b/>
        <sz val="14"/>
        <rFont val="Verdana"/>
        <family val="2"/>
      </rPr>
      <t xml:space="preserve"> </t>
    </r>
    <r>
      <rPr>
        <b/>
        <sz val="12"/>
        <rFont val="Verdana"/>
        <family val="2"/>
      </rPr>
      <t>Food Basket Monitoring</t>
    </r>
    <r>
      <rPr>
        <b/>
        <sz val="11"/>
        <rFont val="Verdana"/>
        <family val="2"/>
      </rPr>
      <t xml:space="preserve"> Results </t>
    </r>
    <r>
      <rPr>
        <b/>
        <sz val="8"/>
        <rFont val="Verdana"/>
        <family val="2"/>
      </rPr>
      <t xml:space="preserve">(Version 2) </t>
    </r>
  </si>
  <si>
    <r>
      <t xml:space="preserve">What's new in </t>
    </r>
    <r>
      <rPr>
        <b/>
        <i/>
        <sz val="15"/>
        <color indexed="18"/>
        <rFont val="Verdana"/>
        <family val="2"/>
      </rPr>
      <t>NutVal</t>
    </r>
    <r>
      <rPr>
        <sz val="11"/>
        <rFont val="Arial"/>
        <family val="2"/>
      </rPr>
      <t xml:space="preserve"> </t>
    </r>
    <r>
      <rPr>
        <b/>
        <sz val="11"/>
        <rFont val="Arial"/>
        <family val="2"/>
      </rPr>
      <t>3.0</t>
    </r>
  </si>
  <si>
    <r>
      <t xml:space="preserve">Nutrition products for </t>
    </r>
    <r>
      <rPr>
        <i/>
        <sz val="11"/>
        <rFont val="Arial"/>
        <family val="2"/>
      </rPr>
      <t>therapeutic feeding</t>
    </r>
    <r>
      <rPr>
        <sz val="11"/>
        <rFont val="Arial"/>
        <family val="2"/>
      </rPr>
      <t xml:space="preserve"> have also been added, along with the specification for ready to use therapeutic foods (RUTF) provided in the UN joint statement on Community Based Management of Acute Malnutrition (2007). These products are listed in the database under a new food group called 'Therapeutic'.</t>
    </r>
  </si>
  <si>
    <t>A bug that resulted in an error during the saving of calculation worksheet data has been fixed.</t>
  </si>
  <si>
    <r>
      <t xml:space="preserve">The following items have been </t>
    </r>
    <r>
      <rPr>
        <b/>
        <i/>
        <sz val="11"/>
        <color indexed="8"/>
        <rFont val="Arial"/>
        <family val="2"/>
      </rPr>
      <t>added</t>
    </r>
    <r>
      <rPr>
        <sz val="11"/>
        <color indexed="8"/>
        <rFont val="Arial"/>
        <family val="2"/>
      </rPr>
      <t xml:space="preserve"> to the Commodity database: Soy flour; HEPS; Split Peas; WFP specifications for Fortified Maize Meal, Corn Soy Blend, and Wheat Soy Blend; Tomato paste; Dried Tomatoes; Pea-Wheat blend; Red, Green and Yellow Sweet Peppers.</t>
    </r>
  </si>
  <si>
    <r>
      <t xml:space="preserve">The general food ration </t>
    </r>
    <r>
      <rPr>
        <i/>
        <sz val="11"/>
        <rFont val="Arial"/>
        <family val="2"/>
      </rPr>
      <t>energy adjustment</t>
    </r>
    <r>
      <rPr>
        <sz val="11"/>
        <rFont val="Arial"/>
        <family val="2"/>
      </rPr>
      <t xml:space="preserve"> spinner now increments in 5 kcal steps to make changing the energy target faster.</t>
    </r>
  </si>
  <si>
    <r>
      <t>Minor text changes including links to the new NutVal web site (</t>
    </r>
    <r>
      <rPr>
        <b/>
        <sz val="10"/>
        <color indexed="8"/>
        <rFont val="Arial"/>
        <family val="2"/>
      </rPr>
      <t>www.nutval.net</t>
    </r>
    <r>
      <rPr>
        <sz val="11"/>
        <color indexed="8"/>
        <rFont val="Arial"/>
        <family val="2"/>
      </rPr>
      <t>) and email address for technical support (</t>
    </r>
    <r>
      <rPr>
        <b/>
        <sz val="10"/>
        <color indexed="8"/>
        <rFont val="Arial"/>
        <family val="2"/>
      </rPr>
      <t>support@nutval.net</t>
    </r>
    <r>
      <rPr>
        <sz val="11"/>
        <color indexed="8"/>
        <rFont val="Arial"/>
        <family val="2"/>
      </rPr>
      <t>) have been added to the front menu page</t>
    </r>
  </si>
  <si>
    <r>
      <t xml:space="preserve">The following items have been </t>
    </r>
    <r>
      <rPr>
        <b/>
        <i/>
        <sz val="11"/>
        <color indexed="8"/>
        <rFont val="Arial"/>
        <family val="2"/>
      </rPr>
      <t>deleted</t>
    </r>
    <r>
      <rPr>
        <sz val="11"/>
        <color indexed="8"/>
        <rFont val="Arial"/>
        <family val="2"/>
      </rPr>
      <t xml:space="preserve"> from the Commodity database: Rison; Lichis bastard; Shallots; Milk Bars; Milk Tablets; Condensed Milk</t>
    </r>
  </si>
  <si>
    <r>
      <t xml:space="preserve">Composition data has been </t>
    </r>
    <r>
      <rPr>
        <b/>
        <i/>
        <sz val="11"/>
        <color indexed="8"/>
        <rFont val="Arial"/>
        <family val="2"/>
      </rPr>
      <t>updated</t>
    </r>
    <r>
      <rPr>
        <sz val="11"/>
        <color indexed="8"/>
        <rFont val="Arial"/>
        <family val="2"/>
      </rPr>
      <t xml:space="preserve"> for: Peas; Tomatoes; Lentils; Soybean Meal</t>
    </r>
  </si>
  <si>
    <r>
      <t xml:space="preserve">Some commodities have been </t>
    </r>
    <r>
      <rPr>
        <b/>
        <i/>
        <sz val="11"/>
        <color indexed="8"/>
        <rFont val="Arial"/>
        <family val="2"/>
      </rPr>
      <t>renamed</t>
    </r>
    <r>
      <rPr>
        <sz val="11"/>
        <color indexed="8"/>
        <rFont val="Arial"/>
        <family val="2"/>
      </rPr>
      <t xml:space="preserve"> to make it easier to locate them in the database.  e.g. Vegetable Oil is now called Oil, Vegetable.  </t>
    </r>
  </si>
  <si>
    <r>
      <t xml:space="preserve">A </t>
    </r>
    <r>
      <rPr>
        <i/>
        <sz val="11"/>
        <color indexed="8"/>
        <rFont val="Arial"/>
        <family val="2"/>
      </rPr>
      <t>View Full Screen</t>
    </r>
    <r>
      <rPr>
        <sz val="11"/>
        <color indexed="8"/>
        <rFont val="Arial"/>
        <family val="2"/>
      </rPr>
      <t xml:space="preserve"> button has been added on the menu page.  The help screens have been redesigned and updated. From all the main </t>
    </r>
    <r>
      <rPr>
        <i/>
        <sz val="11"/>
        <color indexed="8"/>
        <rFont val="Arial"/>
        <family val="2"/>
      </rPr>
      <t>help screens</t>
    </r>
    <r>
      <rPr>
        <sz val="11"/>
        <color indexed="8"/>
        <rFont val="Arial"/>
        <family val="2"/>
      </rPr>
      <t xml:space="preserve"> you can now click on the green go-back arrow to get back to where you came from.</t>
    </r>
  </si>
  <si>
    <t xml:space="preserve">     Nutrients per 100 g raw edible portion</t>
  </si>
  <si>
    <t>kcal</t>
  </si>
  <si>
    <t>g</t>
  </si>
  <si>
    <t>Calcium</t>
  </si>
  <si>
    <t>mg</t>
  </si>
  <si>
    <t>µg</t>
  </si>
  <si>
    <t>Total Kcal</t>
  </si>
  <si>
    <t>F</t>
  </si>
  <si>
    <t>M</t>
  </si>
  <si>
    <t>g/person/day</t>
  </si>
  <si>
    <t xml:space="preserve">Camp/Area: </t>
  </si>
  <si>
    <t xml:space="preserve">Distribution Site: </t>
  </si>
  <si>
    <t>Survey Date:</t>
  </si>
  <si>
    <t>Survey Start Time:</t>
  </si>
  <si>
    <t>Survey End Time:</t>
  </si>
  <si>
    <t>CSB</t>
  </si>
  <si>
    <t>Oil</t>
  </si>
  <si>
    <t>Address</t>
  </si>
  <si>
    <t>Commodity</t>
  </si>
  <si>
    <t>g/p/d</t>
  </si>
  <si>
    <t>Total</t>
  </si>
  <si>
    <t>kcals</t>
  </si>
  <si>
    <t>% Kcal</t>
  </si>
  <si>
    <t>Number of samples taken</t>
  </si>
  <si>
    <t>Average</t>
  </si>
  <si>
    <t>planned</t>
  </si>
  <si>
    <t xml:space="preserve">% of </t>
  </si>
  <si>
    <t>Planned Distribution</t>
  </si>
  <si>
    <t>Results Summary</t>
  </si>
  <si>
    <t>&lt;90%</t>
  </si>
  <si>
    <t>&gt;110%</t>
  </si>
  <si>
    <t xml:space="preserve">Planned kcal/person/day  </t>
  </si>
  <si>
    <t xml:space="preserve">Received kcal/person/day  </t>
  </si>
  <si>
    <t>Min.</t>
  </si>
  <si>
    <t>Max.</t>
  </si>
  <si>
    <t>No. Receiving</t>
  </si>
  <si>
    <t>Help and Information</t>
  </si>
  <si>
    <t>How to track nutrient content over time</t>
  </si>
  <si>
    <t>kcals/100g</t>
  </si>
  <si>
    <t>kcals/p/d</t>
  </si>
  <si>
    <t>Exp.  (gm)</t>
  </si>
  <si>
    <t>Received (gm)</t>
  </si>
  <si>
    <t>How to use:</t>
  </si>
  <si>
    <t>Summary</t>
  </si>
  <si>
    <t>Kcal/p/d</t>
  </si>
  <si>
    <t>Number receiving &lt;90% of planned kcals</t>
  </si>
  <si>
    <t>Number receiving &gt;110% planned kcals</t>
  </si>
  <si>
    <t>Average % of planned kcals received</t>
  </si>
  <si>
    <t>% receiving &lt;90% of planned ration</t>
  </si>
  <si>
    <t>% receiving &gt;110% of planned ration</t>
  </si>
  <si>
    <t>Results by Commodity Weight</t>
  </si>
  <si>
    <t>(c) Food Basket Monitoring Data</t>
  </si>
  <si>
    <t>Family Size</t>
  </si>
  <si>
    <t>Number of days covered by this distribution:</t>
  </si>
  <si>
    <t>SUGAR AND SALT</t>
  </si>
  <si>
    <t>FISH</t>
  </si>
  <si>
    <t>OILS AND FATS</t>
  </si>
  <si>
    <t>MISCELLANEOUS</t>
  </si>
  <si>
    <t>Calcium (mg)</t>
  </si>
  <si>
    <t>CEREALS</t>
  </si>
  <si>
    <t>VEGETABLES</t>
  </si>
  <si>
    <t>ROOTS AND TUBERS</t>
  </si>
  <si>
    <t>MILK &amp; PRODUCTS</t>
  </si>
  <si>
    <t>PULSES &amp; OILSEEDS</t>
  </si>
  <si>
    <t>EGGS</t>
  </si>
  <si>
    <t>Food Type</t>
  </si>
  <si>
    <t>Acknowledgements</t>
  </si>
  <si>
    <t>Name</t>
  </si>
  <si>
    <t xml:space="preserve">Date: </t>
  </si>
  <si>
    <t xml:space="preserve"> distribution in Box (B).</t>
  </si>
  <si>
    <t>(1) Enter details of the survey into Box (A).</t>
  </si>
  <si>
    <t>(4) Enter the data from the survey into part (C) below.</t>
  </si>
  <si>
    <t>Data Entry Sheet</t>
  </si>
  <si>
    <t>Results Sheet</t>
  </si>
  <si>
    <t>Results by Gender of Beneficiary Collecting Ration</t>
  </si>
  <si>
    <t>Male</t>
  </si>
  <si>
    <t>Female</t>
  </si>
  <si>
    <t>Number of Male Beneficiaries:</t>
  </si>
  <si>
    <t>Number of Female Beneficiaries:</t>
  </si>
  <si>
    <t>% Female Beneficiaries:</t>
  </si>
  <si>
    <t>Survey Details</t>
  </si>
  <si>
    <t>Sex</t>
  </si>
  <si>
    <t>% &gt; 110%</t>
  </si>
  <si>
    <t xml:space="preserve">% &lt;90% </t>
  </si>
  <si>
    <t>n &lt;90%</t>
  </si>
  <si>
    <t>n &gt;110%</t>
  </si>
  <si>
    <t>&lt;90</t>
  </si>
  <si>
    <t>&gt;110</t>
  </si>
  <si>
    <t>Receiving &lt; 90%</t>
  </si>
  <si>
    <t>%</t>
  </si>
  <si>
    <t>n</t>
  </si>
  <si>
    <t>Receiving &gt; 110%</t>
  </si>
  <si>
    <t>Actual Distribution Received in Weight/Person/Day</t>
  </si>
  <si>
    <t>Actual Distribution Received in kcals/Person/Day</t>
  </si>
  <si>
    <t>Gender of Ration Collector</t>
  </si>
  <si>
    <t>End Time:</t>
  </si>
  <si>
    <t xml:space="preserve">(5) Results are calculated automatically.  Click the </t>
  </si>
  <si>
    <t>Sample Number</t>
  </si>
  <si>
    <t>&gt;0</t>
  </si>
  <si>
    <t>Min. kcal</t>
  </si>
  <si>
    <t>Max. kcal</t>
  </si>
  <si>
    <t>Average kcal</t>
  </si>
  <si>
    <t>% of planned</t>
  </si>
  <si>
    <t>Combined</t>
  </si>
  <si>
    <t>Sample number</t>
  </si>
  <si>
    <t>DFUNCTION Criteria</t>
  </si>
  <si>
    <t xml:space="preserve">Results </t>
  </si>
  <si>
    <t>Results by Commodity</t>
  </si>
  <si>
    <t>&lt;90%1</t>
  </si>
  <si>
    <t>&gt;110%1</t>
  </si>
  <si>
    <t>&lt;90%2</t>
  </si>
  <si>
    <t>&gt;110%2</t>
  </si>
  <si>
    <t>&lt;90%3</t>
  </si>
  <si>
    <t>&gt;110%3</t>
  </si>
  <si>
    <t>&lt;90%4</t>
  </si>
  <si>
    <t>&gt;110%4</t>
  </si>
  <si>
    <t>&lt;90%5</t>
  </si>
  <si>
    <t>&gt;110%5</t>
  </si>
  <si>
    <t>&lt;90%6</t>
  </si>
  <si>
    <t>&gt;110%6</t>
  </si>
  <si>
    <t>&lt;90%7</t>
  </si>
  <si>
    <t>&gt;110%7</t>
  </si>
  <si>
    <t>Salt</t>
  </si>
  <si>
    <t>Sugar</t>
  </si>
  <si>
    <t>Ration Name/Reference:</t>
  </si>
  <si>
    <r>
      <t>RUSF - PLUMPY'SUP</t>
    </r>
    <r>
      <rPr>
        <sz val="9"/>
        <color indexed="20"/>
        <rFont val="Arial"/>
        <family val="2"/>
      </rPr>
      <t>®</t>
    </r>
  </si>
  <si>
    <t>PASTA, MACARONI</t>
  </si>
  <si>
    <t>The  data collected during On-site Distribution Monitoring can then be entered into the NutVal spreadsheet which calculates the results automatically.  Both the data entry sheet and the results page can be easily exported to new files to enable effective record keeping.</t>
  </si>
  <si>
    <t>How to enable macros</t>
  </si>
  <si>
    <t>Protein</t>
  </si>
  <si>
    <t>Fat</t>
  </si>
  <si>
    <t>BLENDED FOODS</t>
  </si>
  <si>
    <t>FRUIT</t>
  </si>
  <si>
    <t xml:space="preserve">FRUIT </t>
  </si>
  <si>
    <t>MEAT</t>
  </si>
  <si>
    <t>Beans</t>
  </si>
  <si>
    <t>Name change! From this release onwards it has been decided not to include the year of release as part of the NutVal name. This is to avoid confusion over version numbers and to make the naming approach more consistent with other, similar, software. We hope this change in how we name NutVal will also encourage all users to update whenever a new version is released, thereby ensuring they are using the most recent version for their planning and monitoring work.</t>
  </si>
  <si>
    <r>
      <t xml:space="preserve">Two new </t>
    </r>
    <r>
      <rPr>
        <i/>
        <sz val="11"/>
        <rFont val="Arial"/>
        <family val="2"/>
      </rPr>
      <t>population groups and requirements</t>
    </r>
    <r>
      <rPr>
        <sz val="11"/>
        <rFont val="Arial"/>
        <family val="2"/>
      </rPr>
      <t xml:space="preserve"> have been added. These are: the WFP nutrient requirements for primary school feeding programmes, and the WFP nutrient requirements for general feeding requirements for adults with HIV. (Additional age groups will be added in future updates.)</t>
    </r>
  </si>
  <si>
    <t>COWPEAS, BLACK-EYED</t>
  </si>
  <si>
    <t>PIGEON PEAS (RED GRAM)</t>
  </si>
  <si>
    <t>MUNG BEANS (GREEN GRAM)</t>
  </si>
  <si>
    <r>
      <t>Thirty-five</t>
    </r>
    <r>
      <rPr>
        <sz val="11"/>
        <rFont val="Arial"/>
        <family val="2"/>
      </rPr>
      <t xml:space="preserve"> new items have been added to the NutVal 3.0 database. These include a number of new WFP specifications for </t>
    </r>
    <r>
      <rPr>
        <i/>
        <sz val="11"/>
        <rFont val="Arial"/>
        <family val="2"/>
      </rPr>
      <t>fortified blended foods</t>
    </r>
    <r>
      <rPr>
        <sz val="11"/>
        <rFont val="Arial"/>
        <family val="2"/>
      </rPr>
      <t xml:space="preserve">. Entries for several pre-existing products have been updated using the latest data sheets from the manufacturers. Previous entries for WFP and US CSB and WSB have been deleted, along with some redundant or little used items (Amla and Snail). Following user requests, </t>
    </r>
    <r>
      <rPr>
        <i/>
        <sz val="11"/>
        <rFont val="Arial"/>
        <family val="2"/>
      </rPr>
      <t>Mung beans</t>
    </r>
    <r>
      <rPr>
        <sz val="11"/>
        <rFont val="Arial"/>
        <family val="2"/>
      </rPr>
      <t xml:space="preserve"> and </t>
    </r>
    <r>
      <rPr>
        <i/>
        <sz val="11"/>
        <rFont val="Arial"/>
        <family val="2"/>
      </rPr>
      <t>Pigeon peas</t>
    </r>
    <r>
      <rPr>
        <sz val="11"/>
        <rFont val="Arial"/>
        <family val="2"/>
      </rPr>
      <t xml:space="preserve"> have been added and the entry for </t>
    </r>
    <r>
      <rPr>
        <i/>
        <sz val="11"/>
        <rFont val="Arial"/>
        <family val="2"/>
      </rPr>
      <t>Cowpeas</t>
    </r>
    <r>
      <rPr>
        <sz val="11"/>
        <rFont val="Arial"/>
        <family val="2"/>
      </rPr>
      <t xml:space="preserve"> re-named to make it easier to find.</t>
    </r>
  </si>
  <si>
    <r>
      <t xml:space="preserve">Other </t>
    </r>
    <r>
      <rPr>
        <i/>
        <sz val="11"/>
        <rFont val="Arial"/>
        <family val="2"/>
      </rPr>
      <t>special nutrition products</t>
    </r>
    <r>
      <rPr>
        <sz val="11"/>
        <rFont val="Arial"/>
        <family val="2"/>
      </rPr>
      <t xml:space="preserve"> including products for targeted supplementary feeding, WFP Micronutrient Powder (MNP) specifications, and Lipid Nutrient Supplements (LNS) have also been added. These can be found under the 'Miscellaneous' food group.</t>
    </r>
  </si>
  <si>
    <t>LIMES</t>
  </si>
  <si>
    <r>
      <t>(A)</t>
    </r>
    <r>
      <rPr>
        <sz val="8"/>
        <rFont val="Verdana"/>
        <family val="2"/>
      </rPr>
      <t xml:space="preserve"> Details of Survey</t>
    </r>
  </si>
  <si>
    <r>
      <t>(B)</t>
    </r>
    <r>
      <rPr>
        <sz val="8"/>
        <rFont val="Verdana"/>
        <family val="2"/>
      </rPr>
      <t xml:space="preserve"> Ration Planned for this Distribution</t>
    </r>
  </si>
  <si>
    <t>09:00</t>
  </si>
  <si>
    <t>12:30</t>
  </si>
  <si>
    <t>Food Basket Monitoring Data Collection Sheet</t>
  </si>
  <si>
    <t>Comments</t>
  </si>
  <si>
    <t xml:space="preserve">There is space to enter data on up to 37 beneficiaries </t>
  </si>
  <si>
    <t>Sex      (M or F)</t>
  </si>
  <si>
    <t>Commodity name:</t>
  </si>
  <si>
    <t>Date:</t>
  </si>
  <si>
    <t>Camp or Area:</t>
  </si>
  <si>
    <t>Site:</t>
  </si>
  <si>
    <t>Survey Times:</t>
  </si>
  <si>
    <t xml:space="preserve"> - </t>
  </si>
  <si>
    <t>although samples of 30 are often adequate.</t>
  </si>
  <si>
    <t>Days covered by this distribution:</t>
  </si>
  <si>
    <t>NutVal</t>
  </si>
  <si>
    <t>Collection of this type of data is one of the reporting requirements for UNHCR food aid operations and constitutes one aspect of best practice in the management of food aid programmes.  Further details may be found in 'Commodity Distribution' UNHCR, Division of Operational Support, June 1997.</t>
  </si>
  <si>
    <t>Maize</t>
  </si>
  <si>
    <r>
      <t>μ</t>
    </r>
    <r>
      <rPr>
        <b/>
        <sz val="9"/>
        <rFont val="Arial"/>
        <family val="2"/>
      </rPr>
      <t>g</t>
    </r>
  </si>
  <si>
    <t xml:space="preserve">                                      </t>
  </si>
  <si>
    <t>Vitamin A</t>
  </si>
  <si>
    <t>Thiamine
Vitamin B1</t>
  </si>
  <si>
    <t>Riboflavin
Vitamin 
B2</t>
  </si>
  <si>
    <t>Niacin
Vitamin 
B3</t>
  </si>
  <si>
    <t>Pyridoxine
Vitamin 
B6</t>
  </si>
  <si>
    <t>Cobalamin
Vitamin 
B12</t>
  </si>
  <si>
    <t>Vitamin 
C</t>
  </si>
  <si>
    <t>Vitamin 
D</t>
  </si>
  <si>
    <t>Vitamin 
E</t>
  </si>
  <si>
    <t>Vitamin 
K</t>
  </si>
  <si>
    <t xml:space="preserve">Calcium
</t>
  </si>
  <si>
    <t xml:space="preserve">Copper
</t>
  </si>
  <si>
    <t xml:space="preserve">Iodine
</t>
  </si>
  <si>
    <t xml:space="preserve">Iron
</t>
  </si>
  <si>
    <t xml:space="preserve">Magnesium
</t>
  </si>
  <si>
    <t xml:space="preserve">Selenium
</t>
  </si>
  <si>
    <t xml:space="preserve">Zinc
</t>
  </si>
  <si>
    <t>Daily
Ration</t>
  </si>
  <si>
    <t xml:space="preserve">     </t>
  </si>
  <si>
    <t>Copper (mg)</t>
  </si>
  <si>
    <t>Magnesium (mg)</t>
  </si>
  <si>
    <t>Cobalamin (ug)</t>
  </si>
  <si>
    <t>Pyridoxine (mg)</t>
  </si>
  <si>
    <t>Pantothenate (mg)</t>
  </si>
  <si>
    <t>Vitamin E (mg)</t>
  </si>
  <si>
    <t>Vitamin C (mg)</t>
  </si>
  <si>
    <t>Niacin (mg)</t>
  </si>
  <si>
    <t>Riboflavin (mg)</t>
  </si>
  <si>
    <t>Thiamine (mg)</t>
  </si>
  <si>
    <t>Iodine (ug)</t>
  </si>
  <si>
    <t>Iron 
(mg)</t>
  </si>
  <si>
    <t>µg RAE</t>
  </si>
  <si>
    <t>Thiamine
Vitamin 
B1</t>
  </si>
  <si>
    <t xml:space="preserve">                                               Nutrients per 100 grams of raw portion</t>
  </si>
  <si>
    <t>Group Selection</t>
  </si>
  <si>
    <t xml:space="preserve">Widths: </t>
  </si>
  <si>
    <t>Nutrient Requirements and Safe Upper Limits (UL)</t>
  </si>
  <si>
    <t>Population Groups 
for DropDown Control</t>
  </si>
  <si>
    <t>Fat 
(g)</t>
  </si>
  <si>
    <t>Energy (kcal)</t>
  </si>
  <si>
    <t>Protein (g)</t>
  </si>
  <si>
    <t xml:space="preserve"> Ration Name/Reference:</t>
  </si>
  <si>
    <r>
      <t>Folate  
(</t>
    </r>
    <r>
      <rPr>
        <b/>
        <sz val="8"/>
        <rFont val="Calibri"/>
        <family val="2"/>
      </rPr>
      <t>µ</t>
    </r>
    <r>
      <rPr>
        <b/>
        <sz val="8"/>
        <rFont val="Arial"/>
        <family val="2"/>
      </rPr>
      <t>g)</t>
    </r>
  </si>
  <si>
    <r>
      <t>Cobalamin (</t>
    </r>
    <r>
      <rPr>
        <b/>
        <sz val="8"/>
        <rFont val="Calibri"/>
        <family val="2"/>
      </rPr>
      <t>µ</t>
    </r>
    <r>
      <rPr>
        <b/>
        <sz val="8"/>
        <rFont val="Arial"/>
        <family val="2"/>
      </rPr>
      <t>g)</t>
    </r>
  </si>
  <si>
    <r>
      <t>Vitamin A (</t>
    </r>
    <r>
      <rPr>
        <b/>
        <sz val="8"/>
        <rFont val="Calibri"/>
        <family val="2"/>
      </rPr>
      <t>µ</t>
    </r>
    <r>
      <rPr>
        <b/>
        <sz val="8"/>
        <rFont val="Arial"/>
        <family val="2"/>
      </rPr>
      <t>g RAE)</t>
    </r>
  </si>
  <si>
    <t xml:space="preserve">Previous versions of NutVal has been improved by including modifications, fixes and additional features that have been suggested by users.  Please help us to continue this process by sending suggestions or corrections to                                      Thanks! </t>
  </si>
  <si>
    <t>A spreadsheet application for planning, calculating
and monitoring the Nutritional Value of food assistance</t>
  </si>
  <si>
    <t>RATION CONTENTS</t>
  </si>
  <si>
    <t>Graph Labels</t>
  </si>
  <si>
    <t>Energy</t>
  </si>
  <si>
    <t>Vitamin B1</t>
  </si>
  <si>
    <t>Vitamin B2</t>
  </si>
  <si>
    <t>Vitamin B3</t>
  </si>
  <si>
    <t>Vitamin B5</t>
  </si>
  <si>
    <t>Vitamin B6</t>
  </si>
  <si>
    <t>Vitamin B9</t>
  </si>
  <si>
    <t>Vitamin B12</t>
  </si>
  <si>
    <t>Vitamin C</t>
  </si>
  <si>
    <t>Vitamin D</t>
  </si>
  <si>
    <t>Vitamin E</t>
  </si>
  <si>
    <t>Vitamin K</t>
  </si>
  <si>
    <t>Type</t>
  </si>
  <si>
    <t>Sort Criteria</t>
  </si>
  <si>
    <t>Filter Criteria</t>
  </si>
  <si>
    <t>Sort Value</t>
  </si>
  <si>
    <t>FilterValue</t>
  </si>
  <si>
    <t>All</t>
  </si>
  <si>
    <r>
      <rPr>
        <b/>
        <sz val="9"/>
        <rFont val="Calibri"/>
        <family val="2"/>
      </rPr>
      <t>µ</t>
    </r>
    <r>
      <rPr>
        <b/>
        <sz val="9"/>
        <rFont val="Arial"/>
        <family val="2"/>
      </rPr>
      <t>g</t>
    </r>
  </si>
  <si>
    <r>
      <t>Vitamin K (</t>
    </r>
    <r>
      <rPr>
        <b/>
        <sz val="8"/>
        <rFont val="Calibri"/>
        <family val="2"/>
      </rPr>
      <t>µ</t>
    </r>
    <r>
      <rPr>
        <b/>
        <sz val="8"/>
        <rFont val="Arial"/>
        <family val="2"/>
      </rPr>
      <t>g)</t>
    </r>
  </si>
  <si>
    <r>
      <t>Selenium (</t>
    </r>
    <r>
      <rPr>
        <b/>
        <sz val="8"/>
        <rFont val="Calibri"/>
        <family val="2"/>
      </rPr>
      <t>µ</t>
    </r>
    <r>
      <rPr>
        <b/>
        <sz val="8"/>
        <rFont val="Arial"/>
        <family val="2"/>
      </rPr>
      <t>g)</t>
    </r>
  </si>
  <si>
    <t>Pantothenate
Vitamin 
B5</t>
  </si>
  <si>
    <t>Folate
Vitamin 
B9</t>
  </si>
  <si>
    <t>µg DFE</t>
  </si>
  <si>
    <t>USDA NDLSR 26</t>
  </si>
  <si>
    <t>2013.10.30</t>
  </si>
  <si>
    <t>2013.11.19</t>
  </si>
  <si>
    <t>USDA NDLSR 26 (NDB: 09037)</t>
  </si>
  <si>
    <t>USDA NDLSR 26 (NDB: 09030)</t>
  </si>
  <si>
    <t>USDA NDLSR 26 (NDB: 09040)</t>
  </si>
  <si>
    <t>USDA NDLSR 26 (NDB: 16024)</t>
  </si>
  <si>
    <t>USDA NDLSR 26 (NDB: 16108)</t>
  </si>
  <si>
    <t>USDA NDLSR 26 (NDB: 16027)</t>
  </si>
  <si>
    <t>USDA NDLSR 26 (NDB: 16037)</t>
  </si>
  <si>
    <t>USDA NDLSR 26 (NDB: 16040)</t>
  </si>
  <si>
    <t>USDA NDLSR 26 (NDB: 16042)</t>
  </si>
  <si>
    <t>Average of values from NDLSR 26 (see coment)</t>
  </si>
  <si>
    <t>USDA NDLSR 26 (NDB: 13795)</t>
  </si>
  <si>
    <t>2013.11.25</t>
  </si>
  <si>
    <t>USDA NDLSR 26 (NDB: 18064)</t>
  </si>
  <si>
    <t>USDA NDLSR 26 (NDB: 20012)</t>
  </si>
  <si>
    <t>BUTTER, WITH SALT</t>
  </si>
  <si>
    <t>USDA NDLSR 26 (NDB: 01001)</t>
  </si>
  <si>
    <t>USDA NDLSR 26 (NDB: 15184)</t>
  </si>
  <si>
    <t>USDA NDLSR 26 (NDB: 15183)</t>
  </si>
  <si>
    <t>USDA NDLSR 26 (NDB: 15088)</t>
  </si>
  <si>
    <t>2013.11.26</t>
  </si>
  <si>
    <t>USDA NDLSR 26 (NDB: 12087)</t>
  </si>
  <si>
    <t>CASHEW NUTS, RAW</t>
  </si>
  <si>
    <t>USDA NDLSR 26 (NDB: 11134)</t>
  </si>
  <si>
    <t>CASSAVA, RAW</t>
  </si>
  <si>
    <t>USDA NDLSR 26 (NDB: 05311)</t>
  </si>
  <si>
    <t>USDA NDLSR 26 (NDB: 16056)</t>
  </si>
  <si>
    <t>COCOA, DRY POWDER, UNSWEETENED</t>
  </si>
  <si>
    <t>USDA NDLSR 26 (NDB: 19165)</t>
  </si>
  <si>
    <t>USDA NDLSR 26 (NDB: 12104)</t>
  </si>
  <si>
    <t>USDA NDLSR 26 (NDB: 14209)</t>
  </si>
  <si>
    <t>USDA NDLSR 26 (NDB: 13348)</t>
  </si>
  <si>
    <t>USDA NDLSR 26 (NDB: 16062)</t>
  </si>
  <si>
    <t>DATES, DRIED (DEGLET NOOR)</t>
  </si>
  <si>
    <t>USDA NDLSR 26 (NDB: 01091)</t>
  </si>
  <si>
    <t>USDA NDLSR 26 (NDB: 01154)</t>
  </si>
  <si>
    <t>USDA NDLSR 26 (NDB: 01212)</t>
  </si>
  <si>
    <t>EGG, WHOLE, CHICKEN, FRESH</t>
  </si>
  <si>
    <t>EGG, WHOLE, DUCK, FRESH</t>
  </si>
  <si>
    <t>USDA NDLSR 26 (NDB: 01138)</t>
  </si>
  <si>
    <t>USDA NDLSR 26 (NDB: 01123)</t>
  </si>
  <si>
    <t>USDA NDLSR 26 (NDB: 01133)</t>
  </si>
  <si>
    <t>EGG, WHOLE, CHICKEN, DRIED</t>
  </si>
  <si>
    <t>USDA NDLSR 26 (NDB: 11209)</t>
  </si>
  <si>
    <t>USDA NDLSR 26 (NDB: 15015)</t>
  </si>
  <si>
    <t>FISH FILLET, ATLANTIC COD, FRESH</t>
  </si>
  <si>
    <t>FISH FILLET, ATLANTIC COD, DRIED</t>
  </si>
  <si>
    <t>USDA NDLSR 26 (NDB: 15018)</t>
  </si>
  <si>
    <t>USDA NDLSR 26 (NDB: 09100)</t>
  </si>
  <si>
    <t>USDA NDLSR 26 (NDB: 01003)</t>
  </si>
  <si>
    <t>USDA NDLSR 26 (NDB: 17168)</t>
  </si>
  <si>
    <t>USDA NDLSR 26 (NDB: 16087)</t>
  </si>
  <si>
    <t>GOAT MEAT, RAW</t>
  </si>
  <si>
    <t>USDA NDLSR 26 (NDB: 09139)</t>
  </si>
  <si>
    <t>USDA NDLSR 26 (NDB: 11418)</t>
  </si>
  <si>
    <t>USDA NDLSR 26 (NDB: 11109)</t>
  </si>
  <si>
    <t>USDA NDLSR 26 (NDB: 11457)</t>
  </si>
  <si>
    <t>USDA NDLSR 26 (NDB: 09159)</t>
  </si>
  <si>
    <t>USDA NDLSR 26 (NDB: 16069)</t>
  </si>
  <si>
    <t>USDA NDLSR 26 (NDB: 09150)</t>
  </si>
  <si>
    <t>LEMONS, RAW, WITHOUT PEEL</t>
  </si>
  <si>
    <t>BEEF LIVER</t>
  </si>
  <si>
    <t>USDA NDLSR 26 (NDB: 13325)</t>
  </si>
  <si>
    <t>USDA NDLSR 26 (NDB: 20014)</t>
  </si>
  <si>
    <t>USDA NDLSR 26 (NDB: 20314)</t>
  </si>
  <si>
    <t>USDA NDLSR 26 (NDB: 20522)</t>
  </si>
  <si>
    <t>USDA NDLSR 26 (NDB: 20320)</t>
  </si>
  <si>
    <t>USDA NDLSR 26 (NDB: 20422)</t>
  </si>
  <si>
    <t>USDA NDLSR 26 (NDB: 20020)</t>
  </si>
  <si>
    <t>MAIZE MEAL, WHITE, DEGERMED, ENRICHED (USA)</t>
  </si>
  <si>
    <t>MAIZE MEAL, YELLOW, DEGERMED, ENRICHED (USA)</t>
  </si>
  <si>
    <t>USDA NDLSR 26 (NDB: 20322)</t>
  </si>
  <si>
    <t>USDA NDLSR 26 (NDB: 20022)</t>
  </si>
  <si>
    <t>MAIZE, SWEET, YELLOW, RAW</t>
  </si>
  <si>
    <t>MAIZE, SWEET, WHITE, RAW</t>
  </si>
  <si>
    <t>USDA NDLSR 26 (NDB: 11900)</t>
  </si>
  <si>
    <t>USDA NDLSR 26 (NDB: 11167)</t>
  </si>
  <si>
    <t>USDA NDLSR 26 (NDB: 09176)</t>
  </si>
  <si>
    <t>MARGARINE, VEGTABLE OIL SPREAD, 70% FAT</t>
  </si>
  <si>
    <t>USDA NDLSR 26 (NDB: 04629)</t>
  </si>
  <si>
    <t>USDA NDLSR 26 (NDB: 1107)</t>
  </si>
  <si>
    <t>COUSCOUS, DRY</t>
  </si>
  <si>
    <t>USDA NDLSR 26 (NDB: 20028)</t>
  </si>
  <si>
    <t>MILLET</t>
  </si>
  <si>
    <t>USDA NDLSR 26 (NDB: 20031)</t>
  </si>
  <si>
    <t>USDA NDLSR 26 (NDB: 16080)</t>
  </si>
  <si>
    <t>USDA NDLSR 26 (NDB: 20038)</t>
  </si>
  <si>
    <t>OIL, PALM, UNFORTIFIED</t>
  </si>
  <si>
    <t>USDA NDLSR 26 (NDB: 4055)</t>
  </si>
  <si>
    <t>USDA NDLSR 26 (NDB: 04506)</t>
  </si>
  <si>
    <t xml:space="preserve">OIL, SUNFLOWER, UNFORTIFIED </t>
  </si>
  <si>
    <t>USDA NDLSR 26 (NDB: 09226)</t>
  </si>
  <si>
    <t>USDA NDLSR 26 (NDB: 11282)</t>
  </si>
  <si>
    <t>2013.11.27</t>
  </si>
  <si>
    <t>PAPAYA (PAWPAW)</t>
  </si>
  <si>
    <t>PEAS, GREEN, FRESH</t>
  </si>
  <si>
    <t>USDA NDLSR 26 (NDB: 11304)</t>
  </si>
  <si>
    <t>USDA NDLSR 26 (NDB: 16085)</t>
  </si>
  <si>
    <t>USDA NDLSR 26 (NDB: 20499)</t>
  </si>
  <si>
    <t>USDA NDLSR 26 (NDB: 16101)</t>
  </si>
  <si>
    <t>USDA NDLSR 26 (NDB: 11951)</t>
  </si>
  <si>
    <t>USDA NDLSR 26 (NDB: 11333)</t>
  </si>
  <si>
    <t>USDA NDLSR 26 (NDB: 11821)</t>
  </si>
  <si>
    <t>USDA NDLSR 26 (NDB: 09429)</t>
  </si>
  <si>
    <t>USDA NDLSR 26 (NDB: 09277)</t>
  </si>
  <si>
    <t>USDA NDLSR 26 (NDB: 11352)</t>
  </si>
  <si>
    <t>USDA NDLSR 26 (NDB: 11507)</t>
  </si>
  <si>
    <t>POTATO, SWEET</t>
  </si>
  <si>
    <t>POTATO, SWEET, LEAVES</t>
  </si>
  <si>
    <t>USDA NDLSR 26 (NDB: 11505)</t>
  </si>
  <si>
    <t>USDA NDLSR 26 (NDB: 20446)</t>
  </si>
  <si>
    <t>RICE, WHITE, MEDIUM GRAIN</t>
  </si>
  <si>
    <t>RICE, WHITE, LONG GRAIN, PARBOILED</t>
  </si>
  <si>
    <t>USDA NDLSR 26 (NDB: 20450)</t>
  </si>
  <si>
    <t>USDA NDLSR 26 (NDB: 2047)</t>
  </si>
  <si>
    <t>WFP Technical Specification (v13.1; 26/03/2013)</t>
  </si>
  <si>
    <t>SALT, NOT IODISED</t>
  </si>
  <si>
    <t>USDA NDLSR 26 (NDB: 12023)</t>
  </si>
  <si>
    <t>SESAME SEEDS, WHOLE, DRIED</t>
  </si>
  <si>
    <t>USDA NDLSR 26 (NDB: 20067)</t>
  </si>
  <si>
    <t>SOYA BEANS, MATURE SEEDS</t>
  </si>
  <si>
    <t>USDA NDLSR 26 (NDB: 16115)</t>
  </si>
  <si>
    <t>USDA NDLSR 26 (NDB: 16119)</t>
  </si>
  <si>
    <t>GARLIC</t>
  </si>
  <si>
    <t>USDA NDLSR 26 (NDB: 11215)</t>
  </si>
  <si>
    <t>USDA NDLSR 26 (NDB: 12036)</t>
  </si>
  <si>
    <t>TOMATO PASTE, CANNED</t>
  </si>
  <si>
    <t>USDA NDLSR 26 (NDB: 11546)</t>
  </si>
  <si>
    <t>USDA NDLSR 26 (NDB: 11529)</t>
  </si>
  <si>
    <t>USDA NDLSR 26 (NDB: 11955)</t>
  </si>
  <si>
    <t>USDA NDLSR 26 (NDB: 09326)</t>
  </si>
  <si>
    <t>USDA NDLSR 26 (NDB: 20481)</t>
  </si>
  <si>
    <t>2013.11.28</t>
  </si>
  <si>
    <t>WHEAT FLOUR, WHOLE GRAIN</t>
  </si>
  <si>
    <t>USDA NDLSR 26 (NDB: 20080)</t>
  </si>
  <si>
    <t>USDA NDLSR 26 (NDB: average of DURUM, HARD REDs, HARD WHITE, SOFT RED, SOFT WHITE)</t>
  </si>
  <si>
    <t>USDA NDLSR 26 (NDB: 11601)</t>
  </si>
  <si>
    <t>YAM, RAW</t>
  </si>
  <si>
    <t>MILLET FLOUR</t>
  </si>
  <si>
    <t>USDA NDLSR 26 (NDB: 20647)</t>
  </si>
  <si>
    <t>SORGHUM FLOUR</t>
  </si>
  <si>
    <t>USDA NDLSR 26 (NDB: 20648)</t>
  </si>
  <si>
    <t>CHICKPEAS, RAW (GABANZO BEANS, BENGAL GRAM)</t>
  </si>
  <si>
    <t>USAID Soy-Fortified Bulgur Commodity Fact Sheet 
http://www.usaid.gov/what-we-do/agriculture-and-food-security/food-assistance/resources/soy-fortified-bulgur-commodity</t>
  </si>
  <si>
    <r>
      <t>Vitamin D (</t>
    </r>
    <r>
      <rPr>
        <b/>
        <sz val="8"/>
        <rFont val="Calibri"/>
        <family val="2"/>
      </rPr>
      <t>µ</t>
    </r>
    <r>
      <rPr>
        <b/>
        <sz val="8"/>
        <rFont val="Arial"/>
        <family val="2"/>
      </rPr>
      <t>g)</t>
    </r>
  </si>
  <si>
    <t>USDA NDLSR 26 (NDB: 04609)</t>
  </si>
  <si>
    <t>USAID Bulgur Commodity Fact Sheet
http://www.usaid.gov/what-we-do/agriculture-and-food-security/food-assistance/resources/bulgur-commodity-fact-sheet</t>
  </si>
  <si>
    <t>Soy-Fortified Cornmeal Commodity Fact Sheet
http://www.usaid.gov/what-we-do/agriculture-and-food-security/food-assistance/resources/soy-fortified-cornmeal-commodity</t>
  </si>
  <si>
    <t>USDA NDLSR 26 (NDB: 11378) &amp; 
http://www.usaid.gov/what-we-do/agriculture-and-food-security/food-assistance/resources/dehydrated-potato-products</t>
  </si>
  <si>
    <t>USDA NDLSR 26 (NDB: 11378)
http://www.usaid.gov/what-we-do/agriculture-and-food-security/food-assistance/resources/dehydrated-potato-products</t>
  </si>
  <si>
    <t>MAIZE MEAL, FORTIFIED [USAID]</t>
  </si>
  <si>
    <t>POTATOES, MASHED, DEHYDRATED FLAKES [USAID]</t>
  </si>
  <si>
    <t>SOYA FORTIFIED BULGUR WHEAT [USAID]</t>
  </si>
  <si>
    <t>SOYA FORTIFIED MAIZE MEAL [USAID]</t>
  </si>
  <si>
    <t>BULGUR WHEAT, FORTIFIED, [USAID]</t>
  </si>
  <si>
    <t>USAID Cornmeal Commodity Fact Sheet
http://www.usaid.gov/what-we-do/agriculture-and-food-security/food-assistance/resources/cornmeal-commodity-fact-sheet</t>
  </si>
  <si>
    <t>OIL, VEGETABLE [USAID]</t>
  </si>
  <si>
    <t>Vegetable Oil Commodity Fact Sheet
http://www.usaid.gov/what-we-do/agriculture-and-food-security/food-assistance/resources/vegetable-oil-commodity-fact</t>
  </si>
  <si>
    <t>CORN SOY BLEND/PLUS (CSB +) [USAID]</t>
  </si>
  <si>
    <t>USDA NDLSR 26 (NDB: 05006)</t>
  </si>
  <si>
    <t>CHICKEN, MEAT, CANNED</t>
  </si>
  <si>
    <t>CHICKEN, MEAT AND SKIN, RAW</t>
  </si>
  <si>
    <t>OATS, FLOUR, PART DEBRANNED</t>
  </si>
  <si>
    <t>USDA NDLSR 26 (NDB: 20132)</t>
  </si>
  <si>
    <t>PORK, GROUND MEAT, RAW</t>
  </si>
  <si>
    <t>USDA NDLSR 26 (NDB: 10219)</t>
  </si>
  <si>
    <t>USDA NDLSR 26 (NDB: 14355)</t>
  </si>
  <si>
    <t>USDA NDLSR 26 (NDB: 02042)</t>
  </si>
  <si>
    <t>Wheat Flour Commodity Fact Sheet
http://www.usaid.gov/what-we-do/agriculture-and-food-security/food-assistance/resources/wheat-flour-commodity-fact-sheet</t>
  </si>
  <si>
    <t>WHEAT FLOUR, ALL PURPOSE, FORTIFIED [USAID]</t>
  </si>
  <si>
    <t>WHEAT FLOUR, FOR BREAD, FORTIFIED [USAID]</t>
  </si>
  <si>
    <t>SARDINES, CANNED IN OIL, DRAINED</t>
  </si>
  <si>
    <t>TUNA, CANNED IN OIL, DRAINED</t>
  </si>
  <si>
    <t>TUNA, CANNED IN WATER, DRAINED</t>
  </si>
  <si>
    <t>WFP Technical Specification (v13.0, February 25th 2013)</t>
  </si>
  <si>
    <t>F100 THERAPEUTIC MILK [UNICEF]</t>
  </si>
  <si>
    <t>F75 THERAPEUTIC MILK [UNICEF]</t>
  </si>
  <si>
    <t>UNICEF Online Supply Catalogue
https://supply.unicef.org</t>
  </si>
  <si>
    <t>USDA NDLSR 26 (NDB: 09205)</t>
  </si>
  <si>
    <t>ORANGE, RAW</t>
  </si>
  <si>
    <t>USDA NDLSR 26 (NDB: 17224)</t>
  </si>
  <si>
    <t>LAMB, GROUND, RAW</t>
  </si>
  <si>
    <t>USDA NDLSR 26 (NDB: 01211)</t>
  </si>
  <si>
    <t>MILK, COW, WHOLE, NOT FORTIFIED</t>
  </si>
  <si>
    <t>USDA NDLSR 26 (NDB: 01106)</t>
  </si>
  <si>
    <t>MILK, GOAT, WITH ADDED VITAMIN D</t>
  </si>
  <si>
    <t>UK COF IDS '13-213
http://www.ifr.ac.uk/fooddatabanks/nutrients.htm</t>
  </si>
  <si>
    <t>Corn Soy Blend/Plus Commodity Fact Sheet
http://www.usaid.gov/what-we-do/agriculture-and-food-security/food-assistance/resources/implementation-tools/corn-soy</t>
  </si>
  <si>
    <t>APPLES</t>
  </si>
  <si>
    <t>USDA NDLSR 26 (NDB: 9003)</t>
  </si>
  <si>
    <t>CABBAGE, RAW</t>
  </si>
  <si>
    <t>PEARS</t>
  </si>
  <si>
    <t>USDA NDLSR 26 (NDB: 09252)</t>
  </si>
  <si>
    <t>USDA NDLSR 26 (NDB: 11124)</t>
  </si>
  <si>
    <t>CARROTS, RAW</t>
  </si>
  <si>
    <t>JAMS AND PRESERVES</t>
  </si>
  <si>
    <t>USDA NDLSR 26 (NDB: 19297)</t>
  </si>
  <si>
    <t>HUMMUS</t>
  </si>
  <si>
    <t>USDA NDLSR 26 (NDB: 16158)</t>
  </si>
  <si>
    <t>PEAS, GREEN, CANNED, SOLIDS AND LIQUIDS</t>
  </si>
  <si>
    <t>USDA NDLSR 26 (NDB: 11812)</t>
  </si>
  <si>
    <t>2013.11.29</t>
  </si>
  <si>
    <t>CARROTS, CANNED, SOLIDS AND LIQUID</t>
  </si>
  <si>
    <t>USDA NDLSR 26 (NDB: 11758)</t>
  </si>
  <si>
    <t>ORANGE JUICE</t>
  </si>
  <si>
    <t>USDA NDLSR 26 (NDB: 09206)</t>
  </si>
  <si>
    <t>USDA NDLSR 26 (NDB: 09016)</t>
  </si>
  <si>
    <t>APPLE JUICE, NO ADDED VITAMIN C</t>
  </si>
  <si>
    <t>BEANS, BLACK</t>
  </si>
  <si>
    <t>BEANS, GREAT NORTHERN</t>
  </si>
  <si>
    <t>BEANS, KIDNEY, ALL TYPES</t>
  </si>
  <si>
    <t>BEANS, PINK</t>
  </si>
  <si>
    <t>BEANS, PINTO</t>
  </si>
  <si>
    <t>BEANS, NAVY (PEA BEANS)</t>
  </si>
  <si>
    <t>BREAD, MADE FROM WHEAT</t>
  </si>
  <si>
    <t>CAKE, SPONGE CAKE</t>
  </si>
  <si>
    <t>USDA NDLSR 26 (NDB: 18133)</t>
  </si>
  <si>
    <t>LNS/RUSF - PLUMPY'DOZ®</t>
  </si>
  <si>
    <t>2012.11.29</t>
  </si>
  <si>
    <t>LNS - ENOV NUTRIBUTTER®</t>
  </si>
  <si>
    <t xml:space="preserve">Nutriset Product Sheet (20/11/2013) </t>
  </si>
  <si>
    <t>2013.12.05</t>
  </si>
  <si>
    <t xml:space="preserve">Nutriset Product Sheet (10/10/2013) </t>
  </si>
  <si>
    <t xml:space="preserve">Nutriset Product Sheet (06/09/2013) </t>
  </si>
  <si>
    <t>Nutriset Product Sheet (15/10/2013)</t>
  </si>
  <si>
    <t>2013.11.05</t>
  </si>
  <si>
    <t>WFP Specification Table (Jan 2010) &amp; UN Joint Statement (2007)</t>
  </si>
  <si>
    <t>MILK, CAMEL (DROMEDARY)</t>
  </si>
  <si>
    <t>WFP Technical Specification (v2.0; 16/03/2011)</t>
  </si>
  <si>
    <t>Item</t>
  </si>
  <si>
    <t>Number of items in database:</t>
  </si>
  <si>
    <t>2013.12.06</t>
  </si>
  <si>
    <t>WFP Specification Formulation 1 (v Jul 2011)</t>
  </si>
  <si>
    <t>(C) Data on GARI is from the UK COF IDS (http://www.ifr.ac.uk/fooddatabanks/nutrients.htm)</t>
  </si>
  <si>
    <t>(A) Nutrient values for most commodities are taken from the 'USDA National Nutrient Database for Standard Reference, Releases 26' U.S. Department of Agriculture, Agricultural Research Service. (http://ndb.nal.usda.gov/)</t>
  </si>
  <si>
    <t>- UNICEF specifications for F75 and F100 were accessed from https://supply.unicef.org</t>
  </si>
  <si>
    <t>- WFP specifications were taken from http://foodqualityandsafety.wfp.org/</t>
  </si>
  <si>
    <t>(1)Sadler, K., Kerven, C., Calo, M., Manske, M. and Catley, A. (2009). Milk Matters: A literature review of pastoralist nutrition and programming responses. Feinstein International Center, Tufts University and Save the Children, Addis Ababa. and...
(2) (2012) Milk Composition of Minor Dairy Species - Medhammar et al. - J Sci Food Agri</t>
  </si>
  <si>
    <r>
      <t xml:space="preserve">(F) For branded commercial products the nutrient content is taken from the manufacturer's data sheets. Where this contains a range the mid-point of the range is given. These entries are coloured </t>
    </r>
    <r>
      <rPr>
        <b/>
        <sz val="11"/>
        <color indexed="61"/>
        <rFont val="Arial"/>
        <family val="2"/>
      </rPr>
      <t>purple</t>
    </r>
    <r>
      <rPr>
        <sz val="11"/>
        <rFont val="Arial"/>
        <family val="2"/>
      </rPr>
      <t xml:space="preserve"> in the Database.</t>
    </r>
  </si>
  <si>
    <t>(B) Nutrient values for CAMEL MILK were taken from Medhammar et al. (2012) and Sadler et al. (2009)</t>
  </si>
  <si>
    <t>- USAID food aid specifications came from Commodity Reference Guide Fact Sheets http://www.usaid.gov/what-we-do/agriculture-and-food-security/food-assistance/resources/implementation-tools/commodity</t>
  </si>
  <si>
    <t xml:space="preserve">Nutrient values are taken from the following sources: </t>
  </si>
  <si>
    <t>Developed for WFP and UNHCR by the UCL Institute for Global Health</t>
  </si>
  <si>
    <r>
      <t>NutVal</t>
    </r>
    <r>
      <rPr>
        <b/>
        <sz val="12"/>
        <rFont val="Arial"/>
        <family val="2"/>
      </rPr>
      <t xml:space="preserve"> Acknowledgements</t>
    </r>
  </si>
  <si>
    <r>
      <t>NutVal</t>
    </r>
    <r>
      <rPr>
        <b/>
        <sz val="12"/>
        <rFont val="Arial"/>
        <family val="2"/>
      </rPr>
      <t xml:space="preserve"> Using the Food Basket 
(On-site Distribution) Monitoring spreadsheet</t>
    </r>
  </si>
  <si>
    <r>
      <t>NutVal</t>
    </r>
    <r>
      <rPr>
        <b/>
        <sz val="12"/>
        <rFont val="Arial"/>
        <family val="2"/>
      </rPr>
      <t xml:space="preserve"> Data Sources for Foods and Nutrients</t>
    </r>
  </si>
  <si>
    <r>
      <t>NutVal</t>
    </r>
    <r>
      <rPr>
        <b/>
        <sz val="12"/>
        <rFont val="Arial"/>
        <family val="2"/>
      </rPr>
      <t xml:space="preserve"> How to enable macros</t>
    </r>
  </si>
  <si>
    <r>
      <rPr>
        <b/>
        <i/>
        <sz val="16"/>
        <color indexed="18"/>
        <rFont val="Verdana"/>
        <family val="2"/>
      </rPr>
      <t>NutVal</t>
    </r>
    <r>
      <rPr>
        <b/>
        <sz val="12"/>
        <rFont val="Arial"/>
        <family val="2"/>
      </rPr>
      <t xml:space="preserve"> Optimising Your Screen View</t>
    </r>
  </si>
  <si>
    <t xml:space="preserve">The nutrient and energy values for BEANS, DRIED were calculated form the average of GREAT NORTHERN, KIDNEY, NAVY, PINK, and PINTO beans. </t>
  </si>
  <si>
    <t>Funding for the development of NutVal has been provided by UNHCR, WFP, the Global Nutrition Cluster, UCL Futures, and USAID/OFDA via ENN.</t>
  </si>
  <si>
    <t>When nutrient data values are available as a range, e.g. in product specifications, the mid point of the range is given in the NutVal database and used in calculations.</t>
  </si>
  <si>
    <r>
      <t xml:space="preserve">From NutVal Version 4.0 onwards, the </t>
    </r>
    <r>
      <rPr>
        <i/>
        <sz val="11"/>
        <rFont val="Arial"/>
        <family val="2"/>
      </rPr>
      <t>vitamin A</t>
    </r>
    <r>
      <rPr>
        <sz val="11"/>
        <rFont val="Arial"/>
        <family val="2"/>
      </rPr>
      <t xml:space="preserve"> content of foods is expressed in µg retinol activity equivalents (µg RAE). Where </t>
    </r>
    <r>
      <rPr>
        <i/>
        <sz val="11"/>
        <rFont val="Arial"/>
        <family val="2"/>
      </rPr>
      <t>vitamin A</t>
    </r>
    <r>
      <rPr>
        <sz val="11"/>
        <rFont val="Arial"/>
        <family val="2"/>
      </rPr>
      <t xml:space="preserve"> was converted between international units (IU) and </t>
    </r>
    <r>
      <rPr>
        <sz val="11"/>
        <rFont val="Calibri"/>
        <family val="2"/>
      </rPr>
      <t>µ</t>
    </r>
    <r>
      <rPr>
        <sz val="11"/>
        <rFont val="Arial"/>
        <family val="2"/>
      </rPr>
      <t xml:space="preserve">g RAE a division by 3.33 was used.  To convert IU of </t>
    </r>
    <r>
      <rPr>
        <i/>
        <sz val="11"/>
        <rFont val="Arial"/>
        <family val="2"/>
      </rPr>
      <t>vitamin D</t>
    </r>
    <r>
      <rPr>
        <sz val="11"/>
        <rFont val="Arial"/>
        <family val="2"/>
      </rPr>
      <t xml:space="preserve"> to µg the value was divided by 40. </t>
    </r>
  </si>
  <si>
    <r>
      <t xml:space="preserve">It is important to note that the values are for 100 grams of the </t>
    </r>
    <r>
      <rPr>
        <i/>
        <sz val="11"/>
        <rFont val="Arial"/>
        <family val="2"/>
      </rPr>
      <t>raw edible portions</t>
    </r>
    <r>
      <rPr>
        <sz val="11"/>
        <rFont val="Arial"/>
        <family val="2"/>
      </rPr>
      <t xml:space="preserve"> of food.  The actual amount of nutrient consumed will depend on food preparation and cooking practices, which are highly variable.</t>
    </r>
  </si>
  <si>
    <t>The nutrient values for WHEAT GRAIN were calculated using from the average of DURUM, HARD REDs, HARD WHITE, SOFT RED, and SOFT WHITE varieties</t>
  </si>
  <si>
    <t xml:space="preserve">The food item database can now be sorted and filtered by selecting categories from drop down menus. </t>
  </si>
  <si>
    <t>06-23 months</t>
  </si>
  <si>
    <t>24-59 months</t>
  </si>
  <si>
    <t>06-59 months</t>
  </si>
  <si>
    <t>10 to &lt; 15 years</t>
  </si>
  <si>
    <t>15 to &lt; 18 years</t>
  </si>
  <si>
    <t>≥ 60 years</t>
  </si>
  <si>
    <t>05 to &lt; 10 years</t>
  </si>
  <si>
    <t>Ration totals:</t>
  </si>
  <si>
    <t>2013.12.19</t>
  </si>
  <si>
    <t>USDA NDLSR 26 (NDB: 02003)</t>
  </si>
  <si>
    <t>USDA NDLSR 26 (NDB: 02006)</t>
  </si>
  <si>
    <t>USDA NDLSR 26 (NDB: 2006)</t>
  </si>
  <si>
    <t>(D) Generic composition data for CANNED CHEESE and MEAT, and DRIED SALTED FISH is from 'Food and Nutrition Needs in Emergencies' UNHCR, UNICEF, WFP, WHO (2002)</t>
  </si>
  <si>
    <t xml:space="preserve">(5) To see graphs of the energy and nutrients included in the selected ration click on one of the buttons below the calculation sheet.  </t>
  </si>
  <si>
    <t xml:space="preserve">(6) To see examples of rations based on maize, rice, or wheat, click one of the buttons at the bottom of the screen. </t>
  </si>
  <si>
    <t>(3) Complete the ration calculation by entering the amount of each food in the planned or actual daily ration (grams per person per day).  You can do this by typing in the number of grams or by using the up and down arrows next to the item name.</t>
  </si>
  <si>
    <t>% of requirements supplied by ration:</t>
  </si>
  <si>
    <t xml:space="preserve">TUNA, CANNED IN OIL, DRAINED
TUNA, CANNED IN WATER, DRAINED
WHEAT FLOUR, ALL PURPOSE, FORTIFIED [USAID]
WHEAT FLOUR, FOR BREAD, FORTIFIED [USAID]
WHEAT FLOUR, WHOLE GRAIN
</t>
  </si>
  <si>
    <t xml:space="preserve">CORN SOY MILK (USA) 
CORN SOY MILK, INSTANT (ICSM) 
EVAPORATED MILK
FAMIX 
HEPS 
MAIZE FRESH
</t>
  </si>
  <si>
    <t xml:space="preserve">PAWPAW (entry combined with PAPAYA)
PORK, CANNED 
POULTRY 
SOYA FORTIFIED ROLLED OATS
SOYA FORTIFIED SORGHUM GRITS (USA)
SOYA FORTIFIED WHEAT FLOUR
</t>
  </si>
  <si>
    <t xml:space="preserve">SPICES, DRIED, TUMERIC
TENAMIX (TANZANIA) 
UNILITO (NEPAL)
WHEAT FLOUR (USA)
WHEAT SOY BLEND (USA) 
WHEAT SOY MILK (USA)
</t>
  </si>
  <si>
    <t>YEAST (as consumed amounts are likely to be insignificant contributions to nutrient intake)</t>
  </si>
  <si>
    <t xml:space="preserve">Planning and calculating a ration </t>
  </si>
  <si>
    <t>Vitamin 
A</t>
  </si>
  <si>
    <t>Calculated for a ration of:</t>
  </si>
  <si>
    <t xml:space="preserve">   Calculated for a ration of:</t>
  </si>
  <si>
    <t xml:space="preserve"> (kcal)</t>
  </si>
  <si>
    <t xml:space="preserve"> (g)</t>
  </si>
  <si>
    <t xml:space="preserve"> 
(g)</t>
  </si>
  <si>
    <t xml:space="preserve"> (mg)</t>
  </si>
  <si>
    <t>Copper</t>
  </si>
  <si>
    <t xml:space="preserve"> (ug)</t>
  </si>
  <si>
    <t>Iodine</t>
  </si>
  <si>
    <t xml:space="preserve"> 
(mg)</t>
  </si>
  <si>
    <t>Iron</t>
  </si>
  <si>
    <t>Magnesium</t>
  </si>
  <si>
    <r>
      <t xml:space="preserve"> (</t>
    </r>
    <r>
      <rPr>
        <b/>
        <sz val="8"/>
        <rFont val="Calibri"/>
        <family val="2"/>
      </rPr>
      <t>µ</t>
    </r>
    <r>
      <rPr>
        <b/>
        <sz val="8"/>
        <rFont val="Arial"/>
        <family val="2"/>
      </rPr>
      <t>g)</t>
    </r>
  </si>
  <si>
    <t>Selenium</t>
  </si>
  <si>
    <t>Zinc</t>
  </si>
  <si>
    <t xml:space="preserve"> (ug RAE)</t>
  </si>
  <si>
    <t>Folate 
(ug)</t>
  </si>
  <si>
    <r>
      <t>(</t>
    </r>
    <r>
      <rPr>
        <b/>
        <sz val="8"/>
        <rFont val="Calibri"/>
        <family val="2"/>
      </rPr>
      <t>µ</t>
    </r>
    <r>
      <rPr>
        <b/>
        <sz val="8"/>
        <rFont val="Arial"/>
        <family val="2"/>
      </rPr>
      <t>g)</t>
    </r>
  </si>
  <si>
    <t xml:space="preserve">Vitamin D </t>
  </si>
  <si>
    <t xml:space="preserve">Vitamin K </t>
  </si>
  <si>
    <t xml:space="preserve">UL amounts: </t>
  </si>
  <si>
    <t>CSB SUPERCEREAL &amp; SUGAR (CSB+/SUGAR), Timor-Leste [WFP]</t>
  </si>
  <si>
    <t>CSB SUPERCEREAL &amp; SUGAR (CSB+/SUGAR) [WFP]</t>
  </si>
  <si>
    <t>CSB SUPERCEREAL PLUS (CSB++) [WFP]</t>
  </si>
  <si>
    <t>CSB SUPERCEREAL (CSB+), Sri Lanka [WFP]</t>
  </si>
  <si>
    <t>CSB SUPERCEREAL (CSB+), Cuba [WFP]</t>
  </si>
  <si>
    <t>CSB SUPERCEREAL (CSB+), Algeria [WFP]</t>
  </si>
  <si>
    <t>CSB SUPERCEREAL (CSB+) [WFP]</t>
  </si>
  <si>
    <t>OIL, VEGETABLE [WFP]</t>
  </si>
  <si>
    <t>SALT, IODISED [WFP]</t>
  </si>
  <si>
    <t>HIGH ENERGY BISCUITS [WFP]</t>
  </si>
  <si>
    <t>MAIZE MEAL, FORTIFIED [WFP]</t>
  </si>
  <si>
    <t>MNP FORMULATION 1 FOR UNDER-5 CHILDREN [WFP]</t>
  </si>
  <si>
    <t>NUTRAMIX SUPERCEREAL (CSB+) [WFP]</t>
  </si>
  <si>
    <t>RSB SUPERCEREAL PLUS (RSB++) [WFP]</t>
  </si>
  <si>
    <t>RSB SUPERCEREAL WITH SUGAR (RSB+/SUGAR [WFP]</t>
  </si>
  <si>
    <t>SENMIX SUPERCEREAL (CSB+) [WFP]</t>
  </si>
  <si>
    <t>RUSF - WAWAMUM PAKISTAN [WFP]</t>
  </si>
  <si>
    <t>WHEAT FLOUR, FORTIFIED [WFP]</t>
  </si>
  <si>
    <t>WHEAT FLOUR, FORTIFIED, Palestine [WFP]</t>
  </si>
  <si>
    <t>WSB SUPERCEREAL PLUS (WSB++) [WFP]</t>
  </si>
  <si>
    <t>WSB SUPERCEREAL WITH SUGAR (WSB+/SUGAR) [WFP]</t>
  </si>
  <si>
    <t>2013.12.24</t>
  </si>
  <si>
    <t>Zinc 
(mg)</t>
  </si>
  <si>
    <t>-</t>
  </si>
  <si>
    <t>Where data on nutrient values are not available a "-" is displayed in the database and a value of zero is used by NutVal in calculations. Where the value has been measured as zero, or is otherwise known to be zero, a 0 is shown.</t>
  </si>
  <si>
    <t>Values for niacin are expressed in mg of niacin except for in the case of unfortified maize. Due to the low bioavailability of niacin from maize, the niacin content for these items is expressed in Available Niacin Equivalents (ANE). ANE were calculated as (30% of the niacin content) + (mg of tryptophan/60).</t>
  </si>
  <si>
    <t>The user interface has been updated to allow the user to select whether to view macronutrients and minerals or vitamins.</t>
  </si>
  <si>
    <t>RationDate</t>
  </si>
  <si>
    <t>RationName</t>
  </si>
  <si>
    <t>Items</t>
  </si>
  <si>
    <t>Sum of Energy (kcal)</t>
  </si>
  <si>
    <t>Sum of Protein (g)</t>
  </si>
  <si>
    <t>Fat (g)</t>
  </si>
  <si>
    <t>Iodine (µg)</t>
  </si>
  <si>
    <t>Ration Contents</t>
  </si>
  <si>
    <t>Sum of Fat (g)</t>
  </si>
  <si>
    <t>Sum of Calcium (mg)</t>
  </si>
  <si>
    <t>Sum of Copper (mg)</t>
  </si>
  <si>
    <t>Iron (mg)</t>
  </si>
  <si>
    <t>Ration Weight (g/p/d)</t>
  </si>
  <si>
    <t>Zinc (mg)</t>
  </si>
  <si>
    <t>Vitamin A (µg RAE)</t>
  </si>
  <si>
    <t>Folate (µg DFE)</t>
  </si>
  <si>
    <t>Vitamin B12 (μg)</t>
  </si>
  <si>
    <t>Beneficiary requirements for:</t>
  </si>
  <si>
    <t xml:space="preserve">   Ration Name: </t>
  </si>
  <si>
    <t>Amount of Nutrients Supplied</t>
  </si>
  <si>
    <t>% of Nutrient Requirements Supplied</t>
  </si>
  <si>
    <t>Grand Total</t>
  </si>
  <si>
    <t>Sum of Iodine (µg)</t>
  </si>
  <si>
    <t>Sum of Iron (mg)</t>
  </si>
  <si>
    <t>Sum of Vitamin K (µg)</t>
  </si>
  <si>
    <t>Sum of Magnesium (mg)</t>
  </si>
  <si>
    <t>Data</t>
  </si>
  <si>
    <t>Ration ID</t>
  </si>
  <si>
    <t>Target Beneficiaries:</t>
  </si>
  <si>
    <t>Sum of Selenium (µg)</t>
  </si>
  <si>
    <t>Sum of Zinc (mg)</t>
  </si>
  <si>
    <t>Sum of Vitamin A (µg RAE)</t>
  </si>
  <si>
    <t>Sum of Thiamine (mg)</t>
  </si>
  <si>
    <t>Sum of Riboflavin (mg)</t>
  </si>
  <si>
    <t>Sum of Niacin (mg)</t>
  </si>
  <si>
    <t>Sum of Pantothenate (mg)</t>
  </si>
  <si>
    <t>Sum of Pyridoxine (mg)</t>
  </si>
  <si>
    <t>Sum of Folate (µg DFE)</t>
  </si>
  <si>
    <t>Sum of Vitamin B12 (μg)</t>
  </si>
  <si>
    <t>Sum of Vitamin C (mg)</t>
  </si>
  <si>
    <t>Sum of Vitamin D (µg)</t>
  </si>
  <si>
    <t>Sum of Vitamin E (mg)</t>
  </si>
  <si>
    <t>Display data on</t>
  </si>
  <si>
    <t>Target Beneficiaries</t>
  </si>
  <si>
    <t>Selenium (µg)</t>
  </si>
  <si>
    <t>Vitamin D (µg)</t>
  </si>
  <si>
    <t>Vitamin K (µg)</t>
  </si>
  <si>
    <t>Beneficiary Code</t>
  </si>
  <si>
    <t xml:space="preserve">Beneficiary population size: </t>
  </si>
  <si>
    <t xml:space="preserve">Programme duration (months): </t>
  </si>
  <si>
    <t>Ration Items</t>
  </si>
  <si>
    <t>Allowance 
for losses
(%)</t>
  </si>
  <si>
    <t>Allowance 
for milling 
(%)</t>
  </si>
  <si>
    <t>FOB or FCA 
Price
 per MT</t>
  </si>
  <si>
    <t>LTSH
Cost
per MT</t>
  </si>
  <si>
    <t>Programme Requirement (MT)</t>
  </si>
  <si>
    <t>Total Cost
per MT</t>
  </si>
  <si>
    <t>Programme
Cost</t>
  </si>
  <si>
    <t>Weight 
Required 
(kg/person/mo)</t>
  </si>
  <si>
    <t>Programme 
Requirement 
(kg/mo)</t>
  </si>
  <si>
    <t xml:space="preserve">(4) The nutrients contained in the single food items and in the overall daily ration will be displayed. If the value for any of the listed nutrients is less than 100% of the minimum recommended level the percentage is highlighted in red. To see the effect of altering the quantities of commodities on the nutrient content of the ration, use the up and down arrows to adjust the number of grams of food in the daily ration.  Keep adjusting the amounts until the desired ration composition is achieved.  </t>
  </si>
  <si>
    <r>
      <t>NutVal</t>
    </r>
    <r>
      <rPr>
        <b/>
        <sz val="11"/>
        <rFont val="Arial"/>
        <family val="2"/>
      </rPr>
      <t xml:space="preserve"> </t>
    </r>
    <r>
      <rPr>
        <b/>
        <sz val="12"/>
        <rFont val="Arial"/>
        <family val="2"/>
      </rPr>
      <t xml:space="preserve">How to calculate and plan the </t>
    </r>
    <r>
      <rPr>
        <b/>
        <sz val="11"/>
        <rFont val="Arial"/>
        <family val="2"/>
      </rPr>
      <t xml:space="preserve">
</t>
    </r>
    <r>
      <rPr>
        <b/>
        <sz val="12"/>
        <rFont val="Arial"/>
        <family val="2"/>
      </rPr>
      <t>nutrient content of a food assistance ration</t>
    </r>
  </si>
  <si>
    <t xml:space="preserve">Once this is done, the requirements in metric tonnes (MT) and the costs for each item and the whole ration will be displayed. </t>
  </si>
  <si>
    <t>Using the Logistics Calculator</t>
  </si>
  <si>
    <t>The requirements for the general ration planning figure of 2,100 kcal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Food and Nutrition Bulletin 34, 45-51</t>
  </si>
  <si>
    <r>
      <t>NutVal</t>
    </r>
    <r>
      <rPr>
        <b/>
        <sz val="12"/>
        <rFont val="Arial"/>
        <family val="2"/>
      </rPr>
      <t xml:space="preserve"> Using the Logistics Calculator</t>
    </r>
  </si>
  <si>
    <r>
      <t>NutVal</t>
    </r>
    <r>
      <rPr>
        <b/>
        <sz val="12"/>
        <rFont val="Arial"/>
        <family val="2"/>
      </rPr>
      <t xml:space="preserve"> Tracking nutrient content over time </t>
    </r>
  </si>
  <si>
    <t>We would like to acknowledge the contributions of the many people who have provided information, comments and feedback, and have helped us in improving this current version of NutVal.</t>
  </si>
  <si>
    <t>Area Name</t>
  </si>
  <si>
    <r>
      <t>NutVal</t>
    </r>
    <r>
      <rPr>
        <sz val="14"/>
        <rFont val="Arial"/>
        <family val="2"/>
      </rPr>
      <t xml:space="preserve">  </t>
    </r>
    <r>
      <rPr>
        <b/>
        <sz val="12"/>
        <rFont val="Verdana"/>
        <family val="2"/>
      </rPr>
      <t>On-Site Distribution Monitoring</t>
    </r>
  </si>
  <si>
    <t>Ration Amount
(g/person/day)</t>
  </si>
  <si>
    <t xml:space="preserve">The underlying concepts of the NutVal ration calculator are that: (a) food assistance should ensure a dietary intake that meets international standards; (b) the nutrient content of the ration is determined by the energy content. Therefore, if a ration delivers 100% of the energy requirement it should also provide 100% of each of the micro and macronutrients. However, if for example the ration is designed to only provide 50% of the energy requirement it only needs to provide 50% of the micro and macronutrients.     </t>
  </si>
  <si>
    <t>TEA, BLACK, NUTRIENTS PER 100 ml OF BREWED TEA</t>
  </si>
  <si>
    <t>COFFEE,  BREWED FROM GROUNDS, NUTRIENTS PER 100 ml</t>
  </si>
  <si>
    <t>RICE SOY BLEND SUPERCEREAL (RSB+) [WFP]</t>
  </si>
  <si>
    <t>WHEAT SOY BLEND SUPERCEREAL (WSB+) [WFP]</t>
  </si>
  <si>
    <t>Substantial changes have been made since NutVal 3.0. Please note that results obtained with version 4 may be different due to the introduction of new requirements based on WHO, FAO, and Sphere 2011 guidelines, and the updating of nutrient composition data.</t>
  </si>
  <si>
    <r>
      <t>The following items</t>
    </r>
    <r>
      <rPr>
        <i/>
        <sz val="11"/>
        <rFont val="Arial"/>
        <family val="2"/>
      </rPr>
      <t xml:space="preserve"> </t>
    </r>
    <r>
      <rPr>
        <sz val="11"/>
        <rFont val="Arial"/>
        <family val="2"/>
      </rPr>
      <t>were</t>
    </r>
    <r>
      <rPr>
        <i/>
        <sz val="11"/>
        <rFont val="Arial"/>
        <family val="2"/>
      </rPr>
      <t xml:space="preserve"> removed </t>
    </r>
    <r>
      <rPr>
        <sz val="11"/>
        <rFont val="Arial"/>
        <family val="2"/>
      </rPr>
      <t>from</t>
    </r>
    <r>
      <rPr>
        <i/>
        <sz val="11"/>
        <rFont val="Arial"/>
        <family val="2"/>
      </rPr>
      <t xml:space="preserve"> </t>
    </r>
    <r>
      <rPr>
        <sz val="11"/>
        <rFont val="Arial"/>
        <family val="2"/>
      </rPr>
      <t xml:space="preserve">the database as they were no longer used in food assistance programmes, or they were substituted by new items in the database, or nutrient data was no longer available:
</t>
    </r>
    <r>
      <rPr>
        <sz val="9"/>
        <rFont val="Arial"/>
        <family val="2"/>
      </rPr>
      <t xml:space="preserve">BEANS, SMALL RED (USA)
CANNED FISH 
CASSAVA FLOUR
CORN SOY MASA FLOUR (USA)
</t>
    </r>
  </si>
  <si>
    <t>POTATOES, MASHED, DEHYDRATED GRANULES [USAID]</t>
  </si>
  <si>
    <t>Count of Protein (g)</t>
  </si>
  <si>
    <t>Optimising your screen view</t>
  </si>
  <si>
    <t>Food and nutrient composition data</t>
  </si>
  <si>
    <t>On-Site Distribution Monitoring</t>
  </si>
  <si>
    <t xml:space="preserve">Hiding the formula bar will also give you more room to view the screen contents. You can access this option from the Excel View Menu.  </t>
  </si>
  <si>
    <r>
      <t>Folic Acid
(</t>
    </r>
    <r>
      <rPr>
        <b/>
        <sz val="8"/>
        <rFont val="Calibri"/>
        <family val="2"/>
      </rPr>
      <t>µ</t>
    </r>
    <r>
      <rPr>
        <b/>
        <sz val="8"/>
        <rFont val="Arial"/>
        <family val="2"/>
      </rPr>
      <t>g)</t>
    </r>
  </si>
  <si>
    <t>Folic Acid</t>
  </si>
  <si>
    <t>Folic Acid
(ug)</t>
  </si>
  <si>
    <t>2012.01.09</t>
  </si>
  <si>
    <t>(All)</t>
  </si>
  <si>
    <r>
      <rPr>
        <b/>
        <i/>
        <sz val="11"/>
        <color indexed="18"/>
        <rFont val="Verdana"/>
        <family val="2"/>
      </rPr>
      <t>NutVal</t>
    </r>
    <r>
      <rPr>
        <b/>
        <i/>
        <sz val="11"/>
        <color indexed="18"/>
        <rFont val="Arial"/>
        <family val="2"/>
      </rPr>
      <t xml:space="preserve"> </t>
    </r>
    <r>
      <rPr>
        <sz val="11"/>
        <rFont val="Arial"/>
        <family val="2"/>
      </rPr>
      <t xml:space="preserve">is best viewed on a screen with high resolution.  If you are using a screen with a low resolution you may not be able to see all of the contents on the screen.  If this is the case you can try reducing the zoom to get a better view. You can also use the </t>
    </r>
    <r>
      <rPr>
        <i/>
        <sz val="11"/>
        <rFont val="Arial"/>
        <family val="2"/>
      </rPr>
      <t>Full Screen View</t>
    </r>
    <r>
      <rPr>
        <sz val="11"/>
        <rFont val="Arial"/>
        <family val="2"/>
      </rPr>
      <t xml:space="preserve"> button on the NutVal Home page to improve your view of the screen. To close the full screen view just click the button again or press the ESC key.</t>
    </r>
  </si>
  <si>
    <t>Example saved ration 1</t>
  </si>
  <si>
    <t>Example saved ration 2</t>
  </si>
  <si>
    <t>Example saved ration 1  (01/09/2014)</t>
  </si>
  <si>
    <t>Example saved ration 1 Total</t>
  </si>
  <si>
    <t>Example saved ration 2 Total</t>
  </si>
  <si>
    <t>01/10/2014</t>
  </si>
  <si>
    <t xml:space="preserve">A bug which resulted in the kcal requirement for lactation being given as 300 kcal too high by the calculator has been fixed </t>
  </si>
  <si>
    <t>Following the nutrient content of a ration over time is an important part of monitoring a food assistance programme.  It can also be very useful if nutritional problems occur and you need to analyse the nutrient content of the ration that was distributed or consumed in the past.</t>
  </si>
  <si>
    <t xml:space="preserve">The spreadsheet is designed to help with collection and analysis of data from On-site Distribution Monitoring activities that may be carried out in emergency feeding programmes. The data that is collected for this activity includes the weight of food that the beneficiaries collect during a food distribution, as well as their gender and family size.  The addresses of the beneficiaries are also sometimes collected. This data should be collected from a systematic (interval) sample of people leaving the distribution site. A sampling interval should be calculated before beginning, based on the expected number of beneficiaries and the required sample size.                            </t>
  </si>
  <si>
    <t>support@nutval.net</t>
  </si>
  <si>
    <t>www.nutval.net</t>
  </si>
  <si>
    <t>Web site:</t>
  </si>
  <si>
    <t>Email:</t>
  </si>
  <si>
    <t>Abbreviations</t>
  </si>
  <si>
    <t>MNP</t>
  </si>
  <si>
    <t>RUTF</t>
  </si>
  <si>
    <t>RUSF</t>
  </si>
  <si>
    <t xml:space="preserve">FOB </t>
  </si>
  <si>
    <t>FCA</t>
  </si>
  <si>
    <t>Micronutrient Powder</t>
  </si>
  <si>
    <t>Ready to use Therapeutic Food</t>
  </si>
  <si>
    <t>Ready to Use Supplementary Food</t>
  </si>
  <si>
    <t>OSDM</t>
  </si>
  <si>
    <t>LTSH</t>
  </si>
  <si>
    <t>MT</t>
  </si>
  <si>
    <t>DFE</t>
  </si>
  <si>
    <t>NE</t>
  </si>
  <si>
    <t>ANE</t>
  </si>
  <si>
    <t>Available Niacin Equivalent</t>
  </si>
  <si>
    <t>Niacin Equivalent</t>
  </si>
  <si>
    <t>Dietary Folate Equivalent</t>
  </si>
  <si>
    <t>Landside Transport, Storage, and Handling</t>
  </si>
  <si>
    <t>Metric Tonne</t>
  </si>
  <si>
    <t>LNS</t>
  </si>
  <si>
    <t>Lipid Nutrient Supplement</t>
  </si>
  <si>
    <t>WSB</t>
  </si>
  <si>
    <t>RSB</t>
  </si>
  <si>
    <t>Corn Soya Blend</t>
  </si>
  <si>
    <t>Wheat Soya Blend</t>
  </si>
  <si>
    <t>Rice Soya Blend</t>
  </si>
  <si>
    <t>Example saved ration 3</t>
  </si>
  <si>
    <t>Example saved ration 3 Total</t>
  </si>
  <si>
    <r>
      <t xml:space="preserve">To use the </t>
    </r>
    <r>
      <rPr>
        <i/>
        <sz val="11"/>
        <color indexed="8"/>
        <rFont val="Arial"/>
        <family val="2"/>
      </rPr>
      <t>Ration Calculator</t>
    </r>
    <r>
      <rPr>
        <sz val="11"/>
        <rFont val="Arial"/>
        <family val="2"/>
      </rPr>
      <t>:</t>
    </r>
  </si>
  <si>
    <r>
      <t xml:space="preserve">(7) Once a suitable ration has been designed you can use the </t>
    </r>
    <r>
      <rPr>
        <i/>
        <sz val="11"/>
        <color indexed="8"/>
        <rFont val="Arial"/>
        <family val="2"/>
      </rPr>
      <t>Logistics Calculator</t>
    </r>
    <r>
      <rPr>
        <sz val="11"/>
        <rFont val="Arial"/>
        <family val="2"/>
      </rPr>
      <t xml:space="preserve"> to calculate the weight of food items required for your programme and to estimate costs.</t>
    </r>
  </si>
  <si>
    <r>
      <t>The</t>
    </r>
    <r>
      <rPr>
        <sz val="11"/>
        <color indexed="57"/>
        <rFont val="Arial"/>
        <family val="2"/>
      </rPr>
      <t xml:space="preserve"> </t>
    </r>
    <r>
      <rPr>
        <i/>
        <sz val="11"/>
        <rFont val="Arial"/>
        <family val="2"/>
      </rPr>
      <t>Logistics Calculator</t>
    </r>
    <r>
      <rPr>
        <sz val="11"/>
        <rFont val="Arial"/>
        <family val="2"/>
      </rPr>
      <t xml:space="preserve"> can be used to help calculate programme requirements for food items and their associated costs.</t>
    </r>
  </si>
  <si>
    <t>The following abbreviations are used: 
FOB - Free on Board, FCA - Free Carrier, LTSH - Landside Transport, Storage and Handling</t>
  </si>
  <si>
    <t>Free On Board (named port of shipment)</t>
  </si>
  <si>
    <t>Free Carrier (named place of shipment)</t>
  </si>
  <si>
    <t>UL</t>
  </si>
  <si>
    <t>18 to &lt; 60 years</t>
  </si>
  <si>
    <t>18 to &lt; 60 years - males</t>
  </si>
  <si>
    <t>18 to &lt; 60 years - females</t>
  </si>
  <si>
    <t xml:space="preserve">ART </t>
  </si>
  <si>
    <t xml:space="preserve">COF </t>
  </si>
  <si>
    <t xml:space="preserve">Composition Of Foods </t>
  </si>
  <si>
    <t xml:space="preserve">Antiretroviral Therapy </t>
  </si>
  <si>
    <t xml:space="preserve">ENN </t>
  </si>
  <si>
    <t xml:space="preserve">Emergency Nutrition Network </t>
  </si>
  <si>
    <t xml:space="preserve">FAO </t>
  </si>
  <si>
    <t>Food and Agriculture Organization</t>
  </si>
  <si>
    <t>HEPS</t>
  </si>
  <si>
    <t>HIV</t>
  </si>
  <si>
    <t>ICSM</t>
  </si>
  <si>
    <t>Instant Corn Soy Milk</t>
  </si>
  <si>
    <t>Human Immunodeficiency Virus</t>
  </si>
  <si>
    <t>Mo</t>
  </si>
  <si>
    <t xml:space="preserve">Month </t>
  </si>
  <si>
    <t xml:space="preserve">OFDA </t>
  </si>
  <si>
    <t xml:space="preserve">Office of Foreign Disaster Assistance </t>
  </si>
  <si>
    <t>RAE</t>
  </si>
  <si>
    <t>Retinol Activity Equivalent</t>
  </si>
  <si>
    <t xml:space="preserve">RNI </t>
  </si>
  <si>
    <t>Recommended Nutrition Intake</t>
  </si>
  <si>
    <t xml:space="preserve">UCL </t>
  </si>
  <si>
    <t>University College London</t>
  </si>
  <si>
    <t xml:space="preserve">UNHCR </t>
  </si>
  <si>
    <t xml:space="preserve">United Nations High Commissioner for Refugees </t>
  </si>
  <si>
    <t>UNICEF</t>
  </si>
  <si>
    <t xml:space="preserve">United Nations International Children’s Emergency Fund </t>
  </si>
  <si>
    <t>Upper Tolerable Limit</t>
  </si>
  <si>
    <t>UNU</t>
  </si>
  <si>
    <t xml:space="preserve">United Nations University  </t>
  </si>
  <si>
    <t>USAID</t>
  </si>
  <si>
    <t xml:space="preserve">United States Agency for International Development </t>
  </si>
  <si>
    <t>USDA</t>
  </si>
  <si>
    <t xml:space="preserve">United States Department of Agriculture </t>
  </si>
  <si>
    <t>WFP</t>
  </si>
  <si>
    <t xml:space="preserve">World Food Programme </t>
  </si>
  <si>
    <t>WHO</t>
  </si>
  <si>
    <t>World Health Organization</t>
  </si>
  <si>
    <t>The following abbreviations and acronyms are used in NutVal:</t>
  </si>
  <si>
    <t xml:space="preserve">SORGHUM, GRAIN </t>
  </si>
  <si>
    <t>WHEAT GRAIN (AVERAGE VALUES)</t>
  </si>
  <si>
    <t>BREASTMILK, HUMAN, MATURE</t>
  </si>
  <si>
    <t>GROUNDNUTS (PEANUTS), DRY</t>
  </si>
  <si>
    <t>USDA NDLSR 26 (NDB: 20008)</t>
  </si>
  <si>
    <t>2014.10.17</t>
  </si>
  <si>
    <t>BUCKWHEAT GRAIN</t>
  </si>
  <si>
    <t>BUCKWHEAT FLOUR, WHOLE</t>
  </si>
  <si>
    <t>USDA NDLSR 26 (NDB: 20011)</t>
  </si>
  <si>
    <t xml:space="preserve">OIL, GROUNDNUT (PEANUT) </t>
  </si>
  <si>
    <t>USDA NDLSR 26 (NDB: 04042)</t>
  </si>
  <si>
    <r>
      <t xml:space="preserve">Before using the </t>
    </r>
    <r>
      <rPr>
        <i/>
        <sz val="11"/>
        <rFont val="Arial"/>
        <family val="2"/>
      </rPr>
      <t>Logistics Calculator</t>
    </r>
    <r>
      <rPr>
        <sz val="11"/>
        <rFont val="Arial"/>
        <family val="2"/>
      </rPr>
      <t xml:space="preserve"> you need to design a ration in the</t>
    </r>
    <r>
      <rPr>
        <i/>
        <sz val="11"/>
        <rFont val="Arial"/>
        <family val="2"/>
      </rPr>
      <t xml:space="preserve"> Ration Calculator</t>
    </r>
    <r>
      <rPr>
        <sz val="11"/>
        <rFont val="Arial"/>
        <family val="2"/>
      </rPr>
      <t xml:space="preserve">. Then click the Logistics Calculator button and the ration will be loaded into the </t>
    </r>
    <r>
      <rPr>
        <i/>
        <sz val="11"/>
        <rFont val="Arial"/>
        <family val="2"/>
      </rPr>
      <t>Logistics Calculato</t>
    </r>
    <r>
      <rPr>
        <sz val="11"/>
        <rFont val="Arial"/>
        <family val="2"/>
      </rPr>
      <t>r and the sheet will be displayed.</t>
    </r>
  </si>
  <si>
    <t>Calculated Programme Cost:</t>
  </si>
  <si>
    <t xml:space="preserve"> 
Transport Costs
 per MT</t>
  </si>
  <si>
    <t>Please note that MAIZE and MAIZE MEAL is listed under the European name 'Maize' rather than the American term 'Corn'. However, SWEETCORN is listed as CORN, SWEET</t>
  </si>
  <si>
    <t>The table can be filtered using the drop down arrows on the grey buttons. Graphs comparing the percentage of nutrient requirements provided by the rations can be diaplyed by clicking the large grey buttons at the top right of the tracking table.</t>
  </si>
  <si>
    <t>The data from the planned rations should be compared to what was actually received. The Food Basket Monitoring worksheet, also called Onsite Distribution Monitoring (OSDM), can help in the monitoring and analysis of what was actually received by the beneficiaries.</t>
  </si>
  <si>
    <t>OIL, OLIVE</t>
  </si>
  <si>
    <t>2014.10.22</t>
  </si>
  <si>
    <t>USDA NDLSR 26 (NDB: 04053)</t>
  </si>
  <si>
    <t>USDA NDLSR 26 (NDB: 15089)</t>
  </si>
  <si>
    <t>SARDINES, CANNED IN TOMATO SAUCE, DRAINED</t>
  </si>
  <si>
    <t>POTATOES, MASHED, DEHYDRATED GRANULES [USAID]
SARDINES, CANNED IN TOMATO SAUCE, DRAINED
SORGHUM FLOUR
SPICES, BASIL, DRIED
SPICES, CARDAMON DRIED
SPICES, THYME, DRIED</t>
  </si>
  <si>
    <t>OIL, GROUNDNUT (PEANUT)
OIL, SUNFLOWER 
ORANGE, JUICE
PEAS, GREEN, CANNED, SOLIDS AND LIQUIDS
POTATOES, MASHED, DEHYDRATED FLAKES [USAID]</t>
  </si>
  <si>
    <t>HUMMUS
JAMS AND PRESERVES
MILLET FLOUR
OIL, OLIVE
OIL, PALM, UNFORTIFIED</t>
  </si>
  <si>
    <t>CASSAVA, FERMENTED FLOUR (GARI)</t>
  </si>
  <si>
    <r>
      <rPr>
        <b/>
        <i/>
        <sz val="11"/>
        <rFont val="Arial"/>
        <family val="2"/>
      </rPr>
      <t>New Upper Tolerable Limits (UL)</t>
    </r>
    <r>
      <rPr>
        <sz val="11"/>
        <rFont val="Arial"/>
        <family val="2"/>
      </rPr>
      <t xml:space="preserve">: UL for nutrient intakes have been compiled using values set by the Institute for Medicine, USA,  FAO/WHO (2204), and WHO (1996).
</t>
    </r>
  </si>
  <si>
    <r>
      <rPr>
        <b/>
        <i/>
        <sz val="11"/>
        <rFont val="Arial"/>
        <family val="2"/>
      </rPr>
      <t>Changes to the food database</t>
    </r>
    <r>
      <rPr>
        <sz val="11"/>
        <rFont val="Arial"/>
        <family val="2"/>
      </rPr>
      <t xml:space="preserve">: A number of new foods have been </t>
    </r>
    <r>
      <rPr>
        <i/>
        <sz val="11"/>
        <rFont val="Arial"/>
        <family val="2"/>
      </rPr>
      <t>added</t>
    </r>
    <r>
      <rPr>
        <sz val="11"/>
        <rFont val="Arial"/>
        <family val="2"/>
      </rPr>
      <t xml:space="preserve"> in response to requests from users. These are:
</t>
    </r>
    <r>
      <rPr>
        <sz val="9"/>
        <rFont val="Arial"/>
        <family val="2"/>
      </rPr>
      <t>APPLE JUICE, NO ADDED VITAMIN C
BUCKWHEAT GRAIN
BUCKWHEAT FLOUR, WHOLE
CAKE, SPONGE CAKE
CAMEL MILK (DROMEDARY)</t>
    </r>
  </si>
  <si>
    <r>
      <t xml:space="preserve">The </t>
    </r>
    <r>
      <rPr>
        <b/>
        <i/>
        <sz val="11"/>
        <rFont val="Arial"/>
        <family val="2"/>
      </rPr>
      <t>vitamin A</t>
    </r>
    <r>
      <rPr>
        <sz val="11"/>
        <rFont val="Arial"/>
        <family val="2"/>
      </rPr>
      <t xml:space="preserve"> content of foods is now expressed in retinol activity equivalents (RAE), instead of retinol equivalents. The use of this concentration unit reflects the latest thinking about the conversion of carotenoids into retinol.</t>
    </r>
  </si>
  <si>
    <r>
      <rPr>
        <b/>
        <i/>
        <sz val="11"/>
        <rFont val="Arial"/>
        <family val="2"/>
      </rPr>
      <t>Updating of nutrient composition data</t>
    </r>
    <r>
      <rPr>
        <sz val="11"/>
        <rFont val="Arial"/>
        <family val="2"/>
      </rPr>
      <t xml:space="preserve"> for all food items has been done. This includes specifications provided by USAID, that are now indicated by ‘[USAID]’ following the description, and provide information for total nutrient contents (intrinsic plus fortificant). Specifications provided by WFP have also been updated where possible. Among other updated values please note:
 - The iodine content of WFP specified iodised salt has been updated to bring it in line with the mid-point of the allowed range (30.0 - 50.0 mg/kg) in the latest specifications.
- The contents of F75 and F100 therapeutic milks have been updated based on the latest values given in the UNICEF online supplies catalogue
- The iodine content of CSB specified for use in Algeria by WFP has been set to zero, in line with the latest specifications.
</t>
    </r>
  </si>
  <si>
    <r>
      <t xml:space="preserve">Users can now </t>
    </r>
    <r>
      <rPr>
        <b/>
        <i/>
        <sz val="11"/>
        <rFont val="Arial"/>
        <family val="2"/>
      </rPr>
      <t>add additional rows</t>
    </r>
    <r>
      <rPr>
        <sz val="11"/>
        <rFont val="Arial"/>
        <family val="2"/>
      </rPr>
      <t xml:space="preserve"> to the ration calculator. A maximum of 20 rows can now be used for database items and an additional 20 rows are available for items that users can enter themselves.</t>
    </r>
  </si>
  <si>
    <r>
      <t xml:space="preserve">A new </t>
    </r>
    <r>
      <rPr>
        <b/>
        <i/>
        <sz val="11"/>
        <rFont val="Arial"/>
        <family val="2"/>
      </rPr>
      <t>radar chart</t>
    </r>
    <r>
      <rPr>
        <sz val="11"/>
        <rFont val="Arial"/>
        <family val="2"/>
      </rPr>
      <t xml:space="preserve"> has been added as an alternative way of visualising the nutrient adequacy of the selected ration. The chart can be accessed by clicking the button at the bottom of the calculator sheet. </t>
    </r>
  </si>
  <si>
    <r>
      <t>The functions for</t>
    </r>
    <r>
      <rPr>
        <b/>
        <sz val="11"/>
        <rFont val="Arial"/>
        <family val="2"/>
      </rPr>
      <t xml:space="preserve"> </t>
    </r>
    <r>
      <rPr>
        <b/>
        <i/>
        <sz val="11"/>
        <rFont val="Arial"/>
        <family val="2"/>
      </rPr>
      <t>tracking ration data</t>
    </r>
    <r>
      <rPr>
        <i/>
        <sz val="11"/>
        <rFont val="Arial"/>
        <family val="2"/>
      </rPr>
      <t xml:space="preserve"> </t>
    </r>
    <r>
      <rPr>
        <sz val="11"/>
        <rFont val="Arial"/>
        <family val="2"/>
      </rPr>
      <t>have been updated and users can now save sets of complete ration data and reload them into the calculator. The nutrient content of the saved rations can be compared in a table which can be filtered by ration name, date and target beneficiaries. The % adequacy of the saved rations can be visualised using line graphs.</t>
    </r>
  </si>
  <si>
    <r>
      <t xml:space="preserve">A </t>
    </r>
    <r>
      <rPr>
        <b/>
        <i/>
        <sz val="11"/>
        <rFont val="Arial"/>
        <family val="2"/>
      </rPr>
      <t>Logistics Calculator</t>
    </r>
    <r>
      <rPr>
        <i/>
        <sz val="11"/>
        <rFont val="Arial"/>
        <family val="2"/>
      </rPr>
      <t xml:space="preserve"> </t>
    </r>
    <r>
      <rPr>
        <sz val="11"/>
        <rFont val="Arial"/>
        <family val="2"/>
      </rPr>
      <t xml:space="preserve">has been added to allow users to estimate the requirements for programme design in terms of the MT and estimated costs of the ration that was designed in the </t>
    </r>
    <r>
      <rPr>
        <i/>
        <sz val="11"/>
        <rFont val="Arial"/>
        <family val="2"/>
      </rPr>
      <t>Ration Calculator</t>
    </r>
    <r>
      <rPr>
        <sz val="11"/>
        <rFont val="Arial"/>
        <family val="2"/>
      </rPr>
      <t xml:space="preserve">. </t>
    </r>
  </si>
  <si>
    <r>
      <rPr>
        <b/>
        <i/>
        <sz val="11"/>
        <rFont val="Arial"/>
        <family val="2"/>
      </rPr>
      <t>New help screens</t>
    </r>
    <r>
      <rPr>
        <sz val="11"/>
        <rFont val="Arial"/>
        <family val="2"/>
      </rPr>
      <t xml:space="preserve"> are included and formatting changes have been made to streamline the look and feel of the application.</t>
    </r>
  </si>
  <si>
    <r>
      <t xml:space="preserve">The concentration of </t>
    </r>
    <r>
      <rPr>
        <b/>
        <i/>
        <sz val="11"/>
        <rFont val="Arial"/>
        <family val="2"/>
      </rPr>
      <t>niacin</t>
    </r>
    <r>
      <rPr>
        <sz val="11"/>
        <rFont val="Arial"/>
        <family val="2"/>
      </rPr>
      <t xml:space="preserve"> is now expressed for most food items in terms of preformed niacin, rather than as niacin equivalents. Due to low bioavailability in maize, the niacin content of unfortified maize grain and meal is expressed in available niacin equivalents (ANE). </t>
    </r>
  </si>
  <si>
    <t xml:space="preserve">High-Energy Protein Supplement </t>
  </si>
  <si>
    <r>
      <t xml:space="preserve">  NutVal</t>
    </r>
    <r>
      <rPr>
        <b/>
        <sz val="12"/>
        <rFont val="Arial"/>
        <family val="2"/>
      </rPr>
      <t xml:space="preserve"> Abbreviations and Acronyms</t>
    </r>
  </si>
  <si>
    <t>Displaying data on:</t>
  </si>
  <si>
    <t>Example saved ration 2  (15/09/2014)</t>
  </si>
  <si>
    <t>Example saved ration 3  (30/09/2014)</t>
  </si>
  <si>
    <t>NutVal enables you to analyse the content of different rations in the calculation sheet and save them in a Ration Tracking database for further analysis.</t>
  </si>
  <si>
    <t>To use the Ration Tracker you need to:
     Design a ration in the Ration Calculator and enter a name and date for it
     Save the ration to the Ration Tracker database by clicking the Save Ration button
     Repeat this for all the rations you want to compare and then click the Ration Tracker button and a 
     table with the rations and their nutrient content will be displayed</t>
  </si>
  <si>
    <t>(1) Select the commodities to be included in the ration from the commodities list. You can scroll through an alphabetical list of food aid commodities and products by placing the cursor in the item entry cell and using the drop down list.  By adding additional rows up to 20 items can be included from the database. Additional rows can be added by clicking the "+" button to the right of the top entry cell. Rows can be removed by clicking the "-" button.</t>
  </si>
  <si>
    <r>
      <t>(2) If you want to find the best food items to include you can search the NutVal database.  Click the</t>
    </r>
    <r>
      <rPr>
        <i/>
        <sz val="11"/>
        <color indexed="8"/>
        <rFont val="Arial"/>
        <family val="2"/>
      </rPr>
      <t xml:space="preserve"> Food Database</t>
    </r>
    <r>
      <rPr>
        <sz val="11"/>
        <color indexed="62"/>
        <rFont val="Arial"/>
        <family val="2"/>
      </rPr>
      <t xml:space="preserve"> </t>
    </r>
    <r>
      <rPr>
        <sz val="11"/>
        <rFont val="Arial"/>
        <family val="2"/>
      </rPr>
      <t xml:space="preserve">button in the left corner of the ration calculator sheet to go there directly.  You can view foods by type and sort the list to find foods with the highest nutrient densities.  If you want to include items that are not in the database you can type these in on the rows below the dotted line.  However, you have to calculate and type in the nutrient contents manually if you use this option. Up to 20 rows are available for typing in your own food items. Rows can be added or removed using the "+" or "-" buttons, which can be found to the right of the first row below the dotted line. </t>
    </r>
  </si>
  <si>
    <r>
      <rPr>
        <b/>
        <i/>
        <sz val="11"/>
        <rFont val="Arial"/>
        <family val="2"/>
      </rPr>
      <t>New population groups</t>
    </r>
    <r>
      <rPr>
        <sz val="11"/>
        <rFont val="Arial"/>
        <family val="2"/>
      </rPr>
      <t xml:space="preserve">: There are now 13 population age and gender groups that can be selected when using the ration calculator. WFP programme design targets for HIV positive people on ART, and Primary School Feeding programmes have been removed as they are currently under review. </t>
    </r>
  </si>
  <si>
    <t xml:space="preserve">MAIZE MEAL
MNP (WFP formulations 2,3,4, 5, and 6)
OATS, ROLLED 
OIL, VEGETABLE, UNFORTIFIED
OIL, VEGETABLE, Vit A FORTIFIED (USA)
PALM OIL, RED (replaced with OIL, PALM, UNFORTIFIED)
</t>
  </si>
  <si>
    <r>
      <t xml:space="preserve">In addition to using the Ration Tracker, a copy of the data in the Ration Calculator can also easily be saved to a new file by clicking the Export Data button. You can, of course, also save the whole workbook using the </t>
    </r>
    <r>
      <rPr>
        <i/>
        <sz val="11"/>
        <rFont val="Arial"/>
        <family val="2"/>
      </rPr>
      <t>Save as</t>
    </r>
    <r>
      <rPr>
        <sz val="11"/>
        <rFont val="Arial"/>
        <family val="2"/>
      </rPr>
      <t xml:space="preserve"> command from the File menu. </t>
    </r>
  </si>
  <si>
    <r>
      <rPr>
        <b/>
        <i/>
        <sz val="11"/>
        <rFont val="Arial"/>
        <family val="2"/>
      </rPr>
      <t>Additional Nutrients</t>
    </r>
    <r>
      <rPr>
        <sz val="11"/>
        <rFont val="Arial"/>
        <family val="2"/>
      </rPr>
      <t>: Following a review of the latest guidelines on emergency nutrition, new nutrients have been added to the database. These are Vitamins B6, B12, Folate, Pantothenic acid, D, E, and K; and the minerals Copper, Magnesium, and Selenium.</t>
    </r>
  </si>
  <si>
    <r>
      <rPr>
        <b/>
        <sz val="14"/>
        <color indexed="8"/>
        <rFont val="Arial"/>
        <family val="2"/>
      </rPr>
      <t xml:space="preserve">What's new in </t>
    </r>
    <r>
      <rPr>
        <b/>
        <i/>
        <sz val="18"/>
        <color indexed="18"/>
        <rFont val="Verdana"/>
        <family val="2"/>
      </rPr>
      <t>NutVal</t>
    </r>
    <r>
      <rPr>
        <sz val="11"/>
        <rFont val="Arial"/>
        <family val="2"/>
      </rPr>
      <t xml:space="preserve"> </t>
    </r>
    <r>
      <rPr>
        <b/>
        <sz val="15"/>
        <rFont val="Arial"/>
        <family val="2"/>
      </rPr>
      <t>4.1</t>
    </r>
  </si>
  <si>
    <t>What's new in NutVal 4.1?</t>
  </si>
  <si>
    <r>
      <t>NutVal</t>
    </r>
    <r>
      <rPr>
        <b/>
        <sz val="15"/>
        <rFont val="Arial"/>
        <family val="2"/>
      </rPr>
      <t xml:space="preserve"> 4</t>
    </r>
    <r>
      <rPr>
        <b/>
        <sz val="14"/>
        <color indexed="8"/>
        <rFont val="Arial"/>
        <family val="2"/>
      </rPr>
      <t>.</t>
    </r>
    <r>
      <rPr>
        <b/>
        <sz val="15"/>
        <color indexed="8"/>
        <rFont val="Arial"/>
        <family val="2"/>
      </rPr>
      <t>1</t>
    </r>
  </si>
  <si>
    <t>© 2014-2016</t>
  </si>
  <si>
    <r>
      <t xml:space="preserve">You then need to enter information on the expected number of beneficiaries and the duration of the programme in months. Enter your data into the white cells at the top of the sheet with </t>
    </r>
    <r>
      <rPr>
        <sz val="11"/>
        <color indexed="12"/>
        <rFont val="Arial"/>
        <family val="2"/>
      </rPr>
      <t>blue</t>
    </r>
    <r>
      <rPr>
        <sz val="11"/>
        <rFont val="Arial"/>
        <family val="2"/>
      </rPr>
      <t xml:space="preserve"> font. Please note that NutVal assumes that 1 month is equal to 30 days for this calculation.</t>
    </r>
  </si>
  <si>
    <r>
      <t xml:space="preserve">Next, enter information on the costs for each food item. Again, enter your data into the white cells with the </t>
    </r>
    <r>
      <rPr>
        <sz val="11"/>
        <color indexed="12"/>
        <rFont val="Arial"/>
        <family val="2"/>
      </rPr>
      <t>blue</t>
    </r>
    <r>
      <rPr>
        <sz val="11"/>
        <rFont val="Arial"/>
        <family val="2"/>
      </rPr>
      <t xml:space="preserve"> font. Costs should be entered for: (1) procurement (purchase) costs; (2) transportation costs; and (3) local transport, storage and handling costs. These costs are labelled in the calculator using the terms used by WFP.</t>
    </r>
  </si>
  <si>
    <t>Please note that NutVal does not convert the costs you enter from one currency to another. Make sure to use one currency consistently for all the data entry. This will ensure the total costs are calculated correctly.</t>
  </si>
  <si>
    <t>Column widths to set: 41</t>
  </si>
  <si>
    <t>2015.10.23</t>
  </si>
  <si>
    <t>RICE, FORTIFIED [WFP]</t>
  </si>
  <si>
    <t>WFP Technical Specification (v15.0; 16/04/2015) &amp; NDB: 20450</t>
  </si>
  <si>
    <t>USDA NDLSR 26 (NDB: 12166)</t>
  </si>
  <si>
    <t>2015.10.22</t>
  </si>
  <si>
    <r>
      <rPr>
        <b/>
        <i/>
        <sz val="11"/>
        <color indexed="8"/>
        <rFont val="Arial"/>
        <family val="2"/>
      </rPr>
      <t xml:space="preserve">Formatting and navigation: </t>
    </r>
    <r>
      <rPr>
        <sz val="11"/>
        <color indexed="8"/>
        <rFont val="Arial"/>
        <family val="2"/>
      </rPr>
      <t xml:space="preserve">Minor corrections to help file text and navigation buttons have been made to improve clarity, and formatting on the Logistics Calculator sheet has been improved.
</t>
    </r>
  </si>
  <si>
    <r>
      <rPr>
        <b/>
        <i/>
        <sz val="11"/>
        <color indexed="8"/>
        <rFont val="Arial"/>
        <family val="2"/>
      </rPr>
      <t>Data saving:</t>
    </r>
    <r>
      <rPr>
        <sz val="11"/>
        <color indexed="8"/>
        <rFont val="Arial"/>
        <family val="2"/>
      </rPr>
      <t xml:space="preserve"> A bug which prevented the saving of nutrient values entered by the user on the calculation sheet has been fixed</t>
    </r>
  </si>
  <si>
    <t>RICE, FORTIFIED [USAID]</t>
  </si>
  <si>
    <t>2015.11.10</t>
  </si>
  <si>
    <t>USDA Specification MR24 (07/08/2014) &amp; NDB: 20450</t>
  </si>
  <si>
    <t>RICE, FORTIFIED [BANGLADESH BSTI]</t>
  </si>
  <si>
    <t>Specification for fortified rice (BDS 1897:2015) &amp; NDB: 20450</t>
  </si>
  <si>
    <t>RICE, BROWN, MEDIUM GRAIN</t>
  </si>
  <si>
    <t>2015.11.11</t>
  </si>
  <si>
    <t>USDA NDLSR 26 (NDB: 20040)</t>
  </si>
  <si>
    <t>YOGHURT, WHOLE MILK (LEBAN)</t>
  </si>
  <si>
    <t>2015.11.12</t>
  </si>
  <si>
    <t>USDA NDLSR 26 (NDB: 01116)</t>
  </si>
  <si>
    <t>TAHINI (SESAME SEED BUTTER)</t>
  </si>
  <si>
    <t>BASIL, DRIED</t>
  </si>
  <si>
    <t>THYME, DRIED</t>
  </si>
  <si>
    <t>- BASIL, DRIED
- CARDAMON, DRIED
- THYME, DRIED</t>
  </si>
  <si>
    <t>- RICE, BROWN, MEDIUM GRAIN
- RICE, FORTIFIED [WFP]
- RICE, FORTIFIED [BANGLADESH, BSTI]
- RICE, FORTIFIED [USAID]
- TAHINI (SESAME SEED BUTTER)
- YOGHURT, WHOLE MILK (LEBAN)</t>
  </si>
  <si>
    <r>
      <t xml:space="preserve">The following items have been renamed, to make them easier to find, by removing </t>
    </r>
    <r>
      <rPr>
        <sz val="9"/>
        <color indexed="8"/>
        <rFont val="Arial"/>
        <family val="2"/>
      </rPr>
      <t>'SPICES'</t>
    </r>
    <r>
      <rPr>
        <sz val="11"/>
        <color indexed="8"/>
        <rFont val="Arial"/>
        <family val="2"/>
      </rPr>
      <t xml:space="preserve"> from the front of the name:</t>
    </r>
  </si>
  <si>
    <t>CARDAMON, DRIED</t>
  </si>
  <si>
    <t>BARLEY, DEHULLED</t>
  </si>
  <si>
    <t>BP-5™</t>
  </si>
  <si>
    <t>RUSF - PLUMPY'SUP®</t>
  </si>
  <si>
    <t>RUTF - BP100™</t>
  </si>
  <si>
    <t>RUTF - PLUMPY'NUT®</t>
  </si>
  <si>
    <t>SOYA BEAN MEAL, DEFATTED</t>
  </si>
  <si>
    <t>Lastly, the Dietary Folate Equivalent (DFE) values for some special nutritional products have been updated.</t>
  </si>
  <si>
    <t>NUTRITION PRODUCT</t>
  </si>
  <si>
    <t>SPEC. NUTR. PROD.</t>
  </si>
  <si>
    <t xml:space="preserve">There are currently 188 items included in the NutVal Database.
</t>
  </si>
  <si>
    <r>
      <t xml:space="preserve">Special nutritional products such as RUSF, RUTF, MNP, and LNS are now listed under a new food group called </t>
    </r>
    <r>
      <rPr>
        <sz val="9"/>
        <color indexed="8"/>
        <rFont val="Arial"/>
        <family val="2"/>
      </rPr>
      <t>SPEC. NUTR. PROD,</t>
    </r>
    <r>
      <rPr>
        <sz val="11"/>
        <color indexed="8"/>
        <rFont val="Arial"/>
        <family val="2"/>
      </rPr>
      <t xml:space="preserve"> rather than being included in the </t>
    </r>
    <r>
      <rPr>
        <sz val="9"/>
        <color indexed="8"/>
        <rFont val="Arial"/>
        <family val="2"/>
      </rPr>
      <t xml:space="preserve">MICELLANEOUS </t>
    </r>
    <r>
      <rPr>
        <sz val="11"/>
        <color indexed="8"/>
        <rFont val="Arial"/>
        <family val="2"/>
      </rPr>
      <t xml:space="preserve">group. Fortified blended foods are still listed under the </t>
    </r>
    <r>
      <rPr>
        <sz val="9"/>
        <color indexed="8"/>
        <rFont val="Arial"/>
        <family val="2"/>
      </rPr>
      <t>BLENDED FOODS</t>
    </r>
    <r>
      <rPr>
        <sz val="11"/>
        <color indexed="8"/>
        <rFont val="Arial"/>
        <family val="2"/>
      </rPr>
      <t xml:space="preserve"> group.</t>
    </r>
  </si>
  <si>
    <r>
      <t xml:space="preserve">What's new in </t>
    </r>
    <r>
      <rPr>
        <b/>
        <i/>
        <sz val="15"/>
        <color indexed="18"/>
        <rFont val="Verdana"/>
        <family val="2"/>
      </rPr>
      <t>NutVal</t>
    </r>
    <r>
      <rPr>
        <sz val="11"/>
        <rFont val="Arial"/>
        <family val="2"/>
      </rPr>
      <t xml:space="preserve"> </t>
    </r>
    <r>
      <rPr>
        <b/>
        <sz val="11"/>
        <rFont val="Arial"/>
        <family val="2"/>
      </rPr>
      <t>4.0</t>
    </r>
  </si>
  <si>
    <r>
      <t xml:space="preserve">The </t>
    </r>
    <r>
      <rPr>
        <b/>
        <i/>
        <sz val="11"/>
        <rFont val="Calibri"/>
        <family val="2"/>
      </rPr>
      <t>Food and Nutrient Database</t>
    </r>
    <r>
      <rPr>
        <b/>
        <sz val="11"/>
        <rFont val="Calibri"/>
        <family val="2"/>
      </rPr>
      <t xml:space="preserve"> and </t>
    </r>
    <r>
      <rPr>
        <b/>
        <i/>
        <sz val="11"/>
        <rFont val="Calibri"/>
        <family val="2"/>
      </rPr>
      <t>Ration</t>
    </r>
    <r>
      <rPr>
        <b/>
        <sz val="11"/>
        <rFont val="Calibri"/>
        <family val="2"/>
      </rPr>
      <t xml:space="preserve"> </t>
    </r>
    <r>
      <rPr>
        <b/>
        <i/>
        <sz val="11"/>
        <rFont val="Calibri"/>
        <family val="2"/>
      </rPr>
      <t>Calculator</t>
    </r>
    <r>
      <rPr>
        <b/>
        <sz val="11"/>
        <rFont val="Calibri"/>
        <family val="2"/>
      </rPr>
      <t xml:space="preserve"> can help you select commodities and products and calculate the nutrient content of food assistance rations.  The </t>
    </r>
    <r>
      <rPr>
        <b/>
        <i/>
        <sz val="11"/>
        <rFont val="Calibri"/>
        <family val="2"/>
      </rPr>
      <t>Logistics Calculator</t>
    </r>
    <r>
      <rPr>
        <b/>
        <sz val="11"/>
        <rFont val="Calibri"/>
        <family val="2"/>
      </rPr>
      <t xml:space="preserve"> can be used to calculate food requirements and costs for programmes. Rations can be saved and compared using the</t>
    </r>
    <r>
      <rPr>
        <b/>
        <i/>
        <sz val="11"/>
        <rFont val="Calibri"/>
        <family val="2"/>
      </rPr>
      <t xml:space="preserve"> Ration Tracker</t>
    </r>
    <r>
      <rPr>
        <b/>
        <sz val="11"/>
        <rFont val="Calibri"/>
        <family val="2"/>
      </rPr>
      <t xml:space="preserve"> function. The </t>
    </r>
    <r>
      <rPr>
        <b/>
        <i/>
        <sz val="11"/>
        <rFont val="Calibri"/>
        <family val="2"/>
      </rPr>
      <t>On-Site Distribution Monitoring</t>
    </r>
    <r>
      <rPr>
        <b/>
        <sz val="11"/>
        <rFont val="Calibri"/>
        <family val="2"/>
      </rPr>
      <t xml:space="preserve"> function is for collecting and analysing distribution data (also called food basket monitoring).  NutVal 4 is </t>
    </r>
    <r>
      <rPr>
        <b/>
        <u/>
        <sz val="11"/>
        <rFont val="Calibri"/>
        <family val="2"/>
      </rPr>
      <t>not</t>
    </r>
    <r>
      <rPr>
        <b/>
        <i/>
        <sz val="11"/>
        <rFont val="Calibri"/>
        <family val="2"/>
      </rPr>
      <t xml:space="preserve"> </t>
    </r>
    <r>
      <rPr>
        <b/>
        <sz val="11"/>
        <rFont val="Calibri"/>
        <family val="2"/>
      </rPr>
      <t xml:space="preserve">designed for calculating diets for the treatment of malnutrition but therapeutic and supplementary feeding products are included in the database for easy reference. To use NutVal you must </t>
    </r>
    <r>
      <rPr>
        <b/>
        <i/>
        <sz val="11"/>
        <rFont val="Calibri"/>
        <family val="2"/>
      </rPr>
      <t>enable macros</t>
    </r>
    <r>
      <rPr>
        <b/>
        <sz val="11"/>
        <rFont val="Calibri"/>
        <family val="2"/>
      </rPr>
      <t xml:space="preserve"> when you start the application.  Click one of the buttons  to start or read the help pages for more information. </t>
    </r>
  </si>
  <si>
    <r>
      <rPr>
        <b/>
        <i/>
        <sz val="11"/>
        <color indexed="8"/>
        <rFont val="Arial"/>
        <family val="2"/>
      </rPr>
      <t>Changes to the food database:</t>
    </r>
    <r>
      <rPr>
        <sz val="11"/>
        <color indexed="8"/>
        <rFont val="Arial"/>
        <family val="2"/>
      </rPr>
      <t xml:space="preserve"> New foods have been added in response to requests from users.
These include the WFP, USAID/USDA, and Bangladesh Standards and Testing Institute (BSTI), specifications for fortified rice. As usual, specifications are indicted in the food database by adding the name of the specifying organisation in square brackets [ ]. Alternative names for foods are indicated using round brackets ( ). The use of different text colours to distinguish specifications from food composition data has been discontinued.</t>
    </r>
  </si>
  <si>
    <r>
      <rPr>
        <b/>
        <i/>
        <sz val="11"/>
        <color indexed="8"/>
        <rFont val="Arial"/>
        <family val="2"/>
      </rPr>
      <t xml:space="preserve">Changes in fat requirements for young children: </t>
    </r>
    <r>
      <rPr>
        <sz val="11"/>
        <color indexed="8"/>
        <rFont val="Arial"/>
        <family val="2"/>
      </rPr>
      <t>In NutVal 4.0 the nutritional requirements of additional age groups were introduced. These included 6-23, 24-59, and 6-59 months. Fat requirements were calculated for all groups according to UNHCR/UNUCEF/WFP/WHO (2002), i.e. as the % of energy that should be supplied from fat. For the general population the minimum percentage is specified as 17%, for pregnant and lactating women it is 20%, and for young children it is 30%.</t>
    </r>
  </si>
  <si>
    <t>In NutVal 4.0 the definition of young child was taken as 6-23 months, as this was consistent with WHO definitions used in work on infant and young child feeding. However, this resulted in the fat requirements for these age groups being less than recommended by other expert committees. In NutVal 4.1 is has been decided, for the purposes of calculating fat requirements, to define a 'young child' as aged between 6 and 59 months. This results in an increase in the fat requirements for these age groups and the higher requirement figures are included in NutVal 4.1.</t>
  </si>
  <si>
    <r>
      <rPr>
        <b/>
        <i/>
        <sz val="11"/>
        <rFont val="Arial"/>
        <family val="2"/>
      </rPr>
      <t>New requirements</t>
    </r>
    <r>
      <rPr>
        <sz val="11"/>
        <rFont val="Arial"/>
        <family val="2"/>
      </rPr>
      <t>: The requirement figures for all nutrients, except copper, are now based on the requirements set by WHO and FAO in 2004 ('Vitamin and Mineral Requirements in Human Nutrition', Second edition, WHO/FAO, 2004). Where the population sub-groups in the FAO report differ from those used in NutVal, weighted averages were calculated. These new Recommended Nutrient Intakes (RNI) replace the previously used Safe Levels of Intake ('Management of Nutrition in Major Emergencies' WHO, 2000). Requirements for copper were not specified by WHO/FAO in 2004 and were therefore taken from Trace Elements in Human Nutrition and Health, WHO, 1996.</t>
    </r>
  </si>
  <si>
    <r>
      <t>(E) Specifications are provided by WFP, USAID, or UNICEF for a number of different nutritional products. The responsible organisation is listed in square brackets in the text</t>
    </r>
    <r>
      <rPr>
        <b/>
        <sz val="11"/>
        <color indexed="56"/>
        <rFont val="Arial"/>
        <family val="2"/>
      </rPr>
      <t>.</t>
    </r>
  </si>
  <si>
    <t xml:space="preserve">% of energy supplied by protein or fat: </t>
  </si>
  <si>
    <t>Example saved ration 1  (1/09/2014)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</si>
</sst>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_-* #,##0_-;\-* #,##0_-;_-* &quot;-&quot;_-;_-@_-"/>
    <numFmt numFmtId="165" formatCode="_-* #,##0.00_-;\-* #,##0.00_-;_-* &quot;-&quot;??_-;_-@_-"/>
    <numFmt numFmtId="166" formatCode="General_)"/>
    <numFmt numFmtId="167" formatCode="#,##0.0_);\(#,##0.0\)"/>
    <numFmt numFmtId="168" formatCode="0.0"/>
    <numFmt numFmtId="169" formatCode="0.0%"/>
    <numFmt numFmtId="170" formatCode="#,##0.0;\-#,##0.0"/>
    <numFmt numFmtId="171" formatCode="#,##0_);\(#,##0\)"/>
    <numFmt numFmtId="172" formatCode="_-* #,##0.0_-;\-* #,##0.0_-;_-* &quot;-&quot;??_-;_-@_-"/>
    <numFmt numFmtId="173" formatCode="_-* #,##0_-;\-* #,##0_-;_-* &quot;-&quot;??_-;_-@_-"/>
    <numFmt numFmtId="174" formatCode="#,##0.0"/>
    <numFmt numFmtId="175" formatCode="#,##0_ ;\-#,##0\ "/>
    <numFmt numFmtId="176" formatCode="0_ ;\-0\ "/>
    <numFmt numFmtId="177" formatCode="dd/mm/yyyy;@"/>
    <numFmt numFmtId="178" formatCode="#,##0.0_ ;\-#,##0.0\ "/>
    <numFmt numFmtId="179" formatCode="0.0_ ;\-0.0\ "/>
  </numFmts>
  <fonts count="171" x14ac:knownFonts="1">
    <font>
      <sz val="12"/>
      <name val="Helv"/>
    </font>
    <font>
      <sz val="10"/>
      <name val="Arial"/>
      <family val="2"/>
    </font>
    <font>
      <b/>
      <sz val="12"/>
      <name val="Arial"/>
      <family val="2"/>
    </font>
    <font>
      <sz val="9"/>
      <name val="Arial"/>
      <family val="2"/>
    </font>
    <font>
      <sz val="9"/>
      <color indexed="12"/>
      <name val="Arial"/>
      <family val="2"/>
    </font>
    <font>
      <u/>
      <sz val="9"/>
      <name val="Arial"/>
      <family val="2"/>
    </font>
    <font>
      <b/>
      <sz val="9"/>
      <name val="Arial"/>
      <family val="2"/>
    </font>
    <font>
      <b/>
      <sz val="11"/>
      <name val="Verdana"/>
      <family val="2"/>
    </font>
    <font>
      <sz val="9"/>
      <color indexed="8"/>
      <name val="Arial"/>
      <family val="2"/>
    </font>
    <font>
      <b/>
      <sz val="12"/>
      <name val="Verdana"/>
      <family val="2"/>
    </font>
    <font>
      <b/>
      <i/>
      <sz val="14"/>
      <color indexed="18"/>
      <name val="Verdana"/>
      <family val="2"/>
    </font>
    <font>
      <b/>
      <sz val="14"/>
      <name val="Verdana"/>
      <family val="2"/>
    </font>
    <font>
      <b/>
      <sz val="8"/>
      <name val="Verdana"/>
      <family val="2"/>
    </font>
    <font>
      <sz val="11"/>
      <name val="Arial"/>
      <family val="2"/>
    </font>
    <font>
      <b/>
      <i/>
      <sz val="14"/>
      <color indexed="18"/>
      <name val="Arial"/>
      <family val="2"/>
    </font>
    <font>
      <sz val="12"/>
      <name val="Arial"/>
      <family val="2"/>
    </font>
    <font>
      <b/>
      <sz val="10"/>
      <name val="Arial"/>
      <family val="2"/>
    </font>
    <font>
      <u/>
      <sz val="12"/>
      <color indexed="12"/>
      <name val="Arial"/>
      <family val="2"/>
    </font>
    <font>
      <b/>
      <sz val="11"/>
      <name val="Arial"/>
      <family val="2"/>
    </font>
    <font>
      <sz val="12"/>
      <name val="Verdana"/>
      <family val="2"/>
    </font>
    <font>
      <b/>
      <sz val="10"/>
      <name val="Verdana"/>
      <family val="2"/>
    </font>
    <font>
      <sz val="8"/>
      <name val="Verdana"/>
      <family val="2"/>
    </font>
    <font>
      <b/>
      <sz val="9"/>
      <name val="Verdana"/>
      <family val="2"/>
    </font>
    <font>
      <sz val="9"/>
      <name val="Verdana"/>
      <family val="2"/>
    </font>
    <font>
      <b/>
      <sz val="7"/>
      <name val="Verdana"/>
      <family val="2"/>
    </font>
    <font>
      <b/>
      <sz val="8"/>
      <color indexed="12"/>
      <name val="Verdana"/>
      <family val="2"/>
    </font>
    <font>
      <b/>
      <i/>
      <sz val="12"/>
      <name val="Verdana"/>
      <family val="2"/>
    </font>
    <font>
      <b/>
      <i/>
      <sz val="8"/>
      <name val="Verdana"/>
      <family val="2"/>
    </font>
    <font>
      <b/>
      <i/>
      <u/>
      <sz val="8"/>
      <name val="Verdana"/>
      <family val="2"/>
    </font>
    <font>
      <u/>
      <sz val="10"/>
      <color indexed="12"/>
      <name val="Helv"/>
    </font>
    <font>
      <i/>
      <sz val="10"/>
      <name val="Arial"/>
      <family val="2"/>
    </font>
    <font>
      <i/>
      <sz val="11"/>
      <name val="Arial"/>
      <family val="2"/>
    </font>
    <font>
      <sz val="9"/>
      <color indexed="8"/>
      <name val="Verdana"/>
      <family val="2"/>
    </font>
    <font>
      <b/>
      <i/>
      <sz val="9"/>
      <name val="Verdana"/>
      <family val="2"/>
    </font>
    <font>
      <b/>
      <i/>
      <sz val="15"/>
      <color indexed="18"/>
      <name val="Verdana"/>
      <family val="2"/>
    </font>
    <font>
      <b/>
      <sz val="15"/>
      <name val="Verdana"/>
      <family val="2"/>
    </font>
    <font>
      <u/>
      <sz val="9"/>
      <name val="Helv"/>
    </font>
    <font>
      <b/>
      <sz val="10"/>
      <color indexed="11"/>
      <name val="Arial"/>
      <family val="2"/>
    </font>
    <font>
      <u/>
      <sz val="10"/>
      <color indexed="18"/>
      <name val="Arial"/>
      <family val="2"/>
    </font>
    <font>
      <sz val="10"/>
      <name val="Verdana"/>
      <family val="2"/>
    </font>
    <font>
      <b/>
      <i/>
      <sz val="11"/>
      <color indexed="18"/>
      <name val="Verdana"/>
      <family val="2"/>
    </font>
    <font>
      <sz val="8"/>
      <color indexed="18"/>
      <name val="Verdana"/>
      <family val="2"/>
    </font>
    <font>
      <b/>
      <sz val="7"/>
      <color indexed="18"/>
      <name val="Verdana"/>
      <family val="2"/>
    </font>
    <font>
      <i/>
      <sz val="9"/>
      <name val="Arial"/>
      <family val="2"/>
    </font>
    <font>
      <sz val="7"/>
      <name val="Helv"/>
    </font>
    <font>
      <sz val="7"/>
      <name val="Arial"/>
      <family val="2"/>
    </font>
    <font>
      <b/>
      <i/>
      <sz val="15"/>
      <name val="Verdana"/>
      <family val="2"/>
    </font>
    <font>
      <b/>
      <sz val="15"/>
      <name val="Arial"/>
      <family val="2"/>
    </font>
    <font>
      <sz val="10"/>
      <name val="Arial"/>
      <family val="2"/>
    </font>
    <font>
      <b/>
      <sz val="12"/>
      <color indexed="8"/>
      <name val="Arial"/>
      <family val="2"/>
    </font>
    <font>
      <sz val="14"/>
      <name val="Verdana"/>
      <family val="2"/>
    </font>
    <font>
      <b/>
      <sz val="10"/>
      <color indexed="9"/>
      <name val="Arial"/>
      <family val="2"/>
    </font>
    <font>
      <sz val="8"/>
      <color indexed="8"/>
      <name val="Verdana"/>
      <family val="2"/>
    </font>
    <font>
      <sz val="10"/>
      <color indexed="8"/>
      <name val="Verdana"/>
      <family val="2"/>
    </font>
    <font>
      <sz val="12"/>
      <color indexed="8"/>
      <name val="Verdana"/>
      <family val="2"/>
    </font>
    <font>
      <sz val="10"/>
      <name val="Helv"/>
    </font>
    <font>
      <sz val="12"/>
      <color indexed="9"/>
      <name val="Verdana"/>
      <family val="2"/>
    </font>
    <font>
      <sz val="10"/>
      <color indexed="9"/>
      <name val="Verdana"/>
      <family val="2"/>
    </font>
    <font>
      <sz val="10"/>
      <color indexed="9"/>
      <name val="Helv"/>
    </font>
    <font>
      <sz val="12"/>
      <color indexed="9"/>
      <name val="Helv"/>
    </font>
    <font>
      <b/>
      <sz val="10"/>
      <color indexed="8"/>
      <name val="Arial"/>
      <family val="2"/>
    </font>
    <font>
      <b/>
      <sz val="9"/>
      <color indexed="8"/>
      <name val="Arial"/>
      <family val="2"/>
    </font>
    <font>
      <b/>
      <sz val="10"/>
      <color indexed="9"/>
      <name val="Verdana"/>
      <family val="2"/>
    </font>
    <font>
      <sz val="12"/>
      <color indexed="8"/>
      <name val="Helv"/>
    </font>
    <font>
      <sz val="7"/>
      <color indexed="8"/>
      <name val="Arial"/>
      <family val="2"/>
    </font>
    <font>
      <sz val="10"/>
      <color indexed="8"/>
      <name val="Arial"/>
      <family val="2"/>
    </font>
    <font>
      <b/>
      <i/>
      <sz val="18"/>
      <color indexed="18"/>
      <name val="Verdana"/>
      <family val="2"/>
    </font>
    <font>
      <b/>
      <sz val="14"/>
      <name val="Arial"/>
      <family val="2"/>
    </font>
    <font>
      <sz val="14"/>
      <name val="Arial"/>
      <family val="2"/>
    </font>
    <font>
      <b/>
      <sz val="10"/>
      <color indexed="12"/>
      <name val="Arial"/>
      <family val="2"/>
    </font>
    <font>
      <sz val="9"/>
      <color indexed="9"/>
      <name val="Arial"/>
      <family val="2"/>
    </font>
    <font>
      <sz val="7"/>
      <color indexed="12"/>
      <name val="Arial"/>
      <family val="2"/>
    </font>
    <font>
      <sz val="11"/>
      <color indexed="8"/>
      <name val="Arial"/>
      <family val="2"/>
    </font>
    <font>
      <sz val="8"/>
      <color indexed="81"/>
      <name val="Tahoma"/>
      <family val="2"/>
    </font>
    <font>
      <b/>
      <sz val="8"/>
      <color indexed="81"/>
      <name val="Tahoma"/>
      <family val="2"/>
    </font>
    <font>
      <sz val="10"/>
      <color indexed="8"/>
      <name val="Helv"/>
    </font>
    <font>
      <b/>
      <i/>
      <sz val="10"/>
      <color indexed="8"/>
      <name val="Verdana"/>
      <family val="2"/>
    </font>
    <font>
      <sz val="12"/>
      <name val="Helv"/>
    </font>
    <font>
      <b/>
      <sz val="9"/>
      <color indexed="44"/>
      <name val="Arial"/>
      <family val="2"/>
    </font>
    <font>
      <b/>
      <sz val="9"/>
      <color indexed="18"/>
      <name val="Arial"/>
      <family val="2"/>
    </font>
    <font>
      <b/>
      <sz val="10"/>
      <color indexed="18"/>
      <name val="Arial"/>
      <family val="2"/>
    </font>
    <font>
      <b/>
      <sz val="9"/>
      <color indexed="12"/>
      <name val="Arial"/>
      <family val="2"/>
    </font>
    <font>
      <sz val="12"/>
      <name val="Helv"/>
    </font>
    <font>
      <sz val="10"/>
      <color indexed="54"/>
      <name val="Arial"/>
      <family val="2"/>
    </font>
    <font>
      <b/>
      <sz val="10"/>
      <color indexed="54"/>
      <name val="Arial"/>
      <family val="2"/>
    </font>
    <font>
      <sz val="9"/>
      <color indexed="54"/>
      <name val="Arial"/>
      <family val="2"/>
    </font>
    <font>
      <sz val="9"/>
      <color indexed="54"/>
      <name val="Verdana"/>
      <family val="2"/>
    </font>
    <font>
      <sz val="8"/>
      <name val="Arial"/>
      <family val="2"/>
    </font>
    <font>
      <i/>
      <sz val="11"/>
      <color indexed="8"/>
      <name val="Arial"/>
      <family val="2"/>
    </font>
    <font>
      <b/>
      <i/>
      <sz val="16"/>
      <color indexed="18"/>
      <name val="Verdana"/>
      <family val="2"/>
    </font>
    <font>
      <sz val="9"/>
      <color indexed="18"/>
      <name val="Arial"/>
      <family val="2"/>
    </font>
    <font>
      <b/>
      <i/>
      <sz val="11"/>
      <color indexed="8"/>
      <name val="Arial"/>
      <family val="2"/>
    </font>
    <font>
      <b/>
      <i/>
      <sz val="12"/>
      <color indexed="8"/>
      <name val="Arial"/>
      <family val="2"/>
    </font>
    <font>
      <b/>
      <sz val="11"/>
      <color indexed="8"/>
      <name val="Arial"/>
      <family val="2"/>
    </font>
    <font>
      <b/>
      <sz val="15"/>
      <color indexed="18"/>
      <name val="Arial"/>
      <family val="2"/>
    </font>
    <font>
      <sz val="8"/>
      <name val="Helv"/>
    </font>
    <font>
      <b/>
      <sz val="8"/>
      <color indexed="55"/>
      <name val="Arial"/>
      <family val="2"/>
    </font>
    <font>
      <b/>
      <sz val="8"/>
      <color indexed="8"/>
      <name val="Arial"/>
      <family val="2"/>
    </font>
    <font>
      <b/>
      <sz val="8"/>
      <name val="Arial"/>
      <family val="2"/>
    </font>
    <font>
      <b/>
      <sz val="14"/>
      <color indexed="8"/>
      <name val="Arial"/>
      <family val="2"/>
    </font>
    <font>
      <sz val="12"/>
      <color indexed="12"/>
      <name val="Helv"/>
    </font>
    <font>
      <sz val="9"/>
      <color indexed="20"/>
      <name val="Arial"/>
      <family val="2"/>
    </font>
    <font>
      <sz val="7"/>
      <color indexed="20"/>
      <name val="Arial"/>
      <family val="2"/>
    </font>
    <font>
      <sz val="12"/>
      <color indexed="20"/>
      <name val="Helv"/>
    </font>
    <font>
      <sz val="8"/>
      <color indexed="8"/>
      <name val="Arial"/>
      <family val="2"/>
    </font>
    <font>
      <b/>
      <sz val="16"/>
      <color indexed="18"/>
      <name val="Calibri"/>
      <family val="2"/>
    </font>
    <font>
      <b/>
      <sz val="11"/>
      <name val="Calibri"/>
      <family val="2"/>
    </font>
    <font>
      <b/>
      <i/>
      <sz val="11"/>
      <name val="Calibri"/>
      <family val="2"/>
    </font>
    <font>
      <b/>
      <u/>
      <sz val="11"/>
      <name val="Calibri"/>
      <family val="2"/>
    </font>
    <font>
      <b/>
      <sz val="14"/>
      <name val="Calibri"/>
      <family val="2"/>
    </font>
    <font>
      <sz val="14"/>
      <name val="Calibri"/>
      <family val="2"/>
    </font>
    <font>
      <u/>
      <sz val="10"/>
      <color indexed="12"/>
      <name val="Arial"/>
      <family val="2"/>
    </font>
    <font>
      <b/>
      <sz val="11"/>
      <color indexed="61"/>
      <name val="Arial"/>
      <family val="2"/>
    </font>
    <font>
      <b/>
      <sz val="11"/>
      <color indexed="56"/>
      <name val="Arial"/>
      <family val="2"/>
    </font>
    <font>
      <b/>
      <sz val="9"/>
      <name val="Helv"/>
    </font>
    <font>
      <sz val="9"/>
      <color indexed="81"/>
      <name val="Tahoma"/>
      <family val="2"/>
    </font>
    <font>
      <b/>
      <sz val="9"/>
      <color indexed="81"/>
      <name val="Tahoma"/>
      <family val="2"/>
    </font>
    <font>
      <b/>
      <sz val="8"/>
      <name val="Calibri"/>
      <family val="2"/>
    </font>
    <font>
      <b/>
      <sz val="9"/>
      <name val="Calibri"/>
      <family val="2"/>
    </font>
    <font>
      <sz val="11"/>
      <name val="Calibri"/>
      <family val="2"/>
    </font>
    <font>
      <b/>
      <sz val="12"/>
      <name val="Helv"/>
    </font>
    <font>
      <b/>
      <i/>
      <sz val="11"/>
      <color indexed="18"/>
      <name val="Arial"/>
      <family val="2"/>
    </font>
    <font>
      <b/>
      <i/>
      <sz val="9"/>
      <name val="Arial"/>
      <family val="2"/>
    </font>
    <font>
      <sz val="10"/>
      <color indexed="12"/>
      <name val="Arial"/>
      <family val="2"/>
    </font>
    <font>
      <sz val="11"/>
      <color indexed="62"/>
      <name val="Arial"/>
      <family val="2"/>
    </font>
    <font>
      <sz val="11"/>
      <color indexed="57"/>
      <name val="Arial"/>
      <family val="2"/>
    </font>
    <font>
      <sz val="11"/>
      <color indexed="12"/>
      <name val="Arial"/>
      <family val="2"/>
    </font>
    <font>
      <b/>
      <i/>
      <sz val="11"/>
      <name val="Arial"/>
      <family val="2"/>
    </font>
    <font>
      <b/>
      <sz val="15"/>
      <color indexed="8"/>
      <name val="Arial"/>
      <family val="2"/>
    </font>
    <font>
      <sz val="10"/>
      <name val="MS Sans Serif"/>
      <family val="2"/>
    </font>
    <font>
      <b/>
      <sz val="11"/>
      <color theme="1"/>
      <name val="Calibri"/>
      <family val="2"/>
      <scheme val="minor"/>
    </font>
    <font>
      <b/>
      <sz val="9"/>
      <color theme="1"/>
      <name val="Arial"/>
      <family val="2"/>
    </font>
    <font>
      <sz val="12"/>
      <color theme="0" tint="-0.34998626667073579"/>
      <name val="Helv"/>
    </font>
    <font>
      <sz val="7"/>
      <color theme="1"/>
      <name val="Arial"/>
      <family val="2"/>
    </font>
    <font>
      <b/>
      <sz val="10"/>
      <name val="Calibri"/>
      <family val="2"/>
      <scheme val="minor"/>
    </font>
    <font>
      <b/>
      <sz val="11"/>
      <name val="Calibri"/>
      <family val="2"/>
      <scheme val="minor"/>
    </font>
    <font>
      <sz val="11"/>
      <name val="Calibri"/>
      <family val="2"/>
      <scheme val="minor"/>
    </font>
    <font>
      <sz val="10"/>
      <name val="Calibri"/>
      <family val="2"/>
      <scheme val="minor"/>
    </font>
    <font>
      <sz val="9"/>
      <color theme="1"/>
      <name val="Arial"/>
      <family val="2"/>
    </font>
    <font>
      <u/>
      <sz val="11"/>
      <color indexed="12"/>
      <name val="Calibri"/>
      <family val="2"/>
      <scheme val="minor"/>
    </font>
    <font>
      <u/>
      <sz val="11"/>
      <color indexed="18"/>
      <name val="Calibri"/>
      <family val="2"/>
      <scheme val="minor"/>
    </font>
    <font>
      <i/>
      <sz val="11"/>
      <name val="Calibri"/>
      <family val="2"/>
      <scheme val="minor"/>
    </font>
    <font>
      <sz val="12"/>
      <color rgb="FF000080"/>
      <name val="Helv"/>
    </font>
    <font>
      <sz val="10"/>
      <color rgb="FFFF0000"/>
      <name val="Arial"/>
      <family val="2"/>
    </font>
    <font>
      <sz val="8"/>
      <color rgb="FF99CCFF"/>
      <name val="Arial"/>
      <family val="2"/>
    </font>
    <font>
      <b/>
      <sz val="10"/>
      <color theme="1"/>
      <name val="Arial"/>
      <family val="2"/>
    </font>
    <font>
      <b/>
      <sz val="10"/>
      <color theme="0"/>
      <name val="Arial"/>
      <family val="2"/>
    </font>
    <font>
      <b/>
      <sz val="9"/>
      <color theme="4" tint="0.59999389629810485"/>
      <name val="Arial"/>
      <family val="2"/>
    </font>
    <font>
      <sz val="10"/>
      <color theme="1"/>
      <name val="Arial"/>
      <family val="2"/>
    </font>
    <font>
      <sz val="12"/>
      <color theme="0"/>
      <name val="Helv"/>
    </font>
    <font>
      <sz val="9"/>
      <color theme="0"/>
      <name val="Arial"/>
      <family val="2"/>
    </font>
    <font>
      <sz val="11"/>
      <color theme="0"/>
      <name val="Helv"/>
    </font>
    <font>
      <sz val="9"/>
      <color rgb="FF0000FF"/>
      <name val="Arial"/>
      <family val="2"/>
    </font>
    <font>
      <sz val="9"/>
      <color rgb="FFFF0000"/>
      <name val="Arial"/>
      <family val="2"/>
    </font>
    <font>
      <sz val="10"/>
      <color theme="3"/>
      <name val="Arial"/>
      <family val="2"/>
    </font>
    <font>
      <sz val="9"/>
      <color theme="3"/>
      <name val="Arial"/>
      <family val="2"/>
    </font>
    <font>
      <b/>
      <i/>
      <sz val="10"/>
      <color theme="3"/>
      <name val="Arial"/>
      <family val="2"/>
    </font>
    <font>
      <b/>
      <sz val="11"/>
      <color theme="1"/>
      <name val="Calibri"/>
      <family val="2"/>
    </font>
    <font>
      <b/>
      <sz val="10"/>
      <color rgb="FFFF0000"/>
      <name val="Arial"/>
      <family val="2"/>
    </font>
    <font>
      <sz val="11"/>
      <color rgb="FF0000FF"/>
      <name val="Calibri"/>
      <family val="2"/>
      <scheme val="minor"/>
    </font>
    <font>
      <b/>
      <sz val="11"/>
      <color rgb="FF0000FF"/>
      <name val="Calibri"/>
      <family val="2"/>
      <scheme val="minor"/>
    </font>
    <font>
      <b/>
      <sz val="12"/>
      <color indexed="18"/>
      <name val="Calibri"/>
      <family val="2"/>
      <scheme val="minor"/>
    </font>
    <font>
      <b/>
      <sz val="7"/>
      <color rgb="FF000080"/>
      <name val="Arial"/>
      <family val="2"/>
    </font>
    <font>
      <b/>
      <sz val="11"/>
      <color rgb="FF000080"/>
      <name val="Calibri"/>
      <family val="2"/>
    </font>
    <font>
      <b/>
      <sz val="10"/>
      <color rgb="FF000080"/>
      <name val="Arial"/>
      <family val="2"/>
    </font>
    <font>
      <sz val="9"/>
      <color rgb="FF000080"/>
      <name val="Helv"/>
    </font>
    <font>
      <b/>
      <sz val="10"/>
      <color rgb="FF000080"/>
      <name val="Calibri"/>
      <family val="2"/>
    </font>
    <font>
      <b/>
      <sz val="12"/>
      <color rgb="FF000080"/>
      <name val="Calibri"/>
      <family val="2"/>
    </font>
    <font>
      <b/>
      <sz val="9"/>
      <color rgb="FF000080"/>
      <name val="Arial"/>
      <family val="2"/>
    </font>
    <font>
      <sz val="12"/>
      <color rgb="FF000000"/>
      <name val="Helv"/>
    </font>
    <font>
      <b/>
      <sz val="9"/>
      <color rgb="FF000080"/>
      <name val="Helv"/>
    </font>
  </fonts>
  <fills count="2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7"/>
        <bgColor indexed="64"/>
      </patternFill>
    </fill>
    <fill>
      <patternFill patternType="solid">
        <fgColor indexed="21"/>
        <bgColor indexed="64"/>
      </patternFill>
    </fill>
    <fill>
      <patternFill patternType="solid">
        <fgColor indexed="9"/>
        <bgColor indexed="12"/>
      </patternFill>
    </fill>
    <fill>
      <patternFill patternType="solid">
        <fgColor indexed="53"/>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4" tint="0.59999389629810485"/>
        <bgColor indexed="8"/>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79998168889431442"/>
        <bgColor indexed="8"/>
      </patternFill>
    </fill>
    <fill>
      <patternFill patternType="solid">
        <fgColor theme="5"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4" tint="0.79998168889431442"/>
        <bgColor indexed="64"/>
      </patternFill>
    </fill>
  </fills>
  <borders count="101">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top/>
      <bottom style="thin">
        <color indexed="64"/>
      </bottom>
      <diagonal/>
    </border>
    <border>
      <left/>
      <right style="thin">
        <color indexed="8"/>
      </right>
      <top/>
      <bottom style="thin">
        <color indexed="64"/>
      </bottom>
      <diagonal/>
    </border>
    <border>
      <left/>
      <right style="thin">
        <color indexed="8"/>
      </right>
      <top style="thin">
        <color indexed="8"/>
      </top>
      <bottom/>
      <diagonal/>
    </border>
    <border>
      <left/>
      <right/>
      <top/>
      <bottom style="medium">
        <color indexed="63"/>
      </bottom>
      <diagonal/>
    </border>
    <border>
      <left style="medium">
        <color indexed="63"/>
      </left>
      <right style="medium">
        <color indexed="22"/>
      </right>
      <top style="medium">
        <color indexed="63"/>
      </top>
      <bottom/>
      <diagonal/>
    </border>
    <border>
      <left style="medium">
        <color indexed="63"/>
      </left>
      <right style="medium">
        <color indexed="22"/>
      </right>
      <top/>
      <bottom/>
      <diagonal/>
    </border>
    <border>
      <left style="medium">
        <color indexed="63"/>
      </left>
      <right style="medium">
        <color indexed="22"/>
      </right>
      <top/>
      <bottom style="medium">
        <color indexed="22"/>
      </bottom>
      <diagonal/>
    </border>
    <border>
      <left style="medium">
        <color indexed="63"/>
      </left>
      <right style="medium">
        <color indexed="22"/>
      </right>
      <top style="medium">
        <color indexed="63"/>
      </top>
      <bottom style="medium">
        <color indexed="22"/>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medium">
        <color indexed="55"/>
      </left>
      <right/>
      <top style="medium">
        <color indexed="55"/>
      </top>
      <bottom/>
      <diagonal/>
    </border>
    <border>
      <left/>
      <right/>
      <top style="medium">
        <color indexed="55"/>
      </top>
      <bottom/>
      <diagonal/>
    </border>
    <border>
      <left style="medium">
        <color indexed="55"/>
      </left>
      <right/>
      <top/>
      <bottom/>
      <diagonal/>
    </border>
    <border>
      <left/>
      <right style="medium">
        <color indexed="63"/>
      </right>
      <top/>
      <bottom/>
      <diagonal/>
    </border>
    <border>
      <left style="medium">
        <color indexed="55"/>
      </left>
      <right/>
      <top/>
      <bottom style="medium">
        <color indexed="63"/>
      </bottom>
      <diagonal/>
    </border>
    <border>
      <left/>
      <right/>
      <top style="thick">
        <color indexed="22"/>
      </top>
      <bottom/>
      <diagonal/>
    </border>
    <border>
      <left style="thick">
        <color indexed="22"/>
      </left>
      <right/>
      <top/>
      <bottom/>
      <diagonal/>
    </border>
    <border>
      <left style="thick">
        <color indexed="22"/>
      </left>
      <right/>
      <top style="thick">
        <color indexed="22"/>
      </top>
      <bottom/>
      <diagonal/>
    </border>
    <border>
      <left style="thick">
        <color indexed="22"/>
      </left>
      <right/>
      <top/>
      <bottom style="medium">
        <color indexed="63"/>
      </bottom>
      <diagonal/>
    </border>
    <border>
      <left/>
      <right style="thick">
        <color indexed="23"/>
      </right>
      <top style="thick">
        <color indexed="22"/>
      </top>
      <bottom/>
      <diagonal/>
    </border>
    <border>
      <left/>
      <right style="thick">
        <color indexed="23"/>
      </right>
      <top/>
      <bottom/>
      <diagonal/>
    </border>
    <border>
      <left/>
      <right style="thick">
        <color indexed="23"/>
      </right>
      <top/>
      <bottom style="medium">
        <color indexed="63"/>
      </bottom>
      <diagonal/>
    </border>
    <border>
      <left style="thick">
        <color indexed="22"/>
      </left>
      <right/>
      <top/>
      <bottom style="thick">
        <color indexed="23"/>
      </bottom>
      <diagonal/>
    </border>
    <border>
      <left/>
      <right/>
      <top/>
      <bottom style="thick">
        <color indexed="23"/>
      </bottom>
      <diagonal/>
    </border>
    <border>
      <left/>
      <right style="thick">
        <color indexed="23"/>
      </right>
      <top/>
      <bottom style="thick">
        <color indexed="23"/>
      </bottom>
      <diagonal/>
    </border>
    <border>
      <left/>
      <right style="medium">
        <color indexed="63"/>
      </right>
      <top style="medium">
        <color indexed="64"/>
      </top>
      <bottom/>
      <diagonal/>
    </border>
    <border>
      <left style="medium">
        <color indexed="64"/>
      </left>
      <right/>
      <top/>
      <bottom style="medium">
        <color indexed="63"/>
      </bottom>
      <diagonal/>
    </border>
    <border>
      <left style="thin">
        <color indexed="64"/>
      </left>
      <right style="thin">
        <color indexed="64"/>
      </right>
      <top/>
      <bottom style="medium">
        <color indexed="63"/>
      </bottom>
      <diagonal/>
    </border>
    <border>
      <left/>
      <right style="thin">
        <color indexed="64"/>
      </right>
      <top/>
      <bottom style="medium">
        <color indexed="63"/>
      </bottom>
      <diagonal/>
    </border>
    <border>
      <left style="thin">
        <color indexed="64"/>
      </left>
      <right/>
      <top/>
      <bottom style="medium">
        <color indexed="63"/>
      </bottom>
      <diagonal/>
    </border>
    <border>
      <left/>
      <right style="medium">
        <color indexed="63"/>
      </right>
      <top/>
      <bottom style="medium">
        <color indexed="63"/>
      </bottom>
      <diagonal/>
    </border>
    <border>
      <left style="medium">
        <color indexed="55"/>
      </left>
      <right/>
      <top style="medium">
        <color indexed="55"/>
      </top>
      <bottom style="thin">
        <color indexed="64"/>
      </bottom>
      <diagonal/>
    </border>
    <border>
      <left/>
      <right/>
      <top style="medium">
        <color indexed="55"/>
      </top>
      <bottom style="thin">
        <color indexed="64"/>
      </bottom>
      <diagonal/>
    </border>
    <border>
      <left/>
      <right style="medium">
        <color indexed="63"/>
      </right>
      <top style="medium">
        <color indexed="55"/>
      </top>
      <bottom style="thin">
        <color indexed="64"/>
      </bottom>
      <diagonal/>
    </border>
    <border>
      <left style="medium">
        <color indexed="55"/>
      </left>
      <right style="medium">
        <color indexed="64"/>
      </right>
      <top/>
      <bottom/>
      <diagonal/>
    </border>
    <border>
      <left style="medium">
        <color indexed="55"/>
      </left>
      <right style="medium">
        <color indexed="64"/>
      </right>
      <top/>
      <bottom style="medium">
        <color indexed="63"/>
      </bottom>
      <diagonal/>
    </border>
    <border>
      <left style="thin">
        <color indexed="8"/>
      </left>
      <right style="thin">
        <color indexed="64"/>
      </right>
      <top style="medium">
        <color indexed="64"/>
      </top>
      <bottom/>
      <diagonal/>
    </border>
    <border>
      <left style="medium">
        <color indexed="55"/>
      </left>
      <right/>
      <top style="thin">
        <color indexed="64"/>
      </top>
      <bottom/>
      <diagonal/>
    </border>
    <border>
      <left/>
      <right style="medium">
        <color indexed="63"/>
      </right>
      <top style="thin">
        <color indexed="64"/>
      </top>
      <bottom/>
      <diagonal/>
    </border>
    <border>
      <left style="medium">
        <color indexed="55"/>
      </left>
      <right/>
      <top style="medium">
        <color indexed="64"/>
      </top>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top style="thin">
        <color indexed="8"/>
      </top>
      <bottom/>
      <diagonal/>
    </border>
    <border>
      <left/>
      <right/>
      <top style="thin">
        <color indexed="8"/>
      </top>
      <bottom/>
      <diagonal/>
    </border>
    <border>
      <left/>
      <right style="thin">
        <color indexed="64"/>
      </right>
      <top style="thin">
        <color indexed="8"/>
      </top>
      <bottom/>
      <diagonal/>
    </border>
    <border>
      <left/>
      <right style="thin">
        <color indexed="8"/>
      </right>
      <top style="thin">
        <color indexed="64"/>
      </top>
      <bottom/>
      <diagonal/>
    </border>
    <border>
      <left/>
      <right/>
      <top/>
      <bottom style="hair">
        <color indexed="64"/>
      </bottom>
      <diagonal/>
    </border>
    <border>
      <left style="thin">
        <color indexed="8"/>
      </left>
      <right/>
      <top style="thin">
        <color indexed="64"/>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right/>
      <top style="thin">
        <color indexed="64"/>
      </top>
      <bottom style="double">
        <color indexed="64"/>
      </bottom>
      <diagonal/>
    </border>
    <border>
      <left/>
      <right style="medium">
        <color indexed="63"/>
      </right>
      <top style="thin">
        <color indexed="64"/>
      </top>
      <bottom style="thin">
        <color indexed="64"/>
      </bottom>
      <diagonal/>
    </border>
    <border>
      <left/>
      <right/>
      <top style="medium">
        <color indexed="63"/>
      </top>
      <bottom style="medium">
        <color indexed="22"/>
      </bottom>
      <diagonal/>
    </border>
    <border>
      <left/>
      <right style="medium">
        <color indexed="22"/>
      </right>
      <top style="medium">
        <color indexed="63"/>
      </top>
      <bottom style="medium">
        <color indexed="22"/>
      </bottom>
      <diagonal/>
    </border>
    <border>
      <left style="medium">
        <color indexed="63"/>
      </left>
      <right/>
      <top style="medium">
        <color indexed="63"/>
      </top>
      <bottom style="medium">
        <color indexed="22"/>
      </bottom>
      <diagonal/>
    </border>
    <border>
      <left/>
      <right style="medium">
        <color indexed="64"/>
      </right>
      <top style="medium">
        <color indexed="64"/>
      </top>
      <bottom/>
      <diagonal/>
    </border>
  </borders>
  <cellStyleXfs count="8">
    <xf numFmtId="166" fontId="0" fillId="0" borderId="0"/>
    <xf numFmtId="165" fontId="77" fillId="0" borderId="0" applyFont="0" applyFill="0" applyBorder="0" applyAlignment="0" applyProtection="0"/>
    <xf numFmtId="0" fontId="16" fillId="0" borderId="0" applyNumberFormat="0" applyFill="0" applyBorder="0" applyAlignment="0" applyProtection="0">
      <alignment vertical="top"/>
      <protection locked="0"/>
    </xf>
    <xf numFmtId="166" fontId="1" fillId="0" borderId="0" applyProtection="0"/>
    <xf numFmtId="0" fontId="129" fillId="0" borderId="0"/>
    <xf numFmtId="9" fontId="6" fillId="0" borderId="0" applyFill="0" applyBorder="0" applyAlignment="0" applyProtection="0"/>
    <xf numFmtId="166" fontId="16" fillId="0" borderId="0"/>
    <xf numFmtId="166" fontId="6" fillId="0" borderId="0"/>
  </cellStyleXfs>
  <cellXfs count="1175">
    <xf numFmtId="166" fontId="0" fillId="0" borderId="0" xfId="0"/>
    <xf numFmtId="166" fontId="3" fillId="0" borderId="0" xfId="0" applyFont="1" applyFill="1" applyBorder="1"/>
    <xf numFmtId="166" fontId="13" fillId="0" borderId="0" xfId="0" applyFont="1" applyFill="1" applyBorder="1"/>
    <xf numFmtId="166" fontId="15" fillId="0" borderId="0" xfId="0" applyFont="1" applyFill="1" applyBorder="1"/>
    <xf numFmtId="166" fontId="2" fillId="0" borderId="0" xfId="0" applyFont="1" applyFill="1" applyBorder="1" applyAlignment="1">
      <alignment horizontal="center"/>
    </xf>
    <xf numFmtId="166" fontId="2" fillId="0" borderId="0" xfId="0" applyFont="1" applyFill="1" applyBorder="1"/>
    <xf numFmtId="166" fontId="17" fillId="0" borderId="0" xfId="0" applyFont="1" applyFill="1" applyBorder="1"/>
    <xf numFmtId="0" fontId="22" fillId="2" borderId="0" xfId="0" applyNumberFormat="1" applyFont="1" applyFill="1" applyBorder="1" applyAlignment="1">
      <alignment horizontal="left"/>
    </xf>
    <xf numFmtId="0" fontId="23" fillId="2" borderId="0" xfId="0" applyNumberFormat="1" applyFont="1" applyFill="1" applyBorder="1" applyAlignment="1">
      <alignment horizontal="left"/>
    </xf>
    <xf numFmtId="0" fontId="19" fillId="2" borderId="0" xfId="0" applyNumberFormat="1" applyFont="1" applyFill="1" applyAlignment="1"/>
    <xf numFmtId="0" fontId="23" fillId="2" borderId="0" xfId="0" applyNumberFormat="1" applyFont="1" applyFill="1" applyBorder="1" applyAlignment="1">
      <alignment horizontal="center" wrapText="1"/>
    </xf>
    <xf numFmtId="166" fontId="30" fillId="0" borderId="0" xfId="0" applyFont="1" applyFill="1" applyBorder="1"/>
    <xf numFmtId="0" fontId="19" fillId="2" borderId="0" xfId="0" applyNumberFormat="1" applyFont="1" applyFill="1" applyBorder="1" applyAlignment="1"/>
    <xf numFmtId="0" fontId="19" fillId="2" borderId="0" xfId="0" applyNumberFormat="1" applyFont="1" applyFill="1" applyAlignment="1">
      <alignment horizontal="right"/>
    </xf>
    <xf numFmtId="0" fontId="19" fillId="2" borderId="0" xfId="0" applyNumberFormat="1" applyFont="1" applyFill="1" applyBorder="1" applyAlignment="1">
      <alignment horizontal="right"/>
    </xf>
    <xf numFmtId="0" fontId="28" fillId="2" borderId="0" xfId="0" applyNumberFormat="1" applyFont="1" applyFill="1" applyBorder="1" applyAlignment="1">
      <alignment horizontal="center"/>
    </xf>
    <xf numFmtId="49" fontId="23" fillId="2" borderId="0" xfId="0" applyNumberFormat="1" applyFont="1" applyFill="1" applyBorder="1" applyAlignment="1">
      <alignment horizontal="left"/>
    </xf>
    <xf numFmtId="9" fontId="23" fillId="2" borderId="0" xfId="5" applyFont="1" applyFill="1" applyBorder="1" applyAlignment="1">
      <alignment horizontal="center"/>
    </xf>
    <xf numFmtId="1" fontId="23" fillId="2" borderId="0" xfId="0" applyNumberFormat="1" applyFont="1" applyFill="1" applyBorder="1" applyAlignment="1">
      <alignment horizontal="center"/>
    </xf>
    <xf numFmtId="49" fontId="22" fillId="2" borderId="0" xfId="0" applyNumberFormat="1" applyFont="1" applyFill="1" applyBorder="1" applyAlignment="1">
      <alignment horizontal="left"/>
    </xf>
    <xf numFmtId="49" fontId="19" fillId="2" borderId="0" xfId="0" applyNumberFormat="1" applyFont="1" applyFill="1" applyBorder="1" applyAlignment="1"/>
    <xf numFmtId="0" fontId="32" fillId="2" borderId="0" xfId="0" applyNumberFormat="1" applyFont="1" applyFill="1" applyBorder="1" applyAlignment="1">
      <alignment horizontal="center" wrapText="1"/>
    </xf>
    <xf numFmtId="166" fontId="19" fillId="2" borderId="0" xfId="0" applyFont="1" applyFill="1"/>
    <xf numFmtId="166" fontId="2" fillId="0" borderId="0" xfId="0" applyFont="1" applyFill="1" applyBorder="1" applyAlignment="1">
      <alignment horizontal="left"/>
    </xf>
    <xf numFmtId="166" fontId="36" fillId="0" borderId="0" xfId="0" applyFont="1" applyFill="1" applyBorder="1" applyAlignment="1">
      <alignment horizontal="center" wrapText="1"/>
    </xf>
    <xf numFmtId="166" fontId="16" fillId="0" borderId="0" xfId="0" applyFont="1" applyFill="1" applyBorder="1" applyAlignment="1">
      <alignment horizontal="left" wrapText="1"/>
    </xf>
    <xf numFmtId="0" fontId="29" fillId="2" borderId="0" xfId="0" applyNumberFormat="1" applyFont="1" applyFill="1" applyBorder="1" applyAlignment="1">
      <alignment horizontal="center"/>
    </xf>
    <xf numFmtId="166" fontId="38" fillId="0" borderId="0" xfId="0" applyFont="1" applyFill="1" applyBorder="1"/>
    <xf numFmtId="0" fontId="27" fillId="2" borderId="0" xfId="0" applyNumberFormat="1" applyFont="1" applyFill="1" applyBorder="1" applyAlignment="1"/>
    <xf numFmtId="0" fontId="22" fillId="2" borderId="0" xfId="0" applyNumberFormat="1" applyFont="1" applyFill="1" applyBorder="1" applyAlignment="1">
      <alignment horizontal="center" wrapText="1"/>
    </xf>
    <xf numFmtId="0" fontId="40" fillId="2" borderId="0" xfId="0" applyNumberFormat="1" applyFont="1" applyFill="1" applyBorder="1" applyAlignment="1"/>
    <xf numFmtId="0" fontId="22" fillId="2" borderId="0" xfId="0" applyNumberFormat="1" applyFont="1" applyFill="1" applyBorder="1" applyAlignment="1"/>
    <xf numFmtId="166" fontId="0" fillId="2" borderId="0" xfId="0" applyFill="1"/>
    <xf numFmtId="0" fontId="20" fillId="2" borderId="0" xfId="0" applyNumberFormat="1" applyFont="1" applyFill="1" applyAlignment="1">
      <alignment horizontal="center"/>
    </xf>
    <xf numFmtId="0" fontId="39" fillId="2" borderId="0" xfId="0" applyNumberFormat="1" applyFont="1" applyFill="1" applyAlignment="1">
      <alignment horizontal="center"/>
    </xf>
    <xf numFmtId="166" fontId="3" fillId="0" borderId="0" xfId="0" applyFont="1" applyFill="1"/>
    <xf numFmtId="0" fontId="22" fillId="3" borderId="0" xfId="0" applyNumberFormat="1" applyFont="1" applyFill="1" applyBorder="1" applyAlignment="1" applyProtection="1">
      <alignment horizontal="center"/>
      <protection locked="0"/>
    </xf>
    <xf numFmtId="166" fontId="0" fillId="2" borderId="0" xfId="0" applyFill="1" applyBorder="1"/>
    <xf numFmtId="0" fontId="19" fillId="2" borderId="0" xfId="0" applyNumberFormat="1" applyFont="1" applyFill="1" applyAlignment="1">
      <alignment horizontal="center"/>
    </xf>
    <xf numFmtId="0" fontId="19" fillId="2" borderId="0" xfId="0" applyNumberFormat="1" applyFont="1" applyFill="1" applyBorder="1" applyAlignment="1">
      <alignment horizontal="center"/>
    </xf>
    <xf numFmtId="0" fontId="26" fillId="2" borderId="0" xfId="0" applyNumberFormat="1" applyFont="1" applyFill="1" applyAlignment="1">
      <alignment horizontal="center"/>
    </xf>
    <xf numFmtId="166" fontId="0" fillId="2" borderId="0" xfId="0" applyFill="1" applyAlignment="1">
      <alignment horizontal="center"/>
    </xf>
    <xf numFmtId="49" fontId="39" fillId="3" borderId="1" xfId="0" applyNumberFormat="1" applyFont="1" applyFill="1" applyBorder="1" applyAlignment="1">
      <alignment horizontal="center"/>
    </xf>
    <xf numFmtId="49" fontId="39" fillId="3" borderId="2" xfId="0" applyNumberFormat="1" applyFont="1" applyFill="1" applyBorder="1" applyAlignment="1">
      <alignment horizontal="center"/>
    </xf>
    <xf numFmtId="0" fontId="21" fillId="4" borderId="3" xfId="0" applyNumberFormat="1" applyFont="1" applyFill="1" applyBorder="1" applyAlignment="1" applyProtection="1">
      <alignment horizontal="center" wrapText="1"/>
      <protection locked="0"/>
    </xf>
    <xf numFmtId="0" fontId="24" fillId="4" borderId="4"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wrapText="1"/>
      <protection locked="0"/>
    </xf>
    <xf numFmtId="0" fontId="24" fillId="4" borderId="0"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protection locked="0"/>
    </xf>
    <xf numFmtId="0" fontId="24" fillId="4" borderId="0" xfId="0" applyNumberFormat="1" applyFont="1" applyFill="1" applyBorder="1" applyAlignment="1" applyProtection="1">
      <alignment horizontal="center"/>
      <protection locked="0"/>
    </xf>
    <xf numFmtId="0" fontId="22" fillId="5" borderId="0" xfId="0" applyNumberFormat="1" applyFont="1" applyFill="1" applyBorder="1" applyAlignment="1">
      <alignment horizontal="left"/>
    </xf>
    <xf numFmtId="0" fontId="19" fillId="5" borderId="0" xfId="0" applyNumberFormat="1" applyFont="1" applyFill="1" applyBorder="1" applyAlignment="1"/>
    <xf numFmtId="0" fontId="39" fillId="5" borderId="0" xfId="0" applyNumberFormat="1" applyFont="1" applyFill="1" applyBorder="1" applyAlignment="1">
      <alignment horizontal="center"/>
    </xf>
    <xf numFmtId="0" fontId="22" fillId="5" borderId="0" xfId="0" applyNumberFormat="1" applyFont="1" applyFill="1" applyBorder="1" applyAlignment="1">
      <alignment horizontal="center" wrapText="1"/>
    </xf>
    <xf numFmtId="166" fontId="34" fillId="0" borderId="0" xfId="0" applyFont="1" applyFill="1" applyBorder="1" applyAlignment="1" applyProtection="1">
      <alignment horizontal="center"/>
    </xf>
    <xf numFmtId="166" fontId="16" fillId="0" borderId="0" xfId="0" applyFont="1" applyFill="1" applyBorder="1" applyAlignment="1">
      <alignment horizontal="center"/>
    </xf>
    <xf numFmtId="166" fontId="0" fillId="2" borderId="0" xfId="0" applyFill="1" applyAlignment="1">
      <alignment horizontal="left"/>
    </xf>
    <xf numFmtId="166" fontId="43" fillId="0" borderId="0" xfId="0" applyFont="1" applyFill="1"/>
    <xf numFmtId="166" fontId="0" fillId="0" borderId="0" xfId="0" applyAlignment="1">
      <alignment horizontal="center"/>
    </xf>
    <xf numFmtId="166" fontId="3" fillId="0" borderId="0" xfId="0" applyFont="1" applyFill="1" applyBorder="1" applyAlignment="1">
      <alignment horizontal="center"/>
    </xf>
    <xf numFmtId="166" fontId="6" fillId="0" borderId="0" xfId="0" applyFont="1" applyFill="1" applyBorder="1" applyAlignment="1">
      <alignment horizontal="center"/>
    </xf>
    <xf numFmtId="166" fontId="44" fillId="0" borderId="0" xfId="0" applyFont="1" applyAlignment="1">
      <alignment horizontal="center"/>
    </xf>
    <xf numFmtId="166" fontId="45" fillId="0" borderId="0" xfId="0" applyFont="1" applyFill="1" applyBorder="1" applyAlignment="1">
      <alignment horizontal="center"/>
    </xf>
    <xf numFmtId="167" fontId="37" fillId="6" borderId="0" xfId="0" applyNumberFormat="1" applyFont="1" applyFill="1" applyBorder="1" applyAlignment="1" applyProtection="1">
      <alignment horizontal="center" vertical="center" shrinkToFit="1"/>
    </xf>
    <xf numFmtId="166" fontId="34" fillId="2" borderId="0" xfId="0" applyFont="1" applyFill="1" applyBorder="1" applyAlignment="1" applyProtection="1">
      <alignment horizontal="center"/>
    </xf>
    <xf numFmtId="166" fontId="0" fillId="0" borderId="0" xfId="0" applyBorder="1"/>
    <xf numFmtId="166" fontId="10" fillId="2" borderId="0" xfId="0" applyFont="1" applyFill="1" applyBorder="1" applyAlignment="1" applyProtection="1">
      <alignment horizontal="center"/>
    </xf>
    <xf numFmtId="0" fontId="2" fillId="2" borderId="0" xfId="0" applyNumberFormat="1" applyFont="1" applyFill="1" applyBorder="1" applyAlignment="1">
      <alignment horizontal="center"/>
    </xf>
    <xf numFmtId="1" fontId="22" fillId="2" borderId="0" xfId="0" applyNumberFormat="1" applyFont="1" applyFill="1" applyBorder="1" applyAlignment="1">
      <alignment horizontal="center" wrapText="1"/>
    </xf>
    <xf numFmtId="0" fontId="23" fillId="2" borderId="0" xfId="0" applyNumberFormat="1" applyFont="1" applyFill="1" applyBorder="1" applyAlignment="1">
      <alignment horizontal="center"/>
    </xf>
    <xf numFmtId="0" fontId="22" fillId="2" borderId="0" xfId="0" applyNumberFormat="1" applyFont="1" applyFill="1" applyBorder="1" applyAlignment="1">
      <alignment horizontal="center"/>
    </xf>
    <xf numFmtId="1" fontId="22" fillId="2" borderId="0" xfId="0" applyNumberFormat="1" applyFont="1" applyFill="1" applyBorder="1" applyAlignment="1">
      <alignment horizontal="center"/>
    </xf>
    <xf numFmtId="166" fontId="19" fillId="2" borderId="0" xfId="0" applyFont="1" applyFill="1" applyBorder="1"/>
    <xf numFmtId="0" fontId="23" fillId="2" borderId="0" xfId="0" applyNumberFormat="1" applyFont="1" applyFill="1" applyBorder="1" applyAlignment="1"/>
    <xf numFmtId="1" fontId="23" fillId="2" borderId="6" xfId="0" applyNumberFormat="1" applyFont="1" applyFill="1" applyBorder="1" applyAlignment="1">
      <alignment horizontal="center" wrapText="1"/>
    </xf>
    <xf numFmtId="1" fontId="23" fillId="2" borderId="7" xfId="0" applyNumberFormat="1" applyFont="1" applyFill="1" applyBorder="1" applyAlignment="1">
      <alignment horizontal="center" wrapText="1"/>
    </xf>
    <xf numFmtId="166" fontId="39" fillId="3" borderId="0" xfId="0" applyFont="1" applyFill="1" applyBorder="1" applyAlignment="1"/>
    <xf numFmtId="49" fontId="2" fillId="2" borderId="0" xfId="0" applyNumberFormat="1" applyFont="1" applyFill="1" applyBorder="1" applyAlignment="1">
      <alignment horizontal="center"/>
    </xf>
    <xf numFmtId="49" fontId="23" fillId="3" borderId="0" xfId="0" applyNumberFormat="1" applyFont="1" applyFill="1" applyBorder="1" applyAlignment="1" applyProtection="1">
      <alignment horizontal="left"/>
      <protection locked="0"/>
    </xf>
    <xf numFmtId="0" fontId="25" fillId="2" borderId="0" xfId="0" applyNumberFormat="1" applyFont="1" applyFill="1" applyBorder="1" applyAlignment="1">
      <alignment horizontal="left"/>
    </xf>
    <xf numFmtId="1" fontId="25" fillId="2" borderId="0" xfId="0" applyNumberFormat="1" applyFont="1" applyFill="1" applyBorder="1" applyAlignment="1">
      <alignment horizontal="left"/>
    </xf>
    <xf numFmtId="0" fontId="19" fillId="2" borderId="0" xfId="0" applyNumberFormat="1" applyFont="1" applyFill="1" applyAlignment="1" applyProtection="1">
      <alignment horizontal="center"/>
      <protection hidden="1"/>
    </xf>
    <xf numFmtId="166" fontId="15" fillId="2" borderId="0" xfId="0" applyFont="1" applyFill="1" applyBorder="1"/>
    <xf numFmtId="49" fontId="51" fillId="2" borderId="0" xfId="2" applyNumberFormat="1" applyFont="1" applyFill="1" applyAlignment="1" applyProtection="1">
      <alignment horizontal="center"/>
      <protection locked="0"/>
    </xf>
    <xf numFmtId="0" fontId="21" fillId="7" borderId="0" xfId="0" applyNumberFormat="1" applyFont="1" applyFill="1" applyBorder="1" applyAlignment="1" applyProtection="1">
      <alignment horizontal="center" wrapText="1"/>
      <protection locked="0"/>
    </xf>
    <xf numFmtId="0" fontId="24" fillId="7" borderId="0" xfId="0" applyNumberFormat="1" applyFont="1" applyFill="1" applyBorder="1" applyAlignment="1" applyProtection="1">
      <alignment horizontal="center" wrapText="1"/>
      <protection locked="0"/>
    </xf>
    <xf numFmtId="0" fontId="21" fillId="7" borderId="5" xfId="0" applyNumberFormat="1" applyFont="1" applyFill="1" applyBorder="1" applyAlignment="1" applyProtection="1">
      <alignment horizontal="center" wrapText="1"/>
      <protection locked="0"/>
    </xf>
    <xf numFmtId="0" fontId="19" fillId="7" borderId="0" xfId="0" applyNumberFormat="1" applyFont="1" applyFill="1" applyBorder="1" applyAlignment="1" applyProtection="1">
      <alignment horizontal="center"/>
      <protection locked="0"/>
    </xf>
    <xf numFmtId="0" fontId="53" fillId="2" borderId="0" xfId="0" applyNumberFormat="1" applyFont="1" applyFill="1" applyAlignment="1">
      <alignment horizontal="center"/>
    </xf>
    <xf numFmtId="0" fontId="54" fillId="2" borderId="0" xfId="0" applyNumberFormat="1" applyFont="1" applyFill="1" applyAlignment="1">
      <alignment horizontal="center"/>
    </xf>
    <xf numFmtId="0" fontId="39" fillId="2" borderId="0" xfId="0" applyNumberFormat="1" applyFont="1" applyFill="1" applyAlignment="1"/>
    <xf numFmtId="0" fontId="23" fillId="5" borderId="0" xfId="0" applyNumberFormat="1" applyFont="1" applyFill="1" applyBorder="1" applyAlignment="1">
      <alignment horizontal="center" wrapText="1"/>
    </xf>
    <xf numFmtId="0" fontId="23" fillId="5" borderId="0" xfId="0" applyNumberFormat="1" applyFont="1" applyFill="1" applyBorder="1" applyAlignment="1">
      <alignment horizontal="left"/>
    </xf>
    <xf numFmtId="0" fontId="32" fillId="5" borderId="0" xfId="0" applyNumberFormat="1" applyFont="1" applyFill="1" applyBorder="1" applyAlignment="1">
      <alignment horizontal="center" wrapText="1"/>
    </xf>
    <xf numFmtId="0" fontId="56" fillId="2" borderId="0" xfId="0" applyNumberFormat="1" applyFont="1" applyFill="1" applyBorder="1" applyAlignment="1" applyProtection="1">
      <protection hidden="1"/>
    </xf>
    <xf numFmtId="0" fontId="56" fillId="2" borderId="0" xfId="0" applyNumberFormat="1" applyFont="1" applyFill="1" applyBorder="1" applyAlignment="1"/>
    <xf numFmtId="0" fontId="57" fillId="2" borderId="0" xfId="0" applyNumberFormat="1" applyFont="1" applyFill="1" applyAlignment="1">
      <alignment horizontal="center"/>
    </xf>
    <xf numFmtId="166" fontId="59" fillId="2" borderId="0" xfId="0" applyFont="1" applyFill="1" applyAlignment="1">
      <alignment horizontal="center"/>
    </xf>
    <xf numFmtId="166" fontId="48" fillId="2" borderId="0" xfId="0" applyFont="1" applyFill="1" applyBorder="1" applyAlignment="1">
      <alignment horizontal="left"/>
    </xf>
    <xf numFmtId="166" fontId="48" fillId="2" borderId="0" xfId="0" applyFont="1" applyFill="1" applyBorder="1" applyAlignment="1">
      <alignment horizontal="right"/>
    </xf>
    <xf numFmtId="166" fontId="55" fillId="2" borderId="0" xfId="0" applyFont="1" applyFill="1" applyBorder="1" applyAlignment="1">
      <alignment horizontal="left"/>
    </xf>
    <xf numFmtId="166" fontId="51" fillId="0" borderId="0" xfId="0" applyFont="1" applyFill="1" applyBorder="1" applyAlignment="1">
      <alignment horizontal="center"/>
    </xf>
    <xf numFmtId="0" fontId="54" fillId="2" borderId="0" xfId="0" applyNumberFormat="1" applyFont="1" applyFill="1" applyAlignment="1"/>
    <xf numFmtId="0" fontId="54" fillId="2" borderId="0" xfId="0" applyNumberFormat="1" applyFont="1" applyFill="1" applyBorder="1" applyAlignment="1"/>
    <xf numFmtId="166" fontId="59" fillId="2" borderId="0" xfId="0" applyFont="1" applyFill="1"/>
    <xf numFmtId="166" fontId="63" fillId="0" borderId="0" xfId="0" applyFont="1"/>
    <xf numFmtId="166" fontId="59" fillId="0" borderId="0" xfId="0" applyFont="1"/>
    <xf numFmtId="166" fontId="66" fillId="2" borderId="0" xfId="0" applyFont="1" applyFill="1" applyBorder="1" applyAlignment="1" applyProtection="1">
      <alignment horizontal="center"/>
    </xf>
    <xf numFmtId="166" fontId="60" fillId="0" borderId="0" xfId="2" applyNumberFormat="1" applyFont="1" applyFill="1" applyBorder="1" applyAlignment="1" applyProtection="1">
      <alignment horizontal="center" vertical="center" wrapText="1"/>
    </xf>
    <xf numFmtId="167" fontId="60" fillId="0" borderId="0" xfId="0" applyNumberFormat="1" applyFont="1" applyFill="1" applyBorder="1" applyAlignment="1" applyProtection="1">
      <alignment horizontal="center" vertical="center" shrinkToFit="1"/>
    </xf>
    <xf numFmtId="166" fontId="13" fillId="0" borderId="0" xfId="0" applyFont="1" applyFill="1" applyBorder="1" applyAlignment="1">
      <alignment horizontal="left" wrapText="1"/>
    </xf>
    <xf numFmtId="166" fontId="15" fillId="0" borderId="0" xfId="0" applyFont="1" applyFill="1" applyBorder="1" applyAlignment="1">
      <alignment horizontal="left"/>
    </xf>
    <xf numFmtId="166" fontId="15" fillId="2" borderId="0" xfId="0" applyFont="1" applyFill="1" applyBorder="1" applyAlignment="1"/>
    <xf numFmtId="166" fontId="13" fillId="2" borderId="0" xfId="0" applyFont="1" applyFill="1" applyBorder="1" applyAlignment="1"/>
    <xf numFmtId="166" fontId="0" fillId="2" borderId="0" xfId="0" applyFill="1" applyAlignment="1"/>
    <xf numFmtId="166" fontId="75" fillId="2" borderId="0" xfId="0" applyFont="1" applyFill="1"/>
    <xf numFmtId="166" fontId="32" fillId="2" borderId="0" xfId="0" applyFont="1" applyFill="1" applyBorder="1" applyAlignment="1" applyProtection="1">
      <alignment horizontal="center"/>
      <protection hidden="1"/>
    </xf>
    <xf numFmtId="0" fontId="32" fillId="2" borderId="0" xfId="0" applyNumberFormat="1" applyFont="1" applyFill="1" applyBorder="1" applyAlignment="1" applyProtection="1">
      <alignment horizontal="right" shrinkToFit="1"/>
      <protection hidden="1"/>
    </xf>
    <xf numFmtId="0" fontId="32" fillId="2" borderId="0" xfId="0" applyNumberFormat="1" applyFont="1" applyFill="1" applyBorder="1" applyAlignment="1" applyProtection="1">
      <alignment horizontal="center" shrinkToFit="1"/>
      <protection hidden="1"/>
    </xf>
    <xf numFmtId="0" fontId="32" fillId="2" borderId="0" xfId="0" applyNumberFormat="1" applyFont="1" applyFill="1" applyBorder="1" applyAlignment="1" applyProtection="1">
      <alignment horizontal="right"/>
      <protection hidden="1"/>
    </xf>
    <xf numFmtId="1" fontId="53" fillId="2" borderId="0" xfId="0" applyNumberFormat="1" applyFont="1" applyFill="1" applyBorder="1" applyAlignment="1" applyProtection="1">
      <alignment horizontal="center"/>
      <protection hidden="1"/>
    </xf>
    <xf numFmtId="9" fontId="53" fillId="2" borderId="0" xfId="5" applyFont="1" applyFill="1" applyBorder="1" applyAlignment="1" applyProtection="1">
      <alignment horizontal="center"/>
      <protection hidden="1"/>
    </xf>
    <xf numFmtId="0" fontId="32" fillId="2" borderId="0" xfId="0" applyNumberFormat="1" applyFont="1" applyFill="1" applyBorder="1" applyAlignment="1" applyProtection="1">
      <alignment horizontal="right" wrapText="1"/>
      <protection hidden="1"/>
    </xf>
    <xf numFmtId="9" fontId="53" fillId="2" borderId="0" xfId="5" applyNumberFormat="1" applyFont="1" applyFill="1" applyBorder="1" applyAlignment="1" applyProtection="1">
      <alignment horizontal="center"/>
      <protection hidden="1"/>
    </xf>
    <xf numFmtId="0" fontId="54" fillId="2" borderId="0" xfId="0" applyNumberFormat="1" applyFont="1" applyFill="1" applyBorder="1" applyAlignment="1">
      <alignment horizontal="center"/>
    </xf>
    <xf numFmtId="0" fontId="12" fillId="2" borderId="0" xfId="0" applyNumberFormat="1" applyFont="1" applyFill="1" applyAlignment="1"/>
    <xf numFmtId="0" fontId="12" fillId="2" borderId="0" xfId="0" applyNumberFormat="1" applyFont="1" applyFill="1" applyBorder="1" applyAlignment="1">
      <alignment horizontal="left"/>
    </xf>
    <xf numFmtId="0" fontId="53" fillId="2" borderId="0" xfId="0" applyNumberFormat="1" applyFont="1" applyFill="1" applyBorder="1" applyAlignment="1"/>
    <xf numFmtId="0" fontId="76" fillId="2" borderId="0" xfId="0" applyNumberFormat="1" applyFont="1" applyFill="1" applyBorder="1" applyAlignment="1"/>
    <xf numFmtId="0" fontId="53" fillId="2" borderId="0" xfId="0" applyNumberFormat="1" applyFont="1" applyFill="1" applyBorder="1" applyAlignment="1">
      <alignment horizontal="center"/>
    </xf>
    <xf numFmtId="0" fontId="53" fillId="2" borderId="0" xfId="0" applyNumberFormat="1" applyFont="1" applyFill="1" applyBorder="1" applyAlignment="1">
      <alignment horizontal="center" wrapText="1"/>
    </xf>
    <xf numFmtId="0" fontId="53" fillId="2" borderId="0" xfId="0" applyNumberFormat="1" applyFont="1" applyFill="1" applyBorder="1" applyAlignment="1">
      <alignment horizontal="right"/>
    </xf>
    <xf numFmtId="1" fontId="53" fillId="2" borderId="0" xfId="0" applyNumberFormat="1" applyFont="1" applyFill="1" applyBorder="1" applyAlignment="1">
      <alignment horizontal="center"/>
    </xf>
    <xf numFmtId="9" fontId="53" fillId="2" borderId="0" xfId="5" applyFont="1" applyFill="1" applyBorder="1" applyAlignment="1">
      <alignment horizontal="center"/>
    </xf>
    <xf numFmtId="0" fontId="56" fillId="2" borderId="8" xfId="0" applyNumberFormat="1" applyFont="1" applyFill="1" applyBorder="1" applyAlignment="1" applyProtection="1">
      <protection hidden="1"/>
    </xf>
    <xf numFmtId="0" fontId="54" fillId="2" borderId="9" xfId="0" applyNumberFormat="1" applyFont="1" applyFill="1" applyBorder="1" applyAlignment="1"/>
    <xf numFmtId="0" fontId="54" fillId="2" borderId="6" xfId="0" applyNumberFormat="1" applyFont="1" applyFill="1" applyBorder="1" applyAlignment="1"/>
    <xf numFmtId="0" fontId="57" fillId="2" borderId="10" xfId="0" applyNumberFormat="1" applyFont="1" applyFill="1" applyBorder="1" applyAlignment="1">
      <alignment horizontal="center"/>
    </xf>
    <xf numFmtId="0" fontId="76" fillId="2" borderId="0" xfId="0" applyNumberFormat="1" applyFont="1" applyFill="1" applyBorder="1" applyAlignment="1">
      <alignment horizontal="center"/>
    </xf>
    <xf numFmtId="0" fontId="32" fillId="2" borderId="0" xfId="0" applyNumberFormat="1" applyFont="1" applyFill="1" applyBorder="1" applyAlignment="1"/>
    <xf numFmtId="0" fontId="53" fillId="2" borderId="0" xfId="0" applyNumberFormat="1" applyFont="1" applyFill="1" applyBorder="1" applyAlignment="1">
      <alignment horizontal="center" shrinkToFit="1"/>
    </xf>
    <xf numFmtId="0" fontId="54" fillId="2" borderId="7" xfId="0" applyNumberFormat="1" applyFont="1" applyFill="1" applyBorder="1" applyAlignment="1"/>
    <xf numFmtId="0" fontId="57" fillId="2" borderId="11" xfId="0" applyNumberFormat="1" applyFont="1" applyFill="1" applyBorder="1" applyAlignment="1">
      <alignment horizontal="center"/>
    </xf>
    <xf numFmtId="0" fontId="54" fillId="2" borderId="12" xfId="0" applyNumberFormat="1" applyFont="1" applyFill="1" applyBorder="1" applyAlignment="1"/>
    <xf numFmtId="0" fontId="54" fillId="2" borderId="12" xfId="0" applyNumberFormat="1" applyFont="1" applyFill="1" applyBorder="1" applyAlignment="1">
      <alignment horizontal="center"/>
    </xf>
    <xf numFmtId="0" fontId="54" fillId="2" borderId="13" xfId="0" applyNumberFormat="1" applyFont="1" applyFill="1" applyBorder="1" applyAlignment="1"/>
    <xf numFmtId="0" fontId="53" fillId="2" borderId="9" xfId="0" applyNumberFormat="1" applyFont="1" applyFill="1" applyBorder="1" applyAlignment="1"/>
    <xf numFmtId="0" fontId="32" fillId="2" borderId="9" xfId="0" applyNumberFormat="1" applyFont="1" applyFill="1" applyBorder="1" applyAlignment="1"/>
    <xf numFmtId="0" fontId="53" fillId="2" borderId="10" xfId="0" applyNumberFormat="1" applyFont="1" applyFill="1" applyBorder="1" applyAlignment="1"/>
    <xf numFmtId="0" fontId="53" fillId="2" borderId="7" xfId="0" applyNumberFormat="1" applyFont="1" applyFill="1" applyBorder="1" applyAlignment="1">
      <alignment horizontal="center"/>
    </xf>
    <xf numFmtId="166" fontId="75" fillId="2" borderId="0" xfId="0" applyFont="1" applyFill="1" applyBorder="1"/>
    <xf numFmtId="0" fontId="52" fillId="2" borderId="0" xfId="0" applyNumberFormat="1" applyFont="1" applyFill="1" applyBorder="1" applyAlignment="1"/>
    <xf numFmtId="0" fontId="57" fillId="2" borderId="10" xfId="0" applyNumberFormat="1" applyFont="1" applyFill="1" applyBorder="1" applyAlignment="1"/>
    <xf numFmtId="0" fontId="39" fillId="2" borderId="12" xfId="0" applyNumberFormat="1" applyFont="1" applyFill="1" applyBorder="1" applyAlignment="1"/>
    <xf numFmtId="0" fontId="56" fillId="2" borderId="11" xfId="0" applyNumberFormat="1" applyFont="1" applyFill="1" applyBorder="1" applyAlignment="1"/>
    <xf numFmtId="0" fontId="57" fillId="2" borderId="8" xfId="0" applyNumberFormat="1" applyFont="1" applyFill="1" applyBorder="1" applyAlignment="1"/>
    <xf numFmtId="166" fontId="58" fillId="2" borderId="10" xfId="0" applyFont="1" applyFill="1" applyBorder="1"/>
    <xf numFmtId="0" fontId="56" fillId="2" borderId="10" xfId="0" applyNumberFormat="1" applyFont="1" applyFill="1" applyBorder="1" applyAlignment="1"/>
    <xf numFmtId="0" fontId="53" fillId="2" borderId="10" xfId="0" applyNumberFormat="1" applyFont="1" applyFill="1" applyBorder="1" applyAlignment="1">
      <alignment horizontal="right"/>
    </xf>
    <xf numFmtId="49" fontId="20" fillId="0" borderId="14" xfId="0" applyNumberFormat="1" applyFont="1" applyFill="1" applyBorder="1" applyAlignment="1">
      <alignment horizontal="center"/>
    </xf>
    <xf numFmtId="0" fontId="20" fillId="0" borderId="14" xfId="0" applyNumberFormat="1" applyFont="1" applyFill="1" applyBorder="1" applyAlignment="1">
      <alignment horizontal="center"/>
    </xf>
    <xf numFmtId="0" fontId="21" fillId="0" borderId="14" xfId="0" applyNumberFormat="1" applyFont="1" applyFill="1" applyBorder="1" applyAlignment="1" applyProtection="1">
      <alignment horizontal="center" wrapText="1"/>
      <protection locked="0"/>
    </xf>
    <xf numFmtId="0" fontId="24" fillId="0" borderId="14" xfId="0" applyNumberFormat="1" applyFont="1" applyFill="1" applyBorder="1" applyAlignment="1" applyProtection="1">
      <alignment horizontal="center" wrapText="1"/>
      <protection locked="0"/>
    </xf>
    <xf numFmtId="0" fontId="21" fillId="0" borderId="14" xfId="0" applyNumberFormat="1" applyFont="1" applyFill="1" applyBorder="1" applyAlignment="1" applyProtection="1">
      <alignment horizontal="center"/>
      <protection locked="0"/>
    </xf>
    <xf numFmtId="0" fontId="24" fillId="0" borderId="14" xfId="0" applyNumberFormat="1" applyFont="1" applyFill="1" applyBorder="1" applyAlignment="1" applyProtection="1">
      <alignment horizontal="center"/>
      <protection locked="0"/>
    </xf>
    <xf numFmtId="1" fontId="21" fillId="0" borderId="15" xfId="0" applyNumberFormat="1" applyFont="1" applyFill="1" applyBorder="1" applyAlignment="1">
      <alignment horizontal="center" wrapText="1"/>
    </xf>
    <xf numFmtId="0" fontId="21" fillId="0" borderId="16" xfId="0" applyNumberFormat="1" applyFont="1" applyFill="1" applyBorder="1" applyAlignment="1" applyProtection="1">
      <alignment horizontal="center" wrapText="1"/>
      <protection locked="0"/>
    </xf>
    <xf numFmtId="0" fontId="24" fillId="0" borderId="16" xfId="0" applyNumberFormat="1" applyFont="1" applyFill="1" applyBorder="1" applyAlignment="1" applyProtection="1">
      <alignment horizontal="center" wrapText="1"/>
      <protection locked="0"/>
    </xf>
    <xf numFmtId="1" fontId="21" fillId="0" borderId="17" xfId="0" applyNumberFormat="1" applyFont="1" applyFill="1" applyBorder="1" applyAlignment="1">
      <alignment horizontal="center" wrapText="1"/>
    </xf>
    <xf numFmtId="0" fontId="21" fillId="4" borderId="5" xfId="0" applyNumberFormat="1" applyFont="1" applyFill="1" applyBorder="1" applyAlignment="1" applyProtection="1">
      <alignment horizontal="center" wrapText="1"/>
    </xf>
    <xf numFmtId="0" fontId="21" fillId="4" borderId="18" xfId="0" applyNumberFormat="1" applyFont="1" applyFill="1" applyBorder="1" applyAlignment="1" applyProtection="1">
      <alignment horizontal="center" wrapText="1"/>
    </xf>
    <xf numFmtId="0" fontId="39" fillId="4" borderId="5" xfId="0" applyNumberFormat="1" applyFont="1" applyFill="1" applyBorder="1" applyAlignment="1">
      <alignment horizontal="center"/>
    </xf>
    <xf numFmtId="0" fontId="39" fillId="4" borderId="0" xfId="0" applyNumberFormat="1" applyFont="1" applyFill="1" applyBorder="1" applyAlignment="1">
      <alignment horizontal="center"/>
    </xf>
    <xf numFmtId="166" fontId="55" fillId="4" borderId="19" xfId="0" applyFont="1" applyFill="1" applyBorder="1" applyAlignment="1">
      <alignment horizontal="center" wrapText="1"/>
    </xf>
    <xf numFmtId="0" fontId="9" fillId="4" borderId="5" xfId="0" applyNumberFormat="1" applyFont="1" applyFill="1" applyBorder="1" applyAlignment="1">
      <alignment horizontal="center"/>
    </xf>
    <xf numFmtId="0" fontId="20" fillId="4" borderId="0" xfId="0" applyNumberFormat="1" applyFont="1" applyFill="1" applyBorder="1" applyAlignment="1">
      <alignment horizontal="center"/>
    </xf>
    <xf numFmtId="0" fontId="20" fillId="4" borderId="12" xfId="0" applyNumberFormat="1" applyFont="1" applyFill="1" applyBorder="1" applyAlignment="1">
      <alignment horizontal="center"/>
    </xf>
    <xf numFmtId="0" fontId="20" fillId="4" borderId="20" xfId="0" applyNumberFormat="1" applyFont="1" applyFill="1" applyBorder="1" applyAlignment="1">
      <alignment horizontal="center"/>
    </xf>
    <xf numFmtId="0" fontId="20" fillId="4" borderId="7" xfId="0" applyNumberFormat="1" applyFont="1" applyFill="1" applyBorder="1" applyAlignment="1">
      <alignment horizontal="right" vertical="center"/>
    </xf>
    <xf numFmtId="0" fontId="20" fillId="4" borderId="21" xfId="0" applyNumberFormat="1" applyFont="1" applyFill="1" applyBorder="1" applyAlignment="1">
      <alignment horizontal="right" vertical="center"/>
    </xf>
    <xf numFmtId="0" fontId="20" fillId="4" borderId="0" xfId="0" applyNumberFormat="1" applyFont="1" applyFill="1" applyBorder="1" applyAlignment="1">
      <alignment horizontal="right" vertical="center"/>
    </xf>
    <xf numFmtId="166" fontId="55" fillId="4" borderId="12" xfId="0" applyFont="1" applyFill="1" applyBorder="1" applyAlignment="1">
      <alignment horizontal="center" wrapText="1"/>
    </xf>
    <xf numFmtId="0" fontId="20" fillId="4" borderId="22" xfId="0" applyNumberFormat="1" applyFont="1" applyFill="1" applyBorder="1" applyAlignment="1">
      <alignment horizontal="center" vertical="center" wrapText="1"/>
    </xf>
    <xf numFmtId="0" fontId="20" fillId="4" borderId="22" xfId="0" applyNumberFormat="1" applyFont="1" applyFill="1" applyBorder="1" applyAlignment="1">
      <alignment horizontal="right" vertical="center"/>
    </xf>
    <xf numFmtId="0" fontId="20" fillId="4" borderId="20" xfId="0" applyNumberFormat="1" applyFont="1" applyFill="1" applyBorder="1" applyAlignment="1">
      <alignment horizontal="right" vertical="center"/>
    </xf>
    <xf numFmtId="0" fontId="20" fillId="4" borderId="23" xfId="0" applyNumberFormat="1" applyFont="1" applyFill="1" applyBorder="1" applyAlignment="1">
      <alignment horizontal="center"/>
    </xf>
    <xf numFmtId="166" fontId="19" fillId="8" borderId="0" xfId="0" applyFont="1" applyFill="1" applyBorder="1"/>
    <xf numFmtId="0" fontId="22" fillId="8" borderId="0" xfId="0" applyNumberFormat="1" applyFont="1" applyFill="1" applyBorder="1" applyAlignment="1">
      <alignment horizontal="left"/>
    </xf>
    <xf numFmtId="49" fontId="48" fillId="2" borderId="0" xfId="0" applyNumberFormat="1" applyFont="1" applyFill="1" applyBorder="1" applyAlignment="1">
      <alignment horizontal="left"/>
    </xf>
    <xf numFmtId="49" fontId="16" fillId="2" borderId="0" xfId="0" applyNumberFormat="1" applyFont="1" applyFill="1" applyBorder="1" applyAlignment="1">
      <alignment horizontal="left"/>
    </xf>
    <xf numFmtId="0" fontId="16" fillId="2" borderId="0" xfId="0" applyNumberFormat="1" applyFont="1" applyFill="1" applyBorder="1" applyAlignment="1">
      <alignment horizontal="left"/>
    </xf>
    <xf numFmtId="0" fontId="22" fillId="8" borderId="24" xfId="0" applyNumberFormat="1" applyFont="1" applyFill="1" applyBorder="1" applyAlignment="1">
      <alignment horizontal="left"/>
    </xf>
    <xf numFmtId="166" fontId="39" fillId="3" borderId="25" xfId="0" applyFont="1" applyFill="1" applyBorder="1" applyAlignment="1"/>
    <xf numFmtId="0" fontId="48" fillId="2" borderId="24" xfId="0" applyNumberFormat="1" applyFont="1" applyFill="1" applyBorder="1" applyAlignment="1">
      <alignment horizontal="left"/>
    </xf>
    <xf numFmtId="0" fontId="16" fillId="2" borderId="25" xfId="0" applyNumberFormat="1" applyFont="1" applyFill="1" applyBorder="1" applyAlignment="1">
      <alignment horizontal="left"/>
    </xf>
    <xf numFmtId="0" fontId="48" fillId="2" borderId="26" xfId="0" applyNumberFormat="1" applyFont="1" applyFill="1" applyBorder="1" applyAlignment="1">
      <alignment horizontal="left"/>
    </xf>
    <xf numFmtId="166" fontId="19" fillId="2" borderId="27" xfId="0" applyFont="1" applyFill="1" applyBorder="1"/>
    <xf numFmtId="49" fontId="48" fillId="2" borderId="27" xfId="0" applyNumberFormat="1" applyFont="1" applyFill="1" applyBorder="1" applyAlignment="1">
      <alignment horizontal="left"/>
    </xf>
    <xf numFmtId="49" fontId="16" fillId="2" borderId="27" xfId="0" applyNumberFormat="1" applyFont="1" applyFill="1" applyBorder="1" applyAlignment="1">
      <alignment horizontal="left"/>
    </xf>
    <xf numFmtId="0" fontId="16" fillId="2" borderId="27" xfId="0" applyNumberFormat="1" applyFont="1" applyFill="1" applyBorder="1" applyAlignment="1">
      <alignment horizontal="left"/>
    </xf>
    <xf numFmtId="49" fontId="16" fillId="2" borderId="28" xfId="0" applyNumberFormat="1" applyFont="1" applyFill="1" applyBorder="1" applyAlignment="1">
      <alignment horizontal="left"/>
    </xf>
    <xf numFmtId="0" fontId="23" fillId="2" borderId="24" xfId="0" applyNumberFormat="1" applyFont="1" applyFill="1" applyBorder="1" applyAlignment="1">
      <alignment horizontal="left"/>
    </xf>
    <xf numFmtId="1" fontId="25" fillId="2" borderId="25" xfId="5" applyNumberFormat="1" applyFont="1" applyFill="1" applyBorder="1" applyAlignment="1">
      <alignment horizontal="left"/>
    </xf>
    <xf numFmtId="9" fontId="25" fillId="2" borderId="25" xfId="5" applyFont="1" applyFill="1" applyBorder="1" applyAlignment="1">
      <alignment horizontal="left"/>
    </xf>
    <xf numFmtId="0" fontId="23" fillId="2" borderId="26" xfId="0" applyNumberFormat="1" applyFont="1" applyFill="1" applyBorder="1" applyAlignment="1"/>
    <xf numFmtId="0" fontId="19" fillId="2" borderId="27" xfId="0" applyNumberFormat="1" applyFont="1" applyFill="1" applyBorder="1" applyAlignment="1"/>
    <xf numFmtId="9" fontId="25" fillId="2" borderId="27" xfId="5" applyFont="1" applyFill="1" applyBorder="1" applyAlignment="1">
      <alignment horizontal="left"/>
    </xf>
    <xf numFmtId="0" fontId="23" fillId="2" borderId="27" xfId="0" applyNumberFormat="1" applyFont="1" applyFill="1" applyBorder="1" applyAlignment="1"/>
    <xf numFmtId="9" fontId="25" fillId="2" borderId="28" xfId="5" applyFont="1" applyFill="1" applyBorder="1" applyAlignment="1">
      <alignment horizontal="left"/>
    </xf>
    <xf numFmtId="166" fontId="19" fillId="2" borderId="0" xfId="0" applyFont="1" applyFill="1" applyAlignment="1">
      <alignment vertical="center"/>
    </xf>
    <xf numFmtId="1" fontId="23" fillId="2" borderId="25" xfId="0" applyNumberFormat="1" applyFont="1" applyFill="1" applyBorder="1" applyAlignment="1">
      <alignment horizontal="center"/>
    </xf>
    <xf numFmtId="0" fontId="27" fillId="2" borderId="26" xfId="0" applyNumberFormat="1" applyFont="1" applyFill="1" applyBorder="1" applyAlignment="1"/>
    <xf numFmtId="0" fontId="22" fillId="2" borderId="27" xfId="0" applyNumberFormat="1" applyFont="1" applyFill="1" applyBorder="1" applyAlignment="1">
      <alignment horizontal="center" wrapText="1"/>
    </xf>
    <xf numFmtId="1" fontId="22" fillId="2" borderId="29" xfId="0" applyNumberFormat="1" applyFont="1" applyFill="1" applyBorder="1" applyAlignment="1">
      <alignment horizontal="center" wrapText="1"/>
    </xf>
    <xf numFmtId="0" fontId="23" fillId="2" borderId="27" xfId="0" applyNumberFormat="1" applyFont="1" applyFill="1" applyBorder="1" applyAlignment="1">
      <alignment horizontal="center"/>
    </xf>
    <xf numFmtId="0" fontId="22" fillId="2" borderId="27" xfId="0" applyNumberFormat="1" applyFont="1" applyFill="1" applyBorder="1" applyAlignment="1">
      <alignment horizontal="center"/>
    </xf>
    <xf numFmtId="1" fontId="22" fillId="2" borderId="27" xfId="0" applyNumberFormat="1" applyFont="1" applyFill="1" applyBorder="1" applyAlignment="1">
      <alignment horizontal="center"/>
    </xf>
    <xf numFmtId="0" fontId="23" fillId="2" borderId="28" xfId="0" applyNumberFormat="1" applyFont="1" applyFill="1" applyBorder="1" applyAlignment="1">
      <alignment horizontal="center"/>
    </xf>
    <xf numFmtId="0" fontId="19" fillId="3" borderId="24" xfId="0" applyNumberFormat="1" applyFont="1" applyFill="1" applyBorder="1" applyAlignment="1"/>
    <xf numFmtId="0" fontId="28" fillId="3" borderId="0" xfId="0" applyNumberFormat="1" applyFont="1" applyFill="1" applyBorder="1" applyAlignment="1">
      <alignment horizontal="center"/>
    </xf>
    <xf numFmtId="0" fontId="22" fillId="3" borderId="0" xfId="0" applyNumberFormat="1" applyFont="1" applyFill="1" applyBorder="1" applyAlignment="1">
      <alignment horizontal="center"/>
    </xf>
    <xf numFmtId="0" fontId="12" fillId="3" borderId="30" xfId="0" applyNumberFormat="1" applyFont="1" applyFill="1" applyBorder="1" applyAlignment="1">
      <alignment horizontal="left"/>
    </xf>
    <xf numFmtId="0" fontId="22" fillId="3" borderId="12" xfId="0" applyNumberFormat="1" applyFont="1" applyFill="1" applyBorder="1" applyAlignment="1">
      <alignment horizontal="center" wrapText="1"/>
    </xf>
    <xf numFmtId="0" fontId="22" fillId="3" borderId="12" xfId="0" applyNumberFormat="1" applyFont="1" applyFill="1" applyBorder="1" applyAlignment="1">
      <alignment horizontal="center"/>
    </xf>
    <xf numFmtId="0" fontId="22" fillId="3" borderId="31" xfId="0" applyNumberFormat="1" applyFont="1" applyFill="1" applyBorder="1" applyAlignment="1">
      <alignment horizontal="center"/>
    </xf>
    <xf numFmtId="0" fontId="22" fillId="3" borderId="27" xfId="0" applyNumberFormat="1" applyFont="1" applyFill="1" applyBorder="1" applyAlignment="1">
      <alignment horizontal="center"/>
    </xf>
    <xf numFmtId="0" fontId="22" fillId="3" borderId="27" xfId="0" applyNumberFormat="1" applyFont="1" applyFill="1" applyBorder="1" applyAlignment="1">
      <alignment horizontal="center" wrapText="1"/>
    </xf>
    <xf numFmtId="0" fontId="22" fillId="3" borderId="28" xfId="0" applyNumberFormat="1" applyFont="1" applyFill="1" applyBorder="1" applyAlignment="1">
      <alignment horizontal="center" wrapText="1"/>
    </xf>
    <xf numFmtId="0" fontId="12" fillId="2" borderId="24" xfId="0" applyNumberFormat="1" applyFont="1" applyFill="1" applyBorder="1" applyAlignment="1">
      <alignment horizontal="center"/>
    </xf>
    <xf numFmtId="0" fontId="22" fillId="2" borderId="32" xfId="0" applyNumberFormat="1" applyFont="1" applyFill="1" applyBorder="1" applyAlignment="1">
      <alignment horizontal="center" wrapText="1"/>
    </xf>
    <xf numFmtId="0" fontId="23" fillId="2" borderId="24" xfId="0" applyNumberFormat="1" applyFont="1" applyFill="1" applyBorder="1" applyAlignment="1">
      <alignment horizontal="left" wrapText="1"/>
    </xf>
    <xf numFmtId="9" fontId="23" fillId="2" borderId="25" xfId="5" applyFont="1" applyFill="1" applyBorder="1" applyAlignment="1">
      <alignment horizontal="center"/>
    </xf>
    <xf numFmtId="166" fontId="19" fillId="2" borderId="25" xfId="0" applyFont="1" applyFill="1" applyBorder="1"/>
    <xf numFmtId="1" fontId="22" fillId="2" borderId="27" xfId="0" applyNumberFormat="1" applyFont="1" applyFill="1" applyBorder="1" applyAlignment="1">
      <alignment horizontal="center" wrapText="1"/>
    </xf>
    <xf numFmtId="0" fontId="22" fillId="3" borderId="0" xfId="0" applyNumberFormat="1" applyFont="1" applyFill="1" applyBorder="1" applyAlignment="1">
      <alignment horizontal="center" wrapText="1"/>
    </xf>
    <xf numFmtId="0" fontId="22" fillId="3" borderId="0" xfId="0" applyNumberFormat="1" applyFont="1" applyFill="1" applyBorder="1" applyAlignment="1">
      <alignment horizontal="left"/>
    </xf>
    <xf numFmtId="0" fontId="19" fillId="3" borderId="0" xfId="0" applyNumberFormat="1" applyFont="1" applyFill="1" applyBorder="1" applyAlignment="1"/>
    <xf numFmtId="1" fontId="22" fillId="3" borderId="0" xfId="0" applyNumberFormat="1" applyFont="1" applyFill="1" applyBorder="1" applyAlignment="1">
      <alignment horizontal="center"/>
    </xf>
    <xf numFmtId="1" fontId="39" fillId="3" borderId="0" xfId="0" applyNumberFormat="1" applyFont="1" applyFill="1" applyBorder="1" applyAlignment="1" applyProtection="1">
      <alignment horizontal="center"/>
    </xf>
    <xf numFmtId="1" fontId="22" fillId="3" borderId="0" xfId="0" applyNumberFormat="1" applyFont="1" applyFill="1" applyBorder="1" applyAlignment="1">
      <alignment horizontal="center" wrapText="1"/>
    </xf>
    <xf numFmtId="0" fontId="19" fillId="3" borderId="33" xfId="0" applyNumberFormat="1" applyFont="1" applyFill="1" applyBorder="1" applyAlignment="1"/>
    <xf numFmtId="167" fontId="37" fillId="0" borderId="0" xfId="0" applyNumberFormat="1" applyFont="1" applyFill="1" applyBorder="1" applyAlignment="1" applyProtection="1">
      <alignment horizontal="center" vertical="center" shrinkToFit="1"/>
    </xf>
    <xf numFmtId="0" fontId="19" fillId="3" borderId="0" xfId="0" applyNumberFormat="1" applyFont="1" applyFill="1" applyBorder="1" applyAlignment="1">
      <alignment horizontal="left"/>
    </xf>
    <xf numFmtId="0" fontId="19" fillId="3" borderId="0" xfId="0" applyNumberFormat="1" applyFont="1" applyFill="1" applyBorder="1" applyAlignment="1">
      <alignment horizontal="center"/>
    </xf>
    <xf numFmtId="0" fontId="39" fillId="4" borderId="34" xfId="0" applyNumberFormat="1" applyFont="1" applyFill="1" applyBorder="1" applyAlignment="1" applyProtection="1">
      <alignment horizontal="left"/>
      <protection locked="0"/>
    </xf>
    <xf numFmtId="0" fontId="39" fillId="4" borderId="35" xfId="0" applyNumberFormat="1" applyFont="1" applyFill="1" applyBorder="1" applyAlignment="1" applyProtection="1">
      <alignment horizontal="left"/>
      <protection locked="0"/>
    </xf>
    <xf numFmtId="49" fontId="39" fillId="4" borderId="36" xfId="0" applyNumberFormat="1" applyFont="1" applyFill="1" applyBorder="1" applyAlignment="1" applyProtection="1">
      <alignment horizontal="left"/>
      <protection locked="0"/>
    </xf>
    <xf numFmtId="0" fontId="39" fillId="4" borderId="34" xfId="0" applyNumberFormat="1" applyFont="1" applyFill="1" applyBorder="1" applyAlignment="1" applyProtection="1">
      <alignment horizontal="center"/>
      <protection locked="0"/>
    </xf>
    <xf numFmtId="0" fontId="39" fillId="4" borderId="35" xfId="0" applyNumberFormat="1" applyFont="1" applyFill="1" applyBorder="1" applyAlignment="1" applyProtection="1">
      <alignment horizontal="center"/>
      <protection locked="0"/>
    </xf>
    <xf numFmtId="0" fontId="39" fillId="4" borderId="36" xfId="0" applyNumberFormat="1" applyFont="1" applyFill="1" applyBorder="1" applyAlignment="1" applyProtection="1">
      <alignment horizontal="center"/>
      <protection locked="0"/>
    </xf>
    <xf numFmtId="0" fontId="22" fillId="4" borderId="37" xfId="0" applyNumberFormat="1" applyFont="1" applyFill="1" applyBorder="1" applyAlignment="1" applyProtection="1">
      <alignment horizontal="center"/>
      <protection locked="0"/>
    </xf>
    <xf numFmtId="0" fontId="32" fillId="3" borderId="38" xfId="0" applyNumberFormat="1" applyFont="1" applyFill="1" applyBorder="1" applyAlignment="1">
      <alignment horizontal="center" wrapText="1"/>
    </xf>
    <xf numFmtId="0" fontId="21" fillId="3" borderId="0" xfId="0" applyNumberFormat="1" applyFont="1" applyFill="1" applyBorder="1" applyAlignment="1" applyProtection="1">
      <alignment horizontal="center" wrapText="1"/>
      <protection locked="0"/>
    </xf>
    <xf numFmtId="0" fontId="21" fillId="3" borderId="0" xfId="0" applyNumberFormat="1" applyFont="1" applyFill="1" applyBorder="1" applyAlignment="1">
      <alignment horizontal="center" wrapText="1"/>
    </xf>
    <xf numFmtId="0" fontId="21" fillId="4" borderId="4" xfId="0" applyNumberFormat="1" applyFont="1" applyFill="1" applyBorder="1" applyAlignment="1" applyProtection="1">
      <alignment horizontal="center" wrapText="1"/>
      <protection locked="0"/>
    </xf>
    <xf numFmtId="0" fontId="21" fillId="4" borderId="0" xfId="0" applyNumberFormat="1" applyFont="1" applyFill="1" applyBorder="1" applyAlignment="1" applyProtection="1">
      <alignment horizontal="center" wrapText="1"/>
      <protection locked="0"/>
    </xf>
    <xf numFmtId="0" fontId="21" fillId="3" borderId="39" xfId="0" applyNumberFormat="1" applyFont="1" applyFill="1" applyBorder="1" applyAlignment="1">
      <alignment horizontal="center" wrapText="1"/>
    </xf>
    <xf numFmtId="0" fontId="21" fillId="3" borderId="21" xfId="0" applyNumberFormat="1" applyFont="1" applyFill="1" applyBorder="1" applyAlignment="1" applyProtection="1">
      <alignment horizontal="center" wrapText="1"/>
      <protection locked="0"/>
    </xf>
    <xf numFmtId="0" fontId="21" fillId="3" borderId="21" xfId="0" applyNumberFormat="1" applyFont="1" applyFill="1" applyBorder="1" applyAlignment="1">
      <alignment horizontal="center" wrapText="1"/>
    </xf>
    <xf numFmtId="1" fontId="23" fillId="3" borderId="4" xfId="0" applyNumberFormat="1" applyFont="1" applyFill="1" applyBorder="1" applyAlignment="1">
      <alignment horizontal="center"/>
    </xf>
    <xf numFmtId="0" fontId="21" fillId="3" borderId="40" xfId="0" applyNumberFormat="1" applyFont="1" applyFill="1" applyBorder="1" applyAlignment="1">
      <alignment horizontal="center" wrapText="1"/>
    </xf>
    <xf numFmtId="1" fontId="19" fillId="3" borderId="10" xfId="0" applyNumberFormat="1" applyFont="1" applyFill="1" applyBorder="1" applyAlignment="1">
      <alignment horizontal="center"/>
    </xf>
    <xf numFmtId="1" fontId="23" fillId="3" borderId="0" xfId="0" applyNumberFormat="1" applyFont="1" applyFill="1" applyBorder="1" applyAlignment="1">
      <alignment horizontal="center"/>
    </xf>
    <xf numFmtId="0" fontId="21" fillId="3" borderId="7" xfId="0" applyNumberFormat="1" applyFont="1" applyFill="1" applyBorder="1" applyAlignment="1" applyProtection="1">
      <alignment horizontal="center" wrapText="1"/>
      <protection locked="0"/>
    </xf>
    <xf numFmtId="0" fontId="21" fillId="3" borderId="7" xfId="0" applyNumberFormat="1" applyFont="1" applyFill="1" applyBorder="1" applyAlignment="1">
      <alignment horizontal="center" wrapText="1"/>
    </xf>
    <xf numFmtId="1" fontId="23" fillId="3" borderId="7" xfId="0" applyNumberFormat="1" applyFont="1" applyFill="1" applyBorder="1" applyAlignment="1">
      <alignment horizontal="center"/>
    </xf>
    <xf numFmtId="0" fontId="19" fillId="3" borderId="10" xfId="0" applyNumberFormat="1" applyFont="1" applyFill="1" applyBorder="1" applyAlignment="1">
      <alignment horizontal="center"/>
    </xf>
    <xf numFmtId="1" fontId="21" fillId="3" borderId="10" xfId="0" applyNumberFormat="1" applyFont="1" applyFill="1" applyBorder="1" applyAlignment="1">
      <alignment horizontal="center" wrapText="1"/>
    </xf>
    <xf numFmtId="1" fontId="21" fillId="3" borderId="41" xfId="0" applyNumberFormat="1" applyFont="1" applyFill="1" applyBorder="1" applyAlignment="1">
      <alignment horizontal="center" wrapText="1"/>
    </xf>
    <xf numFmtId="0" fontId="21" fillId="3" borderId="42" xfId="0" applyNumberFormat="1" applyFont="1" applyFill="1" applyBorder="1" applyAlignment="1">
      <alignment horizontal="center" wrapText="1"/>
    </xf>
    <xf numFmtId="1" fontId="41" fillId="3" borderId="4" xfId="0" applyNumberFormat="1" applyFont="1" applyFill="1" applyBorder="1" applyAlignment="1">
      <alignment horizontal="center" wrapText="1"/>
    </xf>
    <xf numFmtId="1" fontId="21" fillId="3" borderId="0" xfId="0" applyNumberFormat="1" applyFont="1" applyFill="1" applyBorder="1" applyAlignment="1">
      <alignment horizontal="center" wrapText="1"/>
    </xf>
    <xf numFmtId="1" fontId="41" fillId="3" borderId="0" xfId="0" applyNumberFormat="1" applyFont="1" applyFill="1" applyBorder="1" applyAlignment="1">
      <alignment horizontal="center" wrapText="1"/>
    </xf>
    <xf numFmtId="166" fontId="60" fillId="0" borderId="0" xfId="0" applyFont="1" applyFill="1" applyBorder="1" applyAlignment="1">
      <alignment horizontal="center" vertical="center" wrapText="1"/>
    </xf>
    <xf numFmtId="0" fontId="19" fillId="3" borderId="43" xfId="0" applyNumberFormat="1" applyFont="1" applyFill="1" applyBorder="1" applyAlignment="1"/>
    <xf numFmtId="0" fontId="19" fillId="3" borderId="44" xfId="0" applyNumberFormat="1" applyFont="1" applyFill="1" applyBorder="1" applyAlignment="1">
      <alignment horizontal="center"/>
    </xf>
    <xf numFmtId="0" fontId="19" fillId="3" borderId="45" xfId="0" applyNumberFormat="1" applyFont="1" applyFill="1" applyBorder="1" applyAlignment="1"/>
    <xf numFmtId="0" fontId="22" fillId="3" borderId="46" xfId="0" applyNumberFormat="1" applyFont="1" applyFill="1" applyBorder="1" applyAlignment="1">
      <alignment horizontal="left"/>
    </xf>
    <xf numFmtId="0" fontId="19" fillId="3" borderId="47" xfId="0" applyNumberFormat="1" applyFont="1" applyFill="1" applyBorder="1" applyAlignment="1"/>
    <xf numFmtId="0" fontId="19" fillId="3" borderId="33" xfId="0" applyNumberFormat="1" applyFont="1" applyFill="1" applyBorder="1" applyAlignment="1">
      <alignment horizontal="center"/>
    </xf>
    <xf numFmtId="0" fontId="22" fillId="3" borderId="44" xfId="0" applyNumberFormat="1" applyFont="1" applyFill="1" applyBorder="1" applyAlignment="1">
      <alignment horizontal="left"/>
    </xf>
    <xf numFmtId="49" fontId="20" fillId="4" borderId="23" xfId="0" applyNumberFormat="1" applyFont="1" applyFill="1" applyBorder="1" applyAlignment="1">
      <alignment horizontal="center"/>
    </xf>
    <xf numFmtId="166" fontId="36" fillId="0" borderId="0" xfId="0" applyFont="1" applyFill="1" applyBorder="1" applyAlignment="1">
      <alignment horizontal="center" vertical="center" wrapText="1"/>
    </xf>
    <xf numFmtId="166" fontId="2" fillId="0" borderId="0" xfId="0" applyFont="1" applyFill="1" applyBorder="1" applyAlignment="1">
      <alignment horizontal="left" vertical="center"/>
    </xf>
    <xf numFmtId="166" fontId="15" fillId="0" borderId="0" xfId="0" applyFont="1" applyFill="1" applyBorder="1" applyAlignment="1">
      <alignment vertical="center"/>
    </xf>
    <xf numFmtId="166" fontId="0" fillId="0" borderId="0" xfId="0" applyFill="1"/>
    <xf numFmtId="166" fontId="63" fillId="0" borderId="0" xfId="0" applyFont="1" applyFill="1"/>
    <xf numFmtId="166" fontId="59" fillId="0" borderId="0" xfId="0" applyFont="1" applyFill="1"/>
    <xf numFmtId="166" fontId="14" fillId="0" borderId="0" xfId="0" applyFont="1" applyFill="1" applyBorder="1" applyAlignment="1">
      <alignment horizontal="left"/>
    </xf>
    <xf numFmtId="166" fontId="66" fillId="0" borderId="0" xfId="0" applyFont="1" applyFill="1" applyBorder="1" applyAlignment="1">
      <alignment horizontal="center"/>
    </xf>
    <xf numFmtId="166" fontId="47" fillId="0" borderId="0" xfId="0" applyFont="1" applyFill="1" applyBorder="1" applyAlignment="1">
      <alignment horizontal="center"/>
    </xf>
    <xf numFmtId="0" fontId="19" fillId="0" borderId="0" xfId="0" applyNumberFormat="1" applyFont="1" applyFill="1" applyBorder="1" applyAlignment="1"/>
    <xf numFmtId="0" fontId="19" fillId="3" borderId="48" xfId="0" applyNumberFormat="1" applyFont="1" applyFill="1" applyBorder="1" applyAlignment="1">
      <alignment horizontal="right"/>
    </xf>
    <xf numFmtId="0" fontId="19" fillId="3" borderId="48" xfId="0" applyNumberFormat="1" applyFont="1" applyFill="1" applyBorder="1" applyAlignment="1"/>
    <xf numFmtId="0" fontId="19" fillId="2" borderId="48" xfId="0" applyNumberFormat="1" applyFont="1" applyFill="1" applyBorder="1" applyAlignment="1"/>
    <xf numFmtId="0" fontId="23" fillId="3" borderId="48" xfId="0" applyNumberFormat="1" applyFont="1" applyFill="1" applyBorder="1" applyAlignment="1">
      <alignment horizontal="left"/>
    </xf>
    <xf numFmtId="0" fontId="22" fillId="3" borderId="48" xfId="0" applyNumberFormat="1" applyFont="1" applyFill="1" applyBorder="1" applyAlignment="1">
      <alignment horizontal="center"/>
    </xf>
    <xf numFmtId="166" fontId="0" fillId="2" borderId="48" xfId="0" applyFill="1" applyBorder="1"/>
    <xf numFmtId="0" fontId="19" fillId="2" borderId="48" xfId="0" applyNumberFormat="1" applyFont="1" applyFill="1" applyBorder="1" applyAlignment="1">
      <alignment horizontal="center"/>
    </xf>
    <xf numFmtId="0" fontId="22" fillId="3" borderId="49" xfId="0" applyNumberFormat="1" applyFont="1" applyFill="1" applyBorder="1" applyAlignment="1">
      <alignment horizontal="left"/>
    </xf>
    <xf numFmtId="0" fontId="19" fillId="3" borderId="50" xfId="0" applyNumberFormat="1" applyFont="1" applyFill="1" applyBorder="1" applyAlignment="1"/>
    <xf numFmtId="0" fontId="19" fillId="3" borderId="48" xfId="0" applyNumberFormat="1" applyFont="1" applyFill="1" applyBorder="1" applyAlignment="1">
      <alignment horizontal="center"/>
    </xf>
    <xf numFmtId="0" fontId="19" fillId="3" borderId="49" xfId="0" applyNumberFormat="1" applyFont="1" applyFill="1" applyBorder="1" applyAlignment="1"/>
    <xf numFmtId="0" fontId="19" fillId="3" borderId="51" xfId="0" applyNumberFormat="1" applyFont="1" applyFill="1" applyBorder="1" applyAlignment="1"/>
    <xf numFmtId="0" fontId="19" fillId="3" borderId="52" xfId="0" applyNumberFormat="1" applyFont="1" applyFill="1" applyBorder="1" applyAlignment="1">
      <alignment horizontal="center"/>
    </xf>
    <xf numFmtId="0" fontId="19" fillId="3" borderId="53" xfId="0" applyNumberFormat="1" applyFont="1" applyFill="1" applyBorder="1" applyAlignment="1">
      <alignment horizontal="center"/>
    </xf>
    <xf numFmtId="0" fontId="19" fillId="3" borderId="54" xfId="0" applyNumberFormat="1" applyFont="1" applyFill="1" applyBorder="1" applyAlignment="1">
      <alignment horizontal="center"/>
    </xf>
    <xf numFmtId="0" fontId="19" fillId="3" borderId="55" xfId="0" applyNumberFormat="1" applyFont="1" applyFill="1" applyBorder="1" applyAlignment="1"/>
    <xf numFmtId="0" fontId="19" fillId="3" borderId="56" xfId="0" applyNumberFormat="1" applyFont="1" applyFill="1" applyBorder="1" applyAlignment="1"/>
    <xf numFmtId="0" fontId="19" fillId="5" borderId="56" xfId="0" applyNumberFormat="1" applyFont="1" applyFill="1" applyBorder="1" applyAlignment="1"/>
    <xf numFmtId="0" fontId="19" fillId="2" borderId="56" xfId="0" applyNumberFormat="1" applyFont="1" applyFill="1" applyBorder="1" applyAlignment="1"/>
    <xf numFmtId="166" fontId="0" fillId="2" borderId="56" xfId="0" applyFill="1" applyBorder="1"/>
    <xf numFmtId="0" fontId="19" fillId="2" borderId="56" xfId="0" applyNumberFormat="1" applyFont="1" applyFill="1" applyBorder="1" applyAlignment="1">
      <alignment horizontal="center"/>
    </xf>
    <xf numFmtId="0" fontId="19" fillId="3" borderId="56" xfId="0" applyNumberFormat="1" applyFont="1" applyFill="1" applyBorder="1" applyAlignment="1">
      <alignment horizontal="center"/>
    </xf>
    <xf numFmtId="0" fontId="19" fillId="3" borderId="57" xfId="0" applyNumberFormat="1" applyFont="1" applyFill="1" applyBorder="1" applyAlignment="1">
      <alignment horizontal="center"/>
    </xf>
    <xf numFmtId="0" fontId="19" fillId="3" borderId="0" xfId="0" applyNumberFormat="1" applyFont="1" applyFill="1" applyAlignment="1"/>
    <xf numFmtId="0" fontId="22" fillId="3" borderId="0" xfId="0" applyNumberFormat="1" applyFont="1" applyFill="1" applyBorder="1" applyAlignment="1">
      <alignment horizontal="center" vertical="center" wrapText="1"/>
    </xf>
    <xf numFmtId="1" fontId="21" fillId="2" borderId="0" xfId="0" applyNumberFormat="1" applyFont="1" applyFill="1" applyBorder="1" applyAlignment="1">
      <alignment horizontal="right" wrapText="1"/>
    </xf>
    <xf numFmtId="0" fontId="21" fillId="2" borderId="0" xfId="0" applyNumberFormat="1" applyFont="1" applyFill="1" applyBorder="1" applyAlignment="1">
      <alignment horizontal="left"/>
    </xf>
    <xf numFmtId="49" fontId="20" fillId="4" borderId="0" xfId="0" applyNumberFormat="1" applyFont="1" applyFill="1" applyBorder="1" applyAlignment="1">
      <alignment horizontal="center"/>
    </xf>
    <xf numFmtId="49" fontId="39" fillId="4" borderId="0" xfId="0" applyNumberFormat="1" applyFont="1" applyFill="1" applyBorder="1" applyAlignment="1">
      <alignment horizontal="center"/>
    </xf>
    <xf numFmtId="1" fontId="42" fillId="3" borderId="58" xfId="0" applyNumberFormat="1" applyFont="1" applyFill="1" applyBorder="1" applyAlignment="1">
      <alignment horizontal="center"/>
    </xf>
    <xf numFmtId="1" fontId="42" fillId="3" borderId="46" xfId="0" applyNumberFormat="1" applyFont="1" applyFill="1" applyBorder="1" applyAlignment="1">
      <alignment horizontal="center"/>
    </xf>
    <xf numFmtId="0" fontId="21" fillId="4" borderId="59" xfId="0" applyNumberFormat="1" applyFont="1" applyFill="1" applyBorder="1" applyAlignment="1" applyProtection="1">
      <alignment horizontal="center" wrapText="1"/>
      <protection locked="0"/>
    </xf>
    <xf numFmtId="0" fontId="24" fillId="4" borderId="33" xfId="0" applyNumberFormat="1" applyFont="1" applyFill="1" applyBorder="1" applyAlignment="1" applyProtection="1">
      <alignment horizontal="center" wrapText="1"/>
      <protection locked="0"/>
    </xf>
    <xf numFmtId="0" fontId="21" fillId="4" borderId="33" xfId="0" applyNumberFormat="1" applyFont="1" applyFill="1" applyBorder="1" applyAlignment="1" applyProtection="1">
      <alignment horizontal="center" wrapText="1"/>
      <protection locked="0"/>
    </xf>
    <xf numFmtId="0" fontId="21" fillId="3" borderId="60" xfId="0" applyNumberFormat="1" applyFont="1" applyFill="1" applyBorder="1" applyAlignment="1">
      <alignment horizontal="center" wrapText="1"/>
    </xf>
    <xf numFmtId="1" fontId="23" fillId="3" borderId="33" xfId="0" applyNumberFormat="1" applyFont="1" applyFill="1" applyBorder="1" applyAlignment="1">
      <alignment horizontal="center"/>
    </xf>
    <xf numFmtId="0" fontId="21" fillId="3" borderId="61" xfId="0" applyNumberFormat="1" applyFont="1" applyFill="1" applyBorder="1" applyAlignment="1">
      <alignment horizontal="center" wrapText="1"/>
    </xf>
    <xf numFmtId="1" fontId="21" fillId="3" borderId="62" xfId="0" applyNumberFormat="1" applyFont="1" applyFill="1" applyBorder="1" applyAlignment="1">
      <alignment horizontal="center" wrapText="1"/>
    </xf>
    <xf numFmtId="1" fontId="21" fillId="3" borderId="33" xfId="0" applyNumberFormat="1" applyFont="1" applyFill="1" applyBorder="1" applyAlignment="1">
      <alignment horizontal="center" wrapText="1"/>
    </xf>
    <xf numFmtId="1" fontId="41" fillId="3" borderId="33" xfId="0" applyNumberFormat="1" applyFont="1" applyFill="1" applyBorder="1" applyAlignment="1">
      <alignment horizontal="center" wrapText="1"/>
    </xf>
    <xf numFmtId="1" fontId="42" fillId="3" borderId="63" xfId="0" applyNumberFormat="1" applyFont="1" applyFill="1" applyBorder="1" applyAlignment="1">
      <alignment horizontal="center"/>
    </xf>
    <xf numFmtId="0" fontId="19" fillId="3" borderId="64" xfId="0" applyNumberFormat="1" applyFont="1" applyFill="1" applyBorder="1" applyAlignment="1">
      <alignment horizontal="center"/>
    </xf>
    <xf numFmtId="0" fontId="23" fillId="3" borderId="65" xfId="0" applyNumberFormat="1" applyFont="1" applyFill="1" applyBorder="1" applyAlignment="1">
      <alignment horizontal="center"/>
    </xf>
    <xf numFmtId="0" fontId="23" fillId="3" borderId="65" xfId="0" applyNumberFormat="1" applyFont="1" applyFill="1" applyBorder="1" applyAlignment="1">
      <alignment horizontal="center" wrapText="1"/>
    </xf>
    <xf numFmtId="0" fontId="19" fillId="3" borderId="65" xfId="0" applyNumberFormat="1" applyFont="1" applyFill="1" applyBorder="1" applyAlignment="1">
      <alignment horizontal="center"/>
    </xf>
    <xf numFmtId="166" fontId="0" fillId="3" borderId="65" xfId="0" applyFill="1" applyBorder="1" applyAlignment="1">
      <alignment horizontal="center"/>
    </xf>
    <xf numFmtId="0" fontId="19" fillId="3" borderId="66" xfId="0" applyNumberFormat="1" applyFont="1" applyFill="1" applyBorder="1" applyAlignment="1">
      <alignment horizontal="center"/>
    </xf>
    <xf numFmtId="0" fontId="39" fillId="4" borderId="45" xfId="0" applyNumberFormat="1" applyFont="1" applyFill="1" applyBorder="1" applyAlignment="1">
      <alignment horizontal="center"/>
    </xf>
    <xf numFmtId="0" fontId="21" fillId="3" borderId="67" xfId="0" applyNumberFormat="1" applyFont="1" applyFill="1" applyBorder="1" applyAlignment="1" applyProtection="1">
      <alignment horizontal="center" wrapText="1"/>
    </xf>
    <xf numFmtId="0" fontId="52" fillId="3" borderId="67" xfId="0" applyNumberFormat="1" applyFont="1" applyFill="1" applyBorder="1" applyAlignment="1" applyProtection="1">
      <alignment horizontal="center" wrapText="1"/>
    </xf>
    <xf numFmtId="0" fontId="21" fillId="3" borderId="45" xfId="0" applyNumberFormat="1" applyFont="1" applyFill="1" applyBorder="1" applyAlignment="1" applyProtection="1">
      <alignment horizontal="center" wrapText="1"/>
    </xf>
    <xf numFmtId="0" fontId="21" fillId="3" borderId="68" xfId="0" applyNumberFormat="1" applyFont="1" applyFill="1" applyBorder="1" applyAlignment="1" applyProtection="1">
      <alignment horizontal="center" wrapText="1"/>
    </xf>
    <xf numFmtId="1" fontId="23" fillId="3" borderId="39" xfId="0" applyNumberFormat="1" applyFont="1" applyFill="1" applyBorder="1" applyAlignment="1">
      <alignment horizontal="center"/>
    </xf>
    <xf numFmtId="1" fontId="19" fillId="3" borderId="21" xfId="0" applyNumberFormat="1" applyFont="1" applyFill="1" applyBorder="1" applyAlignment="1">
      <alignment horizontal="center"/>
    </xf>
    <xf numFmtId="1" fontId="23" fillId="3" borderId="21" xfId="0" applyNumberFormat="1" applyFont="1" applyFill="1" applyBorder="1" applyAlignment="1">
      <alignment horizontal="center"/>
    </xf>
    <xf numFmtId="0" fontId="19" fillId="3" borderId="21" xfId="0" applyNumberFormat="1" applyFont="1" applyFill="1" applyBorder="1" applyAlignment="1">
      <alignment horizontal="center"/>
    </xf>
    <xf numFmtId="1" fontId="23" fillId="3" borderId="60" xfId="0" applyNumberFormat="1" applyFont="1" applyFill="1" applyBorder="1" applyAlignment="1">
      <alignment horizontal="center"/>
    </xf>
    <xf numFmtId="1" fontId="21" fillId="3" borderId="69" xfId="0" applyNumberFormat="1" applyFont="1" applyFill="1" applyBorder="1" applyAlignment="1">
      <alignment horizontal="center" wrapText="1"/>
    </xf>
    <xf numFmtId="1" fontId="21" fillId="3" borderId="21" xfId="0" applyNumberFormat="1" applyFont="1" applyFill="1" applyBorder="1" applyAlignment="1">
      <alignment horizontal="center" wrapText="1"/>
    </xf>
    <xf numFmtId="1" fontId="21" fillId="3" borderId="60" xfId="0" applyNumberFormat="1" applyFont="1" applyFill="1" applyBorder="1" applyAlignment="1">
      <alignment horizontal="center" wrapText="1"/>
    </xf>
    <xf numFmtId="1" fontId="21" fillId="3" borderId="39" xfId="0" applyNumberFormat="1" applyFont="1" applyFill="1" applyBorder="1" applyAlignment="1">
      <alignment horizontal="center" wrapText="1"/>
    </xf>
    <xf numFmtId="0" fontId="8" fillId="3" borderId="70" xfId="2" applyNumberFormat="1" applyFont="1" applyFill="1" applyBorder="1" applyAlignment="1" applyProtection="1">
      <alignment horizontal="center" wrapText="1"/>
    </xf>
    <xf numFmtId="0" fontId="8" fillId="3" borderId="9" xfId="2" applyNumberFormat="1" applyFont="1" applyFill="1" applyBorder="1" applyAlignment="1" applyProtection="1">
      <alignment horizontal="center" wrapText="1"/>
    </xf>
    <xf numFmtId="0" fontId="8" fillId="3" borderId="9" xfId="0" applyNumberFormat="1" applyFont="1" applyFill="1" applyBorder="1" applyAlignment="1">
      <alignment horizontal="center" wrapText="1"/>
    </xf>
    <xf numFmtId="0" fontId="8" fillId="3" borderId="9" xfId="2" applyNumberFormat="1" applyFont="1" applyFill="1" applyBorder="1" applyAlignment="1" applyProtection="1">
      <alignment horizontal="right" wrapText="1"/>
    </xf>
    <xf numFmtId="0" fontId="90" fillId="3" borderId="9" xfId="2" applyNumberFormat="1" applyFont="1" applyFill="1" applyBorder="1" applyAlignment="1" applyProtection="1">
      <alignment horizontal="center" wrapText="1"/>
    </xf>
    <xf numFmtId="0" fontId="79" fillId="3" borderId="71" xfId="2" applyNumberFormat="1" applyFont="1" applyFill="1" applyBorder="1" applyAlignment="1" applyProtection="1">
      <alignment horizontal="center" wrapText="1"/>
    </xf>
    <xf numFmtId="0" fontId="39" fillId="4" borderId="2" xfId="0" applyNumberFormat="1" applyFont="1" applyFill="1" applyBorder="1" applyAlignment="1">
      <alignment horizontal="center"/>
    </xf>
    <xf numFmtId="1" fontId="32" fillId="2" borderId="0" xfId="0" applyNumberFormat="1" applyFont="1" applyFill="1" applyBorder="1" applyAlignment="1" applyProtection="1">
      <alignment horizontal="center" shrinkToFit="1"/>
      <protection hidden="1"/>
    </xf>
    <xf numFmtId="1" fontId="21" fillId="3" borderId="7" xfId="0" applyNumberFormat="1" applyFont="1" applyFill="1" applyBorder="1" applyAlignment="1">
      <alignment horizontal="center" wrapText="1"/>
    </xf>
    <xf numFmtId="0" fontId="52" fillId="3" borderId="38" xfId="0" applyNumberFormat="1" applyFont="1" applyFill="1" applyBorder="1" applyAlignment="1">
      <alignment horizontal="center" wrapText="1"/>
    </xf>
    <xf numFmtId="0" fontId="21" fillId="4" borderId="7" xfId="0" applyNumberFormat="1" applyFont="1" applyFill="1" applyBorder="1" applyAlignment="1" applyProtection="1">
      <alignment horizontal="center" wrapText="1"/>
    </xf>
    <xf numFmtId="0" fontId="21" fillId="4" borderId="0" xfId="0" applyNumberFormat="1" applyFont="1" applyFill="1" applyBorder="1" applyAlignment="1" applyProtection="1">
      <alignment horizontal="center" wrapText="1"/>
    </xf>
    <xf numFmtId="0" fontId="21" fillId="3" borderId="72" xfId="0" applyNumberFormat="1" applyFont="1" applyFill="1" applyBorder="1" applyAlignment="1" applyProtection="1">
      <alignment horizontal="center" wrapText="1"/>
    </xf>
    <xf numFmtId="0" fontId="20" fillId="3" borderId="65" xfId="0" applyNumberFormat="1" applyFont="1" applyFill="1" applyBorder="1" applyAlignment="1">
      <alignment horizontal="left"/>
    </xf>
    <xf numFmtId="166" fontId="87" fillId="0" borderId="0" xfId="0" applyFont="1" applyFill="1" applyBorder="1"/>
    <xf numFmtId="166" fontId="5" fillId="0" borderId="0" xfId="0" applyFont="1" applyFill="1"/>
    <xf numFmtId="166" fontId="0" fillId="0" borderId="8" xfId="0" applyFill="1" applyBorder="1"/>
    <xf numFmtId="166" fontId="3" fillId="0" borderId="6" xfId="0" applyFont="1" applyFill="1" applyBorder="1"/>
    <xf numFmtId="166" fontId="0" fillId="0" borderId="11" xfId="0" applyFill="1" applyBorder="1"/>
    <xf numFmtId="166" fontId="6" fillId="0" borderId="13" xfId="0" applyFont="1" applyFill="1" applyBorder="1" applyAlignment="1">
      <alignment horizontal="center"/>
    </xf>
    <xf numFmtId="166" fontId="0" fillId="0" borderId="10" xfId="0" applyFill="1" applyBorder="1"/>
    <xf numFmtId="166" fontId="3" fillId="0" borderId="10" xfId="0" applyFont="1" applyFill="1" applyBorder="1"/>
    <xf numFmtId="166" fontId="0" fillId="0" borderId="12" xfId="0" applyFill="1" applyBorder="1" applyProtection="1">
      <protection hidden="1"/>
    </xf>
    <xf numFmtId="166" fontId="82" fillId="0" borderId="23" xfId="0" applyFont="1" applyFill="1" applyBorder="1" applyProtection="1">
      <protection hidden="1"/>
    </xf>
    <xf numFmtId="166" fontId="0" fillId="0" borderId="23" xfId="0" applyFill="1" applyBorder="1" applyProtection="1">
      <protection hidden="1"/>
    </xf>
    <xf numFmtId="166" fontId="43" fillId="0" borderId="0" xfId="0" applyFont="1" applyFill="1" applyBorder="1"/>
    <xf numFmtId="166" fontId="66" fillId="0" borderId="0" xfId="0" applyFont="1" applyFill="1" applyBorder="1" applyAlignment="1" applyProtection="1">
      <alignment horizontal="center" vertical="center"/>
    </xf>
    <xf numFmtId="166" fontId="0" fillId="0" borderId="0" xfId="0" applyFill="1" applyAlignment="1"/>
    <xf numFmtId="166" fontId="0" fillId="0" borderId="0" xfId="0" applyFill="1" applyBorder="1" applyAlignment="1"/>
    <xf numFmtId="166" fontId="6" fillId="0" borderId="0" xfId="0" applyFont="1" applyFill="1" applyBorder="1"/>
    <xf numFmtId="49" fontId="16" fillId="0" borderId="0" xfId="0" applyNumberFormat="1" applyFont="1" applyFill="1" applyBorder="1" applyAlignment="1">
      <alignment horizontal="center" vertical="center"/>
    </xf>
    <xf numFmtId="166" fontId="70" fillId="0" borderId="0" xfId="0" applyFont="1" applyFill="1"/>
    <xf numFmtId="166" fontId="16" fillId="0" borderId="0" xfId="0" applyFont="1" applyFill="1" applyBorder="1" applyAlignment="1">
      <alignment horizontal="left"/>
    </xf>
    <xf numFmtId="169" fontId="16" fillId="0" borderId="0" xfId="5" applyNumberFormat="1" applyFont="1" applyFill="1" applyBorder="1" applyAlignment="1">
      <alignment horizontal="center"/>
    </xf>
    <xf numFmtId="166" fontId="6" fillId="0" borderId="0" xfId="0" applyFont="1" applyFill="1" applyAlignment="1">
      <alignment horizontal="center"/>
    </xf>
    <xf numFmtId="168" fontId="6" fillId="0" borderId="0" xfId="0" applyNumberFormat="1" applyFont="1" applyFill="1" applyAlignment="1">
      <alignment horizontal="center"/>
    </xf>
    <xf numFmtId="2" fontId="6" fillId="0" borderId="0" xfId="0" applyNumberFormat="1" applyFont="1" applyFill="1" applyAlignment="1">
      <alignment horizontal="center"/>
    </xf>
    <xf numFmtId="166" fontId="3" fillId="0" borderId="0" xfId="0" applyFont="1" applyFill="1" applyAlignment="1">
      <alignment horizontal="center"/>
    </xf>
    <xf numFmtId="2" fontId="3" fillId="0" borderId="0" xfId="0" applyNumberFormat="1" applyFont="1" applyFill="1" applyAlignment="1">
      <alignment horizontal="center"/>
    </xf>
    <xf numFmtId="168" fontId="3" fillId="0" borderId="0" xfId="0" applyNumberFormat="1" applyFont="1" applyFill="1" applyAlignment="1">
      <alignment horizontal="center"/>
    </xf>
    <xf numFmtId="166" fontId="61" fillId="0" borderId="0" xfId="0" applyFont="1" applyFill="1" applyAlignment="1">
      <alignment horizontal="left"/>
    </xf>
    <xf numFmtId="166" fontId="8" fillId="0" borderId="0" xfId="0" applyFont="1" applyFill="1"/>
    <xf numFmtId="166" fontId="8" fillId="0" borderId="0" xfId="0" applyFont="1" applyFill="1" applyAlignment="1">
      <alignment horizontal="center"/>
    </xf>
    <xf numFmtId="166" fontId="8" fillId="0" borderId="0" xfId="0" applyFont="1" applyFill="1" applyProtection="1">
      <protection hidden="1"/>
    </xf>
    <xf numFmtId="166" fontId="60" fillId="0" borderId="1" xfId="0" applyFont="1" applyFill="1" applyBorder="1" applyAlignment="1" applyProtection="1">
      <alignment horizontal="left"/>
      <protection hidden="1"/>
    </xf>
    <xf numFmtId="166" fontId="6" fillId="0" borderId="1" xfId="0" applyFont="1" applyFill="1" applyBorder="1"/>
    <xf numFmtId="166" fontId="3" fillId="0" borderId="23" xfId="0" applyFont="1" applyFill="1" applyBorder="1"/>
    <xf numFmtId="166" fontId="6" fillId="0" borderId="1" xfId="0" applyFont="1" applyFill="1" applyBorder="1" applyAlignment="1">
      <alignment horizontal="left"/>
    </xf>
    <xf numFmtId="166" fontId="48" fillId="0" borderId="2" xfId="0" applyFont="1" applyFill="1" applyBorder="1" applyAlignment="1" applyProtection="1">
      <alignment horizontal="center"/>
      <protection locked="0"/>
    </xf>
    <xf numFmtId="166" fontId="61" fillId="0" borderId="1" xfId="0" applyFont="1" applyFill="1" applyBorder="1" applyProtection="1">
      <protection hidden="1"/>
    </xf>
    <xf numFmtId="166" fontId="45" fillId="0" borderId="7" xfId="0" applyFont="1" applyFill="1" applyBorder="1" applyAlignment="1">
      <alignment horizontal="center"/>
    </xf>
    <xf numFmtId="166" fontId="48" fillId="0" borderId="0" xfId="0" applyFont="1" applyFill="1" applyAlignment="1">
      <alignment horizontal="center"/>
    </xf>
    <xf numFmtId="166" fontId="0" fillId="9" borderId="0" xfId="0" applyFill="1"/>
    <xf numFmtId="166" fontId="95" fillId="9" borderId="0" xfId="0" applyFont="1" applyFill="1"/>
    <xf numFmtId="2" fontId="0" fillId="0" borderId="0" xfId="0" applyNumberFormat="1" applyFill="1"/>
    <xf numFmtId="166" fontId="0" fillId="0" borderId="0" xfId="0" applyFill="1" applyProtection="1">
      <protection locked="0"/>
    </xf>
    <xf numFmtId="166" fontId="60" fillId="0" borderId="2" xfId="0" applyFont="1" applyFill="1" applyBorder="1" applyAlignment="1" applyProtection="1">
      <alignment horizontal="center"/>
      <protection locked="0"/>
    </xf>
    <xf numFmtId="0" fontId="0" fillId="0" borderId="0" xfId="0" applyNumberFormat="1" applyFill="1" applyProtection="1">
      <protection locked="0"/>
    </xf>
    <xf numFmtId="168" fontId="0" fillId="0" borderId="0" xfId="0" applyNumberFormat="1" applyFill="1" applyProtection="1">
      <protection locked="0"/>
    </xf>
    <xf numFmtId="2" fontId="65" fillId="0" borderId="10" xfId="0" applyNumberFormat="1" applyFont="1" applyFill="1" applyBorder="1" applyAlignment="1" applyProtection="1">
      <alignment horizontal="center"/>
      <protection locked="0" hidden="1"/>
    </xf>
    <xf numFmtId="37" fontId="6" fillId="0" borderId="9" xfId="0" applyNumberFormat="1" applyFont="1" applyFill="1" applyBorder="1" applyAlignment="1" applyProtection="1">
      <alignment horizontal="center"/>
    </xf>
    <xf numFmtId="167" fontId="6" fillId="0" borderId="9" xfId="0" applyNumberFormat="1" applyFont="1" applyFill="1" applyBorder="1" applyAlignment="1" applyProtection="1">
      <alignment horizontal="center"/>
    </xf>
    <xf numFmtId="39" fontId="6" fillId="0" borderId="9" xfId="0" applyNumberFormat="1" applyFont="1" applyFill="1" applyBorder="1" applyAlignment="1" applyProtection="1">
      <alignment horizontal="center"/>
    </xf>
    <xf numFmtId="166" fontId="97" fillId="0" borderId="0" xfId="0" applyFont="1" applyFill="1" applyBorder="1" applyAlignment="1">
      <alignment horizontal="center"/>
    </xf>
    <xf numFmtId="168" fontId="98" fillId="0" borderId="0" xfId="0" applyNumberFormat="1" applyFont="1" applyFill="1" applyBorder="1" applyAlignment="1">
      <alignment horizontal="center"/>
    </xf>
    <xf numFmtId="1" fontId="98" fillId="0" borderId="0" xfId="0" applyNumberFormat="1" applyFont="1" applyFill="1" applyBorder="1" applyAlignment="1">
      <alignment horizontal="center"/>
    </xf>
    <xf numFmtId="166" fontId="98" fillId="0" borderId="0" xfId="0" applyFont="1" applyFill="1" applyBorder="1" applyAlignment="1">
      <alignment horizontal="center"/>
    </xf>
    <xf numFmtId="2" fontId="98" fillId="0" borderId="0" xfId="0" applyNumberFormat="1" applyFont="1" applyFill="1" applyBorder="1" applyAlignment="1">
      <alignment horizontal="center"/>
    </xf>
    <xf numFmtId="166" fontId="100" fillId="0" borderId="0" xfId="0" applyFont="1"/>
    <xf numFmtId="166" fontId="100" fillId="0" borderId="0" xfId="0" applyFont="1" applyFill="1"/>
    <xf numFmtId="166" fontId="103" fillId="0" borderId="0" xfId="0" applyFont="1"/>
    <xf numFmtId="166" fontId="103" fillId="0" borderId="0" xfId="0" applyFont="1" applyFill="1"/>
    <xf numFmtId="166" fontId="96" fillId="10" borderId="0" xfId="0" applyFont="1" applyFill="1" applyBorder="1" applyAlignment="1">
      <alignment horizontal="center"/>
    </xf>
    <xf numFmtId="166" fontId="75" fillId="0" borderId="23" xfId="0" applyFont="1" applyFill="1" applyBorder="1" applyAlignment="1" applyProtection="1">
      <alignment horizontal="center"/>
      <protection hidden="1"/>
    </xf>
    <xf numFmtId="166" fontId="6" fillId="0" borderId="11" xfId="0" applyFont="1" applyFill="1" applyBorder="1" applyAlignment="1">
      <alignment horizontal="center"/>
    </xf>
    <xf numFmtId="166" fontId="65" fillId="0" borderId="2" xfId="0" applyFont="1" applyFill="1" applyBorder="1" applyAlignment="1" applyProtection="1">
      <alignment horizontal="center"/>
      <protection hidden="1"/>
    </xf>
    <xf numFmtId="166" fontId="92" fillId="2" borderId="0" xfId="0" applyFont="1" applyFill="1" applyBorder="1" applyAlignment="1">
      <alignment horizontal="justify" vertical="center" wrapText="1"/>
    </xf>
    <xf numFmtId="166" fontId="92" fillId="2" borderId="73" xfId="0" applyFont="1" applyFill="1" applyBorder="1" applyAlignment="1">
      <alignment horizontal="justify" vertical="center" wrapText="1"/>
    </xf>
    <xf numFmtId="166" fontId="49" fillId="2" borderId="73" xfId="0" applyFont="1" applyFill="1" applyBorder="1" applyAlignment="1">
      <alignment horizontal="justify" vertical="center" wrapText="1"/>
    </xf>
    <xf numFmtId="166" fontId="72" fillId="2" borderId="73" xfId="0" applyFont="1" applyFill="1" applyBorder="1" applyAlignment="1">
      <alignment horizontal="justify" vertical="center" wrapText="1"/>
    </xf>
    <xf numFmtId="166" fontId="105" fillId="0" borderId="0" xfId="0" applyFont="1" applyFill="1" applyBorder="1" applyAlignment="1">
      <alignment horizontal="left"/>
    </xf>
    <xf numFmtId="166" fontId="111" fillId="0" borderId="0" xfId="2" applyNumberFormat="1" applyFont="1" applyFill="1" applyBorder="1" applyAlignment="1" applyProtection="1">
      <protection locked="0"/>
    </xf>
    <xf numFmtId="166" fontId="0" fillId="0" borderId="0" xfId="0" applyProtection="1"/>
    <xf numFmtId="166" fontId="15" fillId="0" borderId="0" xfId="0" applyFont="1" applyFill="1" applyBorder="1" applyAlignment="1" applyProtection="1">
      <alignment horizontal="left"/>
    </xf>
    <xf numFmtId="166" fontId="17" fillId="0" borderId="0" xfId="0" applyFont="1" applyFill="1" applyBorder="1" applyProtection="1"/>
    <xf numFmtId="2" fontId="65" fillId="0" borderId="7" xfId="0" applyNumberFormat="1" applyFont="1" applyFill="1" applyBorder="1" applyAlignment="1" applyProtection="1">
      <alignment horizontal="center"/>
      <protection locked="0" hidden="1"/>
    </xf>
    <xf numFmtId="166" fontId="65" fillId="0" borderId="10" xfId="0" applyFont="1" applyFill="1" applyBorder="1" applyAlignment="1" applyProtection="1">
      <alignment horizontal="center"/>
      <protection locked="0" hidden="1"/>
    </xf>
    <xf numFmtId="166" fontId="8" fillId="0" borderId="10" xfId="0" applyFont="1" applyFill="1" applyBorder="1" applyAlignment="1" applyProtection="1">
      <alignment horizontal="center"/>
      <protection locked="0" hidden="1"/>
    </xf>
    <xf numFmtId="166" fontId="3" fillId="0" borderId="11" xfId="0" applyFont="1" applyFill="1" applyBorder="1" applyAlignment="1" applyProtection="1">
      <alignment horizontal="center"/>
      <protection locked="0" hidden="1"/>
    </xf>
    <xf numFmtId="2" fontId="65" fillId="0" borderId="11" xfId="0" applyNumberFormat="1" applyFont="1" applyFill="1" applyBorder="1" applyAlignment="1" applyProtection="1">
      <alignment horizontal="center"/>
      <protection locked="0" hidden="1"/>
    </xf>
    <xf numFmtId="2" fontId="65" fillId="0" borderId="13" xfId="0" applyNumberFormat="1" applyFont="1" applyFill="1" applyBorder="1" applyAlignment="1" applyProtection="1">
      <alignment horizontal="center"/>
      <protection locked="0" hidden="1"/>
    </xf>
    <xf numFmtId="166" fontId="13" fillId="2" borderId="0" xfId="0" applyFont="1" applyFill="1" applyBorder="1" applyAlignment="1">
      <alignment horizontal="justify" vertical="center" wrapText="1"/>
    </xf>
    <xf numFmtId="166" fontId="72" fillId="2" borderId="0" xfId="0" applyFont="1" applyFill="1" applyAlignment="1">
      <alignment horizontal="justify" vertical="center" wrapText="1"/>
    </xf>
    <xf numFmtId="166" fontId="13" fillId="2" borderId="0" xfId="0" applyFont="1" applyFill="1" applyAlignment="1">
      <alignment horizontal="justify" vertical="center" wrapText="1"/>
    </xf>
    <xf numFmtId="166" fontId="72" fillId="2" borderId="0" xfId="0" applyFont="1" applyFill="1" applyBorder="1" applyAlignment="1">
      <alignment horizontal="justify" vertical="center" wrapText="1"/>
    </xf>
    <xf numFmtId="166" fontId="0" fillId="2" borderId="0" xfId="0" applyFill="1" applyAlignment="1">
      <alignment vertical="center"/>
    </xf>
    <xf numFmtId="166" fontId="13" fillId="0" borderId="0" xfId="0" applyFont="1" applyFill="1" applyBorder="1" applyAlignment="1">
      <alignment horizontal="justify" vertical="top" wrapText="1"/>
    </xf>
    <xf numFmtId="166" fontId="13" fillId="0" borderId="0" xfId="0" applyFont="1" applyFill="1" applyBorder="1" applyAlignment="1">
      <alignment horizontal="justify" vertical="top"/>
    </xf>
    <xf numFmtId="166" fontId="13" fillId="2" borderId="0" xfId="0" applyFont="1" applyFill="1" applyBorder="1" applyAlignment="1">
      <alignment horizontal="justify" vertical="top" wrapText="1"/>
    </xf>
    <xf numFmtId="166" fontId="13" fillId="2" borderId="0" xfId="0" applyFont="1" applyFill="1" applyAlignment="1">
      <alignment horizontal="justify" vertical="top" wrapText="1"/>
    </xf>
    <xf numFmtId="166" fontId="72" fillId="2" borderId="0" xfId="0" applyFont="1" applyFill="1" applyAlignment="1">
      <alignment horizontal="justify" vertical="top" wrapText="1"/>
    </xf>
    <xf numFmtId="166" fontId="66" fillId="2" borderId="0" xfId="0" applyFont="1" applyFill="1" applyBorder="1" applyAlignment="1" applyProtection="1">
      <alignment horizontal="left"/>
    </xf>
    <xf numFmtId="166" fontId="3" fillId="11" borderId="0" xfId="0" applyFont="1" applyFill="1"/>
    <xf numFmtId="166" fontId="3" fillId="12" borderId="0" xfId="0" applyFont="1" applyFill="1"/>
    <xf numFmtId="166" fontId="0" fillId="11" borderId="0" xfId="0" applyFill="1"/>
    <xf numFmtId="37" fontId="98" fillId="0" borderId="12" xfId="0" applyNumberFormat="1" applyFont="1" applyFill="1" applyBorder="1" applyAlignment="1" applyProtection="1">
      <alignment horizontal="center" wrapText="1"/>
    </xf>
    <xf numFmtId="166" fontId="98" fillId="0" borderId="12" xfId="0" applyFont="1" applyFill="1" applyBorder="1" applyAlignment="1" applyProtection="1">
      <alignment horizontal="center" wrapText="1"/>
    </xf>
    <xf numFmtId="167" fontId="98" fillId="0" borderId="12" xfId="0" applyNumberFormat="1" applyFont="1" applyFill="1" applyBorder="1" applyAlignment="1" applyProtection="1">
      <alignment horizontal="center" wrapText="1"/>
    </xf>
    <xf numFmtId="167" fontId="6" fillId="0" borderId="9" xfId="0" applyNumberFormat="1" applyFont="1" applyFill="1" applyBorder="1" applyAlignment="1" applyProtection="1">
      <alignment vertical="center" wrapText="1"/>
    </xf>
    <xf numFmtId="167" fontId="6" fillId="0" borderId="9" xfId="0" applyNumberFormat="1" applyFont="1" applyFill="1" applyBorder="1" applyAlignment="1" applyProtection="1">
      <alignment vertical="center"/>
    </xf>
    <xf numFmtId="166" fontId="3" fillId="0" borderId="9" xfId="0" applyFont="1" applyFill="1" applyBorder="1"/>
    <xf numFmtId="167" fontId="98" fillId="0" borderId="13" xfId="0" applyNumberFormat="1" applyFont="1" applyFill="1" applyBorder="1" applyAlignment="1" applyProtection="1">
      <alignment horizontal="center" wrapText="1"/>
    </xf>
    <xf numFmtId="166" fontId="3" fillId="0" borderId="74" xfId="0" applyFont="1" applyFill="1" applyBorder="1"/>
    <xf numFmtId="166" fontId="3" fillId="0" borderId="21" xfId="0" applyFont="1" applyFill="1" applyBorder="1"/>
    <xf numFmtId="166" fontId="3" fillId="0" borderId="75" xfId="0" applyFont="1" applyFill="1" applyBorder="1"/>
    <xf numFmtId="166" fontId="45" fillId="0" borderId="6" xfId="0" applyFont="1" applyFill="1" applyBorder="1" applyAlignment="1">
      <alignment horizontal="center"/>
    </xf>
    <xf numFmtId="166" fontId="45" fillId="0" borderId="13" xfId="0" applyFont="1" applyFill="1" applyBorder="1" applyAlignment="1">
      <alignment horizontal="center"/>
    </xf>
    <xf numFmtId="166" fontId="0" fillId="12" borderId="0" xfId="0" applyFill="1"/>
    <xf numFmtId="166" fontId="46" fillId="0" borderId="0" xfId="0" applyFont="1" applyFill="1" applyBorder="1" applyAlignment="1" applyProtection="1">
      <alignment horizontal="center"/>
    </xf>
    <xf numFmtId="166" fontId="12" fillId="0" borderId="0" xfId="0" applyFont="1" applyFill="1" applyBorder="1" applyAlignment="1" applyProtection="1">
      <alignment horizontal="left" vertical="top"/>
    </xf>
    <xf numFmtId="166" fontId="0" fillId="0" borderId="0" xfId="0" applyFill="1" applyBorder="1"/>
    <xf numFmtId="166" fontId="0" fillId="0" borderId="0" xfId="0" applyFill="1" applyBorder="1" applyAlignment="1">
      <alignment horizontal="center"/>
    </xf>
    <xf numFmtId="166" fontId="44" fillId="0" borderId="0" xfId="0" applyFont="1" applyFill="1" applyBorder="1" applyAlignment="1">
      <alignment horizontal="center"/>
    </xf>
    <xf numFmtId="166" fontId="37" fillId="0" borderId="0" xfId="0" applyFont="1" applyFill="1" applyBorder="1" applyAlignment="1">
      <alignment horizontal="center" vertical="center" wrapText="1"/>
    </xf>
    <xf numFmtId="166" fontId="63" fillId="0" borderId="0" xfId="0" applyFont="1" applyFill="1" applyBorder="1"/>
    <xf numFmtId="166" fontId="114" fillId="0" borderId="0" xfId="0" applyFont="1" applyBorder="1" applyAlignment="1">
      <alignment horizontal="center"/>
    </xf>
    <xf numFmtId="166" fontId="103" fillId="0" borderId="0" xfId="0" applyFont="1" applyBorder="1"/>
    <xf numFmtId="166" fontId="100" fillId="0" borderId="0" xfId="0" applyFont="1" applyBorder="1"/>
    <xf numFmtId="166" fontId="65" fillId="13" borderId="0" xfId="0" applyFont="1" applyFill="1" applyBorder="1" applyAlignment="1" applyProtection="1">
      <alignment horizontal="center"/>
      <protection locked="0" hidden="1"/>
    </xf>
    <xf numFmtId="166" fontId="3" fillId="13" borderId="0" xfId="0" applyFont="1" applyFill="1" applyBorder="1" applyProtection="1">
      <protection locked="0" hidden="1"/>
    </xf>
    <xf numFmtId="166" fontId="63" fillId="13" borderId="0" xfId="0" applyFont="1" applyFill="1" applyBorder="1" applyProtection="1">
      <protection locked="0" hidden="1"/>
    </xf>
    <xf numFmtId="37" fontId="98" fillId="0" borderId="1" xfId="0" applyNumberFormat="1" applyFont="1" applyFill="1" applyBorder="1" applyAlignment="1" applyProtection="1">
      <alignment horizontal="center" wrapText="1"/>
    </xf>
    <xf numFmtId="37" fontId="98" fillId="0" borderId="0" xfId="0" applyNumberFormat="1" applyFont="1" applyFill="1" applyBorder="1" applyAlignment="1" applyProtection="1">
      <alignment horizontal="center" wrapText="1"/>
    </xf>
    <xf numFmtId="167" fontId="98" fillId="0" borderId="0" xfId="0" applyNumberFormat="1" applyFont="1" applyFill="1" applyBorder="1" applyAlignment="1" applyProtection="1">
      <alignment horizontal="center" wrapText="1"/>
    </xf>
    <xf numFmtId="166" fontId="6" fillId="0" borderId="10" xfId="0" applyFont="1" applyFill="1" applyBorder="1"/>
    <xf numFmtId="37" fontId="98" fillId="0" borderId="10" xfId="0" applyNumberFormat="1" applyFont="1" applyFill="1" applyBorder="1" applyAlignment="1" applyProtection="1">
      <alignment horizontal="center" wrapText="1"/>
    </xf>
    <xf numFmtId="166" fontId="3" fillId="14" borderId="0" xfId="0" applyFont="1" applyFill="1" applyBorder="1"/>
    <xf numFmtId="166" fontId="65" fillId="14" borderId="8" xfId="0" applyFont="1" applyFill="1" applyBorder="1" applyAlignment="1" applyProtection="1">
      <alignment horizontal="center"/>
      <protection locked="0" hidden="1"/>
    </xf>
    <xf numFmtId="2" fontId="65" fillId="14" borderId="10" xfId="0" applyNumberFormat="1" applyFont="1" applyFill="1" applyBorder="1" applyAlignment="1" applyProtection="1">
      <alignment horizontal="center"/>
      <protection locked="0" hidden="1"/>
    </xf>
    <xf numFmtId="2" fontId="65" fillId="14" borderId="7" xfId="0" applyNumberFormat="1" applyFont="1" applyFill="1" applyBorder="1" applyAlignment="1" applyProtection="1">
      <alignment horizontal="center"/>
      <protection locked="0" hidden="1"/>
    </xf>
    <xf numFmtId="166" fontId="65" fillId="14" borderId="10" xfId="0" applyFont="1" applyFill="1" applyBorder="1" applyAlignment="1" applyProtection="1">
      <alignment horizontal="center"/>
      <protection locked="0" hidden="1"/>
    </xf>
    <xf numFmtId="166" fontId="8" fillId="14" borderId="10" xfId="0" applyFont="1" applyFill="1" applyBorder="1" applyAlignment="1" applyProtection="1">
      <alignment horizontal="center"/>
      <protection locked="0" hidden="1"/>
    </xf>
    <xf numFmtId="166" fontId="60" fillId="0" borderId="8" xfId="0" applyFont="1" applyFill="1" applyBorder="1" applyAlignment="1" applyProtection="1">
      <alignment horizontal="center" vertical="center"/>
      <protection hidden="1"/>
    </xf>
    <xf numFmtId="166" fontId="6" fillId="0" borderId="1" xfId="0" applyFont="1" applyFill="1" applyBorder="1" applyAlignment="1">
      <alignment horizontal="left" vertical="center"/>
    </xf>
    <xf numFmtId="166" fontId="65" fillId="13" borderId="74" xfId="0" applyFont="1" applyFill="1" applyBorder="1" applyAlignment="1" applyProtection="1">
      <alignment horizontal="center"/>
      <protection hidden="1"/>
    </xf>
    <xf numFmtId="166" fontId="6" fillId="0" borderId="14" xfId="0" applyFont="1" applyFill="1" applyBorder="1" applyAlignment="1">
      <alignment wrapText="1"/>
    </xf>
    <xf numFmtId="166" fontId="65" fillId="15" borderId="74" xfId="0" applyFont="1" applyFill="1" applyBorder="1" applyAlignment="1" applyProtection="1">
      <alignment horizontal="left"/>
      <protection locked="0" hidden="1"/>
    </xf>
    <xf numFmtId="166" fontId="65" fillId="15" borderId="21" xfId="0" applyFont="1" applyFill="1" applyBorder="1" applyAlignment="1" applyProtection="1">
      <alignment horizontal="left"/>
      <protection locked="0" hidden="1"/>
    </xf>
    <xf numFmtId="166" fontId="8" fillId="15" borderId="21" xfId="0" applyFont="1" applyFill="1" applyBorder="1" applyAlignment="1" applyProtection="1">
      <alignment horizontal="left"/>
      <protection locked="0" hidden="1"/>
    </xf>
    <xf numFmtId="166" fontId="3" fillId="15" borderId="75" xfId="0" applyFont="1" applyFill="1" applyBorder="1" applyAlignment="1" applyProtection="1">
      <alignment horizontal="left"/>
      <protection locked="0" hidden="1"/>
    </xf>
    <xf numFmtId="166" fontId="3" fillId="11" borderId="0" xfId="0" applyFont="1" applyFill="1" applyAlignment="1">
      <alignment horizontal="center"/>
    </xf>
    <xf numFmtId="166" fontId="3" fillId="14" borderId="10" xfId="0" applyFont="1" applyFill="1" applyBorder="1" applyAlignment="1" applyProtection="1">
      <alignment horizontal="center"/>
      <protection locked="0" hidden="1"/>
    </xf>
    <xf numFmtId="166" fontId="1" fillId="2" borderId="0" xfId="0" applyFont="1" applyFill="1" applyBorder="1" applyAlignment="1">
      <alignment horizontal="left"/>
    </xf>
    <xf numFmtId="166" fontId="6" fillId="16" borderId="76" xfId="0" applyFont="1" applyFill="1" applyBorder="1" applyAlignment="1" applyProtection="1">
      <alignment horizontal="left"/>
    </xf>
    <xf numFmtId="166" fontId="6" fillId="16" borderId="77" xfId="0" applyFont="1" applyFill="1" applyBorder="1" applyAlignment="1" applyProtection="1">
      <alignment horizontal="left"/>
    </xf>
    <xf numFmtId="37" fontId="61" fillId="16" borderId="77" xfId="0" applyNumberFormat="1" applyFont="1" applyFill="1" applyBorder="1" applyAlignment="1" applyProtection="1">
      <alignment horizontal="center"/>
    </xf>
    <xf numFmtId="167" fontId="6" fillId="16" borderId="77" xfId="0" applyNumberFormat="1" applyFont="1" applyFill="1" applyBorder="1" applyProtection="1"/>
    <xf numFmtId="167" fontId="6" fillId="16" borderId="77" xfId="0" applyNumberFormat="1" applyFont="1" applyFill="1" applyBorder="1" applyAlignment="1" applyProtection="1">
      <alignment horizontal="center"/>
    </xf>
    <xf numFmtId="37" fontId="6" fillId="16" borderId="77" xfId="0" applyNumberFormat="1" applyFont="1" applyFill="1" applyBorder="1" applyAlignment="1" applyProtection="1">
      <alignment horizontal="center"/>
    </xf>
    <xf numFmtId="39" fontId="6" fillId="16" borderId="77" xfId="0" applyNumberFormat="1" applyFont="1" applyFill="1" applyBorder="1" applyAlignment="1" applyProtection="1">
      <alignment horizontal="center"/>
    </xf>
    <xf numFmtId="37" fontId="6" fillId="16" borderId="78" xfId="0" applyNumberFormat="1" applyFont="1" applyFill="1" applyBorder="1" applyAlignment="1" applyProtection="1">
      <alignment horizontal="center"/>
    </xf>
    <xf numFmtId="37" fontId="3" fillId="16" borderId="0" xfId="0" applyNumberFormat="1" applyFont="1" applyFill="1" applyBorder="1" applyAlignment="1" applyProtection="1">
      <alignment horizontal="center"/>
    </xf>
    <xf numFmtId="37" fontId="61" fillId="16" borderId="0" xfId="0" applyNumberFormat="1" applyFont="1" applyFill="1" applyBorder="1" applyAlignment="1" applyProtection="1">
      <alignment horizontal="center" wrapText="1"/>
    </xf>
    <xf numFmtId="37" fontId="6" fillId="16" borderId="0" xfId="0" applyNumberFormat="1" applyFont="1" applyFill="1" applyBorder="1" applyAlignment="1" applyProtection="1">
      <alignment horizontal="center" wrapText="1"/>
    </xf>
    <xf numFmtId="167" fontId="6" fillId="16" borderId="0" xfId="0" applyNumberFormat="1" applyFont="1" applyFill="1" applyBorder="1" applyAlignment="1" applyProtection="1">
      <alignment horizontal="center" wrapText="1"/>
    </xf>
    <xf numFmtId="167" fontId="6" fillId="16" borderId="7" xfId="0" applyNumberFormat="1" applyFont="1" applyFill="1" applyBorder="1" applyAlignment="1" applyProtection="1">
      <alignment horizontal="center" wrapText="1"/>
    </xf>
    <xf numFmtId="37" fontId="3" fillId="16" borderId="30" xfId="0" applyNumberFormat="1" applyFont="1" applyFill="1" applyBorder="1" applyAlignment="1" applyProtection="1">
      <alignment horizontal="center"/>
    </xf>
    <xf numFmtId="37" fontId="61" fillId="16" borderId="12" xfId="0" applyNumberFormat="1" applyFont="1" applyFill="1" applyBorder="1" applyAlignment="1" applyProtection="1">
      <alignment horizontal="center"/>
    </xf>
    <xf numFmtId="37" fontId="6" fillId="16" borderId="12" xfId="0" applyNumberFormat="1" applyFont="1" applyFill="1" applyBorder="1" applyAlignment="1" applyProtection="1">
      <alignment horizontal="center"/>
    </xf>
    <xf numFmtId="167" fontId="6" fillId="16" borderId="12" xfId="0" applyNumberFormat="1" applyFont="1" applyFill="1" applyBorder="1" applyAlignment="1" applyProtection="1">
      <alignment horizontal="center"/>
    </xf>
    <xf numFmtId="39" fontId="6" fillId="16" borderId="12" xfId="0" applyNumberFormat="1" applyFont="1" applyFill="1" applyBorder="1" applyAlignment="1" applyProtection="1">
      <alignment horizontal="center"/>
    </xf>
    <xf numFmtId="37" fontId="131" fillId="16" borderId="12" xfId="2" applyNumberFormat="1" applyFont="1" applyFill="1" applyBorder="1" applyAlignment="1" applyProtection="1">
      <alignment horizontal="center"/>
    </xf>
    <xf numFmtId="37" fontId="6" fillId="16" borderId="13" xfId="0" applyNumberFormat="1" applyFont="1" applyFill="1" applyBorder="1" applyAlignment="1" applyProtection="1">
      <alignment horizontal="center"/>
    </xf>
    <xf numFmtId="166" fontId="3" fillId="17" borderId="0" xfId="0" applyFont="1" applyFill="1" applyBorder="1" applyProtection="1"/>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xf>
    <xf numFmtId="37" fontId="61" fillId="17" borderId="0" xfId="0" applyNumberFormat="1" applyFont="1" applyFill="1" applyBorder="1" applyAlignment="1" applyProtection="1">
      <alignment horizontal="left"/>
    </xf>
    <xf numFmtId="37" fontId="78" fillId="17" borderId="0" xfId="0" applyNumberFormat="1" applyFont="1" applyFill="1" applyBorder="1" applyAlignment="1" applyProtection="1">
      <alignment horizontal="center" vertical="center"/>
      <protection locked="0"/>
    </xf>
    <xf numFmtId="166" fontId="8" fillId="17" borderId="24" xfId="2" applyNumberFormat="1" applyFont="1" applyFill="1" applyBorder="1" applyAlignment="1" applyProtection="1">
      <alignment horizontal="left"/>
    </xf>
    <xf numFmtId="166" fontId="0" fillId="17" borderId="0" xfId="0" applyFill="1" applyBorder="1" applyAlignment="1">
      <alignment vertical="center"/>
    </xf>
    <xf numFmtId="166" fontId="3" fillId="17" borderId="0" xfId="0" applyFont="1" applyFill="1" applyBorder="1" applyAlignment="1">
      <alignment vertical="center"/>
    </xf>
    <xf numFmtId="166" fontId="48" fillId="17" borderId="26" xfId="0" applyFont="1" applyFill="1" applyBorder="1" applyAlignment="1">
      <alignment horizontal="left" vertical="center"/>
    </xf>
    <xf numFmtId="166" fontId="16" fillId="17" borderId="27" xfId="0" applyFont="1" applyFill="1" applyBorder="1" applyAlignment="1">
      <alignment horizontal="center"/>
    </xf>
    <xf numFmtId="9" fontId="6" fillId="17" borderId="0" xfId="0" applyNumberFormat="1" applyFont="1" applyFill="1" applyBorder="1" applyAlignment="1" applyProtection="1">
      <alignment horizontal="right" vertical="center"/>
    </xf>
    <xf numFmtId="166" fontId="6" fillId="17" borderId="0" xfId="0" applyFont="1" applyFill="1" applyBorder="1" applyAlignment="1" applyProtection="1">
      <alignment vertical="center"/>
    </xf>
    <xf numFmtId="166" fontId="6" fillId="17" borderId="0" xfId="0" applyFont="1" applyFill="1" applyBorder="1" applyProtection="1"/>
    <xf numFmtId="9" fontId="6" fillId="17" borderId="0" xfId="0" applyNumberFormat="1" applyFont="1" applyFill="1" applyBorder="1" applyAlignment="1" applyProtection="1">
      <alignment horizontal="right"/>
    </xf>
    <xf numFmtId="166" fontId="65" fillId="17" borderId="27" xfId="2" applyNumberFormat="1" applyFont="1" applyFill="1" applyBorder="1" applyAlignment="1" applyProtection="1">
      <alignment horizontal="center" vertical="center"/>
    </xf>
    <xf numFmtId="49" fontId="6" fillId="17" borderId="27" xfId="0" applyNumberFormat="1" applyFont="1" applyFill="1" applyBorder="1" applyAlignment="1" applyProtection="1">
      <alignment horizontal="center" vertical="center"/>
      <protection locked="0"/>
    </xf>
    <xf numFmtId="166" fontId="6" fillId="16" borderId="9" xfId="0" applyFont="1" applyFill="1" applyBorder="1"/>
    <xf numFmtId="166" fontId="16" fillId="17" borderId="9" xfId="0" applyFont="1" applyFill="1" applyBorder="1" applyAlignment="1">
      <alignment horizontal="left"/>
    </xf>
    <xf numFmtId="166" fontId="45" fillId="16" borderId="10" xfId="0" applyFont="1" applyFill="1" applyBorder="1" applyAlignment="1" applyProtection="1">
      <alignment horizontal="center"/>
    </xf>
    <xf numFmtId="166" fontId="6" fillId="16" borderId="0" xfId="0" applyFont="1" applyFill="1" applyBorder="1"/>
    <xf numFmtId="166" fontId="16" fillId="17" borderId="9" xfId="0" applyFont="1" applyFill="1" applyBorder="1" applyAlignment="1">
      <alignment horizontal="center"/>
    </xf>
    <xf numFmtId="166" fontId="16" fillId="17" borderId="79" xfId="0" applyFont="1" applyFill="1" applyBorder="1" applyAlignment="1">
      <alignment horizontal="left"/>
    </xf>
    <xf numFmtId="167" fontId="6" fillId="16" borderId="25" xfId="0" applyNumberFormat="1" applyFont="1" applyFill="1" applyBorder="1" applyAlignment="1" applyProtection="1">
      <alignment horizontal="center" wrapText="1"/>
    </xf>
    <xf numFmtId="37" fontId="3" fillId="13" borderId="0" xfId="0" applyNumberFormat="1" applyFont="1" applyFill="1" applyBorder="1" applyAlignment="1" applyProtection="1">
      <alignment horizontal="center" vertical="center"/>
      <protection hidden="1"/>
    </xf>
    <xf numFmtId="37" fontId="69" fillId="18" borderId="0" xfId="2" applyNumberFormat="1" applyFont="1" applyFill="1" applyBorder="1" applyAlignment="1" applyProtection="1">
      <alignment horizontal="center" vertical="center"/>
    </xf>
    <xf numFmtId="167" fontId="3" fillId="18" borderId="0" xfId="0" applyNumberFormat="1" applyFont="1" applyFill="1" applyBorder="1" applyAlignment="1" applyProtection="1">
      <alignment horizontal="center" vertical="center"/>
    </xf>
    <xf numFmtId="171" fontId="3" fillId="18" borderId="0" xfId="0" applyNumberFormat="1" applyFont="1" applyFill="1" applyBorder="1" applyAlignment="1" applyProtection="1">
      <alignment horizontal="center" vertical="center"/>
    </xf>
    <xf numFmtId="167" fontId="8" fillId="18" borderId="0" xfId="0" applyNumberFormat="1" applyFont="1" applyFill="1" applyBorder="1" applyAlignment="1" applyProtection="1">
      <alignment horizontal="center"/>
    </xf>
    <xf numFmtId="2" fontId="1" fillId="0" borderId="23" xfId="5" applyNumberFormat="1" applyFont="1" applyFill="1" applyBorder="1" applyAlignment="1" applyProtection="1">
      <alignment horizontal="center"/>
      <protection locked="0"/>
    </xf>
    <xf numFmtId="37" fontId="6" fillId="17" borderId="9" xfId="0" applyNumberFormat="1" applyFont="1" applyFill="1" applyBorder="1" applyAlignment="1" applyProtection="1">
      <alignment horizontal="center" vertical="center"/>
    </xf>
    <xf numFmtId="166" fontId="8" fillId="17" borderId="0" xfId="2" applyNumberFormat="1" applyFont="1" applyFill="1" applyBorder="1" applyAlignment="1" applyProtection="1"/>
    <xf numFmtId="166" fontId="3" fillId="17" borderId="0" xfId="0" applyFont="1" applyFill="1" applyBorder="1" applyAlignment="1" applyProtection="1">
      <alignment horizontal="left"/>
    </xf>
    <xf numFmtId="37" fontId="6" fillId="16" borderId="24" xfId="0" applyNumberFormat="1" applyFont="1" applyFill="1" applyBorder="1" applyAlignment="1" applyProtection="1">
      <alignment horizontal="center" vertical="center" wrapText="1"/>
    </xf>
    <xf numFmtId="166" fontId="3" fillId="15" borderId="74" xfId="0" applyFont="1" applyFill="1" applyBorder="1" applyProtection="1">
      <protection locked="0"/>
    </xf>
    <xf numFmtId="166" fontId="3" fillId="15" borderId="21" xfId="0" applyFont="1" applyFill="1" applyBorder="1" applyProtection="1">
      <protection locked="0"/>
    </xf>
    <xf numFmtId="166" fontId="3" fillId="15" borderId="75" xfId="0" applyFont="1" applyFill="1" applyBorder="1" applyProtection="1">
      <protection locked="0"/>
    </xf>
    <xf numFmtId="166" fontId="6" fillId="0" borderId="14" xfId="0" applyFont="1" applyFill="1" applyBorder="1"/>
    <xf numFmtId="166" fontId="132" fillId="12" borderId="0" xfId="0" applyFont="1" applyFill="1"/>
    <xf numFmtId="37" fontId="3" fillId="17" borderId="7" xfId="0" applyNumberFormat="1" applyFont="1" applyFill="1" applyBorder="1" applyAlignment="1" applyProtection="1">
      <alignment horizontal="center"/>
      <protection hidden="1"/>
    </xf>
    <xf numFmtId="166" fontId="133" fillId="0" borderId="0" xfId="0" applyFont="1" applyFill="1" applyBorder="1" applyAlignment="1" applyProtection="1">
      <alignment horizontal="center"/>
    </xf>
    <xf numFmtId="166" fontId="134" fillId="0" borderId="0" xfId="0" applyFont="1" applyFill="1" applyBorder="1" applyAlignment="1">
      <alignment horizontal="center" vertical="center"/>
    </xf>
    <xf numFmtId="37" fontId="4" fillId="17" borderId="7" xfId="0" applyNumberFormat="1" applyFont="1" applyFill="1" applyBorder="1" applyAlignment="1" applyProtection="1">
      <alignment horizontal="center"/>
      <protection locked="0"/>
    </xf>
    <xf numFmtId="170" fontId="3" fillId="17" borderId="7" xfId="0" applyNumberFormat="1" applyFont="1" applyFill="1" applyBorder="1" applyAlignment="1" applyProtection="1">
      <alignment horizontal="center"/>
      <protection hidden="1"/>
    </xf>
    <xf numFmtId="166" fontId="87" fillId="14" borderId="10" xfId="0" applyFont="1" applyFill="1" applyBorder="1"/>
    <xf numFmtId="166" fontId="104" fillId="14" borderId="21" xfId="0" applyFont="1" applyFill="1" applyBorder="1" applyAlignment="1">
      <alignment horizontal="left"/>
    </xf>
    <xf numFmtId="166" fontId="45" fillId="14" borderId="7" xfId="0" applyFont="1" applyFill="1" applyBorder="1" applyAlignment="1" applyProtection="1">
      <alignment horizontal="left"/>
    </xf>
    <xf numFmtId="166" fontId="3" fillId="14" borderId="0" xfId="0" applyFont="1" applyFill="1" applyBorder="1" applyProtection="1"/>
    <xf numFmtId="166" fontId="135" fillId="0" borderId="74" xfId="0" applyFont="1" applyBorder="1" applyAlignment="1" applyProtection="1">
      <alignment horizontal="center" vertical="center"/>
      <protection locked="0"/>
    </xf>
    <xf numFmtId="166" fontId="44" fillId="19" borderId="14" xfId="0" applyFont="1" applyFill="1" applyBorder="1" applyAlignment="1" applyProtection="1">
      <alignment horizontal="center"/>
      <protection locked="0"/>
    </xf>
    <xf numFmtId="166" fontId="0" fillId="0" borderId="0" xfId="0" applyProtection="1">
      <protection locked="0"/>
    </xf>
    <xf numFmtId="166" fontId="135" fillId="0" borderId="74" xfId="0" applyFont="1" applyBorder="1" applyAlignment="1" applyProtection="1">
      <alignment vertical="center"/>
      <protection locked="0"/>
    </xf>
    <xf numFmtId="166" fontId="136" fillId="19" borderId="74" xfId="0" applyFont="1" applyFill="1" applyBorder="1" applyAlignment="1" applyProtection="1">
      <alignment horizontal="left"/>
      <protection locked="0"/>
    </xf>
    <xf numFmtId="166" fontId="136" fillId="19" borderId="21" xfId="0" applyFont="1" applyFill="1" applyBorder="1" applyAlignment="1" applyProtection="1">
      <alignment horizontal="left"/>
      <protection locked="0"/>
    </xf>
    <xf numFmtId="167" fontId="136" fillId="20" borderId="21" xfId="0" applyNumberFormat="1" applyFont="1" applyFill="1" applyBorder="1" applyAlignment="1" applyProtection="1">
      <alignment horizontal="left" vertical="center" wrapText="1"/>
      <protection locked="0"/>
    </xf>
    <xf numFmtId="166" fontId="136" fillId="19" borderId="75" xfId="0" applyFont="1" applyFill="1" applyBorder="1" applyAlignment="1" applyProtection="1">
      <alignment horizontal="left"/>
      <protection locked="0"/>
    </xf>
    <xf numFmtId="166" fontId="135" fillId="0" borderId="74" xfId="0" applyFont="1" applyBorder="1" applyProtection="1">
      <protection locked="0"/>
    </xf>
    <xf numFmtId="166" fontId="137" fillId="19" borderId="74" xfId="0" applyFont="1" applyFill="1" applyBorder="1" applyAlignment="1" applyProtection="1">
      <alignment horizontal="left"/>
      <protection locked="0"/>
    </xf>
    <xf numFmtId="166" fontId="137" fillId="19" borderId="21" xfId="0" applyFont="1" applyFill="1" applyBorder="1" applyAlignment="1" applyProtection="1">
      <alignment horizontal="left"/>
      <protection locked="0"/>
    </xf>
    <xf numFmtId="167" fontId="137" fillId="20" borderId="21" xfId="0" applyNumberFormat="1" applyFont="1" applyFill="1" applyBorder="1" applyAlignment="1" applyProtection="1">
      <alignment horizontal="left" vertical="center" wrapText="1"/>
      <protection locked="0"/>
    </xf>
    <xf numFmtId="166" fontId="137" fillId="19" borderId="75" xfId="0" applyFont="1" applyFill="1" applyBorder="1" applyAlignment="1" applyProtection="1">
      <alignment horizontal="left"/>
      <protection locked="0"/>
    </xf>
    <xf numFmtId="166" fontId="45" fillId="14" borderId="74" xfId="0" applyFont="1" applyFill="1" applyBorder="1" applyAlignment="1" applyProtection="1">
      <alignment horizontal="left"/>
    </xf>
    <xf numFmtId="166" fontId="104" fillId="14" borderId="74" xfId="0" applyFont="1" applyFill="1" applyBorder="1" applyAlignment="1">
      <alignment horizontal="left"/>
    </xf>
    <xf numFmtId="166" fontId="87" fillId="14" borderId="21" xfId="0" applyFont="1" applyFill="1" applyBorder="1"/>
    <xf numFmtId="166" fontId="45" fillId="14" borderId="21" xfId="0" applyFont="1" applyFill="1" applyBorder="1" applyAlignment="1" applyProtection="1">
      <alignment horizontal="left"/>
    </xf>
    <xf numFmtId="168" fontId="138" fillId="14" borderId="21" xfId="0" applyNumberFormat="1" applyFont="1" applyFill="1" applyBorder="1" applyAlignment="1">
      <alignment horizontal="center"/>
    </xf>
    <xf numFmtId="168" fontId="138" fillId="14" borderId="74" xfId="0" applyNumberFormat="1" applyFont="1" applyFill="1" applyBorder="1" applyAlignment="1">
      <alignment horizontal="center"/>
    </xf>
    <xf numFmtId="168" fontId="3" fillId="14" borderId="21" xfId="0" applyNumberFormat="1" applyFont="1" applyFill="1" applyBorder="1" applyAlignment="1">
      <alignment horizontal="center"/>
    </xf>
    <xf numFmtId="166" fontId="64" fillId="14" borderId="7" xfId="0" applyFont="1" applyFill="1" applyBorder="1" applyAlignment="1" applyProtection="1">
      <alignment horizontal="left"/>
    </xf>
    <xf numFmtId="166" fontId="8" fillId="14" borderId="0" xfId="0" applyFont="1" applyFill="1" applyBorder="1" applyProtection="1"/>
    <xf numFmtId="166" fontId="3" fillId="14" borderId="10" xfId="0" applyFont="1" applyFill="1" applyBorder="1" applyProtection="1"/>
    <xf numFmtId="166" fontId="87" fillId="17" borderId="10" xfId="0" applyFont="1" applyFill="1" applyBorder="1"/>
    <xf numFmtId="166" fontId="87" fillId="17" borderId="10" xfId="0" applyFont="1" applyFill="1" applyBorder="1" applyAlignment="1"/>
    <xf numFmtId="14" fontId="87" fillId="17" borderId="21" xfId="0" applyNumberFormat="1" applyFont="1" applyFill="1" applyBorder="1" applyAlignment="1">
      <alignment horizontal="left"/>
    </xf>
    <xf numFmtId="14" fontId="87" fillId="21" borderId="21" xfId="0" applyNumberFormat="1" applyFont="1" applyFill="1" applyBorder="1" applyAlignment="1">
      <alignment horizontal="left"/>
    </xf>
    <xf numFmtId="166" fontId="64" fillId="17" borderId="7" xfId="0" applyFont="1" applyFill="1" applyBorder="1" applyAlignment="1" applyProtection="1">
      <alignment horizontal="left"/>
    </xf>
    <xf numFmtId="166" fontId="87" fillId="21" borderId="10" xfId="0" applyFont="1" applyFill="1" applyBorder="1" applyAlignment="1"/>
    <xf numFmtId="166" fontId="8" fillId="14" borderId="0" xfId="0" applyFont="1" applyFill="1" applyBorder="1" applyAlignment="1" applyProtection="1">
      <alignment horizontal="left"/>
    </xf>
    <xf numFmtId="166" fontId="87" fillId="17" borderId="21" xfId="0" applyFont="1" applyFill="1" applyBorder="1" applyAlignment="1">
      <alignment horizontal="left"/>
    </xf>
    <xf numFmtId="166" fontId="104" fillId="17" borderId="21" xfId="0" applyFont="1" applyFill="1" applyBorder="1" applyAlignment="1">
      <alignment horizontal="left"/>
    </xf>
    <xf numFmtId="166" fontId="71" fillId="17" borderId="7" xfId="0" applyFont="1" applyFill="1" applyBorder="1" applyAlignment="1" applyProtection="1">
      <alignment horizontal="left"/>
    </xf>
    <xf numFmtId="166" fontId="4" fillId="17" borderId="0" xfId="0" applyFont="1" applyFill="1" applyBorder="1" applyProtection="1"/>
    <xf numFmtId="166" fontId="71" fillId="17" borderId="7" xfId="0" applyFont="1" applyFill="1" applyBorder="1" applyAlignment="1">
      <alignment horizontal="left"/>
    </xf>
    <xf numFmtId="166" fontId="3" fillId="14" borderId="0" xfId="0" applyFont="1" applyFill="1" applyBorder="1" applyAlignment="1" applyProtection="1">
      <alignment horizontal="left"/>
    </xf>
    <xf numFmtId="166" fontId="104" fillId="22" borderId="10" xfId="0" applyFont="1" applyFill="1" applyBorder="1" applyAlignment="1">
      <alignment wrapText="1"/>
    </xf>
    <xf numFmtId="166" fontId="104" fillId="22" borderId="21" xfId="0" applyFont="1" applyFill="1" applyBorder="1" applyAlignment="1">
      <alignment horizontal="left"/>
    </xf>
    <xf numFmtId="166" fontId="45" fillId="22" borderId="7" xfId="0" applyFont="1" applyFill="1" applyBorder="1" applyAlignment="1" applyProtection="1">
      <alignment horizontal="left"/>
    </xf>
    <xf numFmtId="166" fontId="3" fillId="22" borderId="0" xfId="0" applyFont="1" applyFill="1" applyBorder="1" applyProtection="1"/>
    <xf numFmtId="166" fontId="87" fillId="22" borderId="21" xfId="0" applyFont="1" applyFill="1" applyBorder="1" applyAlignment="1">
      <alignment wrapText="1"/>
    </xf>
    <xf numFmtId="14" fontId="87" fillId="22" borderId="21" xfId="0" applyNumberFormat="1" applyFont="1" applyFill="1" applyBorder="1" applyAlignment="1">
      <alignment horizontal="left"/>
    </xf>
    <xf numFmtId="166" fontId="71" fillId="22" borderId="7" xfId="0" applyFont="1" applyFill="1" applyBorder="1" applyAlignment="1">
      <alignment horizontal="left"/>
    </xf>
    <xf numFmtId="166" fontId="4" fillId="22" borderId="0" xfId="0" applyFont="1" applyFill="1" applyBorder="1"/>
    <xf numFmtId="166" fontId="4" fillId="17" borderId="0" xfId="0" applyFont="1" applyFill="1" applyBorder="1"/>
    <xf numFmtId="166" fontId="102" fillId="21" borderId="7" xfId="0" applyFont="1" applyFill="1" applyBorder="1" applyAlignment="1" applyProtection="1">
      <alignment horizontal="left"/>
    </xf>
    <xf numFmtId="166" fontId="101" fillId="21" borderId="0" xfId="0" applyFont="1" applyFill="1" applyBorder="1"/>
    <xf numFmtId="166" fontId="71" fillId="22" borderId="7" xfId="0" applyFont="1" applyFill="1" applyBorder="1" applyAlignment="1" applyProtection="1">
      <alignment horizontal="left"/>
    </xf>
    <xf numFmtId="166" fontId="4" fillId="22" borderId="0" xfId="0" applyFont="1" applyFill="1" applyBorder="1" applyProtection="1"/>
    <xf numFmtId="166" fontId="87" fillId="22" borderId="10" xfId="0" applyFont="1" applyFill="1" applyBorder="1" applyAlignment="1">
      <alignment wrapText="1"/>
    </xf>
    <xf numFmtId="166" fontId="8" fillId="17" borderId="0" xfId="0" applyFont="1" applyFill="1" applyBorder="1" applyAlignment="1" applyProtection="1">
      <alignment horizontal="left"/>
    </xf>
    <xf numFmtId="166" fontId="3" fillId="14" borderId="8" xfId="0" applyFont="1" applyFill="1" applyBorder="1" applyProtection="1"/>
    <xf numFmtId="37" fontId="4" fillId="17" borderId="10" xfId="0" applyNumberFormat="1" applyFont="1" applyFill="1" applyBorder="1" applyAlignment="1" applyProtection="1">
      <alignment horizontal="left"/>
    </xf>
    <xf numFmtId="166" fontId="3" fillId="22" borderId="10" xfId="0" applyFont="1" applyFill="1" applyBorder="1" applyProtection="1"/>
    <xf numFmtId="168" fontId="8" fillId="14" borderId="21" xfId="0" applyNumberFormat="1" applyFont="1" applyFill="1" applyBorder="1" applyAlignment="1">
      <alignment horizontal="center"/>
    </xf>
    <xf numFmtId="168" fontId="3" fillId="22" borderId="21" xfId="0" applyNumberFormat="1" applyFont="1" applyFill="1" applyBorder="1" applyAlignment="1">
      <alignment horizontal="center"/>
    </xf>
    <xf numFmtId="166" fontId="104" fillId="23" borderId="21" xfId="0" applyFont="1" applyFill="1" applyBorder="1" applyAlignment="1">
      <alignment horizontal="left"/>
    </xf>
    <xf numFmtId="166" fontId="45" fillId="23" borderId="7" xfId="0" applyFont="1" applyFill="1" applyBorder="1" applyAlignment="1" applyProtection="1">
      <alignment horizontal="left"/>
    </xf>
    <xf numFmtId="166" fontId="3" fillId="23" borderId="0" xfId="0" applyFont="1" applyFill="1" applyBorder="1" applyProtection="1"/>
    <xf numFmtId="166" fontId="87" fillId="23" borderId="21" xfId="0" applyFont="1" applyFill="1" applyBorder="1" applyAlignment="1">
      <alignment horizontal="left"/>
    </xf>
    <xf numFmtId="166" fontId="104" fillId="24" borderId="21" xfId="0" applyFont="1" applyFill="1" applyBorder="1" applyAlignment="1">
      <alignment horizontal="left"/>
    </xf>
    <xf numFmtId="166" fontId="45" fillId="24" borderId="7" xfId="0" applyFont="1" applyFill="1" applyBorder="1" applyAlignment="1" applyProtection="1">
      <alignment horizontal="left"/>
    </xf>
    <xf numFmtId="166" fontId="3" fillId="24" borderId="0" xfId="0" applyFont="1" applyFill="1" applyBorder="1" applyProtection="1"/>
    <xf numFmtId="166" fontId="138" fillId="14" borderId="0" xfId="0" applyFont="1" applyFill="1" applyBorder="1" applyProtection="1"/>
    <xf numFmtId="166" fontId="133" fillId="14" borderId="7" xfId="0" applyFont="1" applyFill="1" applyBorder="1" applyAlignment="1" applyProtection="1">
      <alignment horizontal="left"/>
    </xf>
    <xf numFmtId="166" fontId="101" fillId="21" borderId="0" xfId="0" applyFont="1" applyFill="1" applyBorder="1" applyAlignment="1" applyProtection="1">
      <alignment horizontal="left"/>
    </xf>
    <xf numFmtId="37" fontId="4" fillId="17" borderId="0" xfId="0" applyNumberFormat="1" applyFont="1" applyFill="1" applyBorder="1" applyAlignment="1" applyProtection="1">
      <alignment horizontal="left"/>
    </xf>
    <xf numFmtId="166" fontId="4" fillId="17" borderId="0" xfId="0" applyFont="1" applyFill="1" applyBorder="1" applyAlignment="1">
      <alignment horizontal="left"/>
    </xf>
    <xf numFmtId="166" fontId="4" fillId="17" borderId="0" xfId="0" applyFont="1" applyFill="1" applyBorder="1" applyAlignment="1" applyProtection="1">
      <alignment horizontal="left"/>
    </xf>
    <xf numFmtId="166" fontId="3" fillId="0" borderId="8" xfId="0" applyFont="1" applyFill="1" applyBorder="1"/>
    <xf numFmtId="166" fontId="135" fillId="0" borderId="1" xfId="0" applyFont="1" applyFill="1" applyBorder="1" applyAlignment="1">
      <alignment horizontal="center"/>
    </xf>
    <xf numFmtId="166" fontId="135" fillId="0" borderId="2" xfId="0" applyFont="1" applyFill="1" applyBorder="1" applyAlignment="1">
      <alignment horizontal="left"/>
    </xf>
    <xf numFmtId="168" fontId="3" fillId="17" borderId="21" xfId="0" applyNumberFormat="1" applyFont="1" applyFill="1" applyBorder="1" applyAlignment="1">
      <alignment horizontal="center"/>
    </xf>
    <xf numFmtId="166" fontId="87" fillId="24" borderId="21" xfId="0" applyFont="1" applyFill="1" applyBorder="1" applyAlignment="1">
      <alignment horizontal="left" wrapText="1"/>
    </xf>
    <xf numFmtId="49" fontId="72" fillId="0" borderId="0" xfId="0" applyNumberFormat="1" applyFont="1" applyFill="1" applyBorder="1" applyAlignment="1">
      <alignment horizontal="justify" vertical="top" wrapText="1"/>
    </xf>
    <xf numFmtId="49" fontId="13" fillId="0" borderId="0" xfId="0" applyNumberFormat="1" applyFont="1" applyFill="1" applyBorder="1" applyAlignment="1" applyProtection="1">
      <alignment horizontal="justify" vertical="top"/>
    </xf>
    <xf numFmtId="49" fontId="13" fillId="0" borderId="0" xfId="0" applyNumberFormat="1" applyFont="1" applyFill="1" applyBorder="1" applyAlignment="1" applyProtection="1">
      <alignment horizontal="justify" vertical="top" wrapText="1"/>
    </xf>
    <xf numFmtId="49" fontId="13" fillId="0" borderId="0" xfId="0" applyNumberFormat="1" applyFont="1" applyFill="1" applyBorder="1" applyAlignment="1">
      <alignment horizontal="justify" vertical="top" wrapText="1"/>
    </xf>
    <xf numFmtId="49" fontId="1" fillId="0" borderId="0" xfId="0" applyNumberFormat="1" applyFont="1" applyFill="1" applyBorder="1" applyAlignment="1" applyProtection="1">
      <alignment horizontal="left" vertical="top" wrapText="1" indent="1"/>
    </xf>
    <xf numFmtId="49" fontId="34" fillId="0" borderId="0" xfId="0" applyNumberFormat="1" applyFont="1" applyFill="1" applyBorder="1" applyAlignment="1">
      <alignment horizontal="center" vertical="center"/>
    </xf>
    <xf numFmtId="166" fontId="139" fillId="0" borderId="0" xfId="2" applyNumberFormat="1" applyFont="1" applyFill="1" applyBorder="1" applyAlignment="1" applyProtection="1"/>
    <xf numFmtId="166" fontId="139" fillId="0" borderId="0" xfId="0" applyFont="1" applyFill="1" applyBorder="1" applyProtection="1"/>
    <xf numFmtId="166" fontId="139" fillId="0" borderId="0" xfId="2" applyNumberFormat="1" applyFont="1" applyFill="1" applyBorder="1" applyAlignment="1" applyProtection="1">
      <alignment horizontal="left"/>
    </xf>
    <xf numFmtId="166" fontId="140" fillId="0" borderId="0" xfId="0" applyFont="1" applyFill="1" applyBorder="1" applyProtection="1"/>
    <xf numFmtId="166" fontId="141" fillId="0" borderId="0" xfId="0" applyFont="1" applyFill="1" applyBorder="1" applyProtection="1"/>
    <xf numFmtId="166" fontId="15" fillId="0" borderId="0" xfId="0" applyFont="1" applyFill="1" applyBorder="1" applyAlignment="1"/>
    <xf numFmtId="166" fontId="34" fillId="0" borderId="0" xfId="0" applyFont="1" applyFill="1" applyBorder="1" applyAlignment="1">
      <alignment horizontal="center" vertical="center" wrapText="1"/>
    </xf>
    <xf numFmtId="166" fontId="34" fillId="0" borderId="0" xfId="0" applyFont="1" applyFill="1" applyBorder="1" applyAlignment="1">
      <alignment horizontal="center" vertical="center"/>
    </xf>
    <xf numFmtId="166" fontId="89" fillId="2" borderId="0" xfId="0" applyFont="1" applyFill="1" applyBorder="1" applyAlignment="1">
      <alignment horizontal="center" vertical="center"/>
    </xf>
    <xf numFmtId="166" fontId="120" fillId="0" borderId="0" xfId="0" applyFont="1" applyFill="1" applyAlignment="1">
      <alignment horizontal="center" vertical="center"/>
    </xf>
    <xf numFmtId="166" fontId="121" fillId="0" borderId="0" xfId="0" applyFont="1" applyFill="1" applyAlignment="1">
      <alignment horizontal="justify" vertical="center" wrapText="1"/>
    </xf>
    <xf numFmtId="166" fontId="92" fillId="0" borderId="0" xfId="0" applyFont="1" applyFill="1" applyBorder="1" applyAlignment="1">
      <alignment horizontal="center" vertical="center" wrapText="1"/>
    </xf>
    <xf numFmtId="166" fontId="13" fillId="0" borderId="80" xfId="0" applyFont="1" applyFill="1" applyBorder="1" applyAlignment="1">
      <alignment horizontal="justify" vertical="top" wrapText="1"/>
    </xf>
    <xf numFmtId="166" fontId="142" fillId="0" borderId="0" xfId="0" applyFont="1" applyFill="1"/>
    <xf numFmtId="166" fontId="1" fillId="0" borderId="0" xfId="0" applyFont="1" applyFill="1" applyAlignment="1">
      <alignment vertical="top" wrapText="1"/>
    </xf>
    <xf numFmtId="1" fontId="95" fillId="9" borderId="0" xfId="0" applyNumberFormat="1" applyFont="1" applyFill="1" applyAlignment="1">
      <alignment horizontal="center"/>
    </xf>
    <xf numFmtId="1" fontId="95" fillId="9" borderId="0" xfId="0" applyNumberFormat="1" applyFont="1" applyFill="1" applyAlignment="1">
      <alignment horizontal="center" vertical="center"/>
    </xf>
    <xf numFmtId="166" fontId="3" fillId="0" borderId="0" xfId="0" applyFont="1" applyFill="1" applyBorder="1" applyAlignment="1">
      <alignment horizontal="justify" vertical="top" wrapText="1"/>
    </xf>
    <xf numFmtId="167" fontId="3" fillId="17" borderId="0" xfId="0" applyNumberFormat="1" applyFont="1" applyFill="1" applyBorder="1" applyAlignment="1" applyProtection="1">
      <alignment horizontal="center"/>
      <protection hidden="1"/>
    </xf>
    <xf numFmtId="3" fontId="81" fillId="17" borderId="0" xfId="0" applyNumberFormat="1" applyFont="1" applyFill="1" applyBorder="1" applyAlignment="1" applyProtection="1">
      <alignment horizontal="center" vertical="center"/>
      <protection hidden="1"/>
    </xf>
    <xf numFmtId="167"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protection hidden="1"/>
    </xf>
    <xf numFmtId="9" fontId="6" fillId="0" borderId="0" xfId="0" applyNumberFormat="1" applyFont="1" applyFill="1" applyBorder="1" applyAlignment="1" applyProtection="1">
      <alignment horizontal="center" vertical="center"/>
      <protection hidden="1"/>
    </xf>
    <xf numFmtId="169" fontId="6" fillId="0" borderId="0" xfId="5" applyNumberFormat="1" applyFont="1" applyFill="1" applyBorder="1" applyAlignment="1" applyProtection="1">
      <alignment horizontal="center" vertical="center"/>
      <protection hidden="1"/>
    </xf>
    <xf numFmtId="1" fontId="0" fillId="0" borderId="0" xfId="0" applyNumberFormat="1" applyAlignment="1">
      <alignment horizontal="center"/>
    </xf>
    <xf numFmtId="2" fontId="0" fillId="0" borderId="0" xfId="0" applyNumberFormat="1" applyAlignment="1">
      <alignment horizontal="center"/>
    </xf>
    <xf numFmtId="1" fontId="138" fillId="0" borderId="21" xfId="0" applyNumberFormat="1" applyFont="1" applyFill="1" applyBorder="1" applyAlignment="1" applyProtection="1">
      <alignment horizontal="center"/>
      <protection hidden="1"/>
    </xf>
    <xf numFmtId="168" fontId="138" fillId="0" borderId="21" xfId="0" applyNumberFormat="1" applyFont="1" applyFill="1" applyBorder="1" applyAlignment="1" applyProtection="1">
      <alignment horizontal="center"/>
      <protection hidden="1"/>
    </xf>
    <xf numFmtId="2" fontId="138" fillId="0" borderId="21" xfId="0" applyNumberFormat="1" applyFont="1" applyFill="1" applyBorder="1" applyAlignment="1" applyProtection="1">
      <alignment horizontal="center"/>
      <protection hidden="1"/>
    </xf>
    <xf numFmtId="1" fontId="3" fillId="0" borderId="21" xfId="0" applyNumberFormat="1" applyFont="1" applyFill="1" applyBorder="1" applyAlignment="1" applyProtection="1">
      <alignment horizontal="center"/>
      <protection hidden="1"/>
    </xf>
    <xf numFmtId="168" fontId="3" fillId="0" borderId="21" xfId="0" applyNumberFormat="1" applyFont="1" applyFill="1" applyBorder="1" applyAlignment="1" applyProtection="1">
      <alignment horizontal="center"/>
      <protection hidden="1"/>
    </xf>
    <xf numFmtId="2" fontId="3" fillId="0" borderId="21" xfId="0" applyNumberFormat="1" applyFont="1" applyFill="1" applyBorder="1" applyAlignment="1" applyProtection="1">
      <alignment horizontal="center"/>
      <protection hidden="1"/>
    </xf>
    <xf numFmtId="168" fontId="8" fillId="0" borderId="21" xfId="0" applyNumberFormat="1" applyFont="1" applyFill="1" applyBorder="1" applyAlignment="1" applyProtection="1">
      <alignment horizontal="center"/>
      <protection hidden="1"/>
    </xf>
    <xf numFmtId="1" fontId="8" fillId="0" borderId="21" xfId="0" applyNumberFormat="1" applyFont="1" applyFill="1" applyBorder="1" applyAlignment="1" applyProtection="1">
      <alignment horizontal="center"/>
      <protection hidden="1"/>
    </xf>
    <xf numFmtId="2" fontId="8" fillId="0" borderId="21" xfId="0" applyNumberFormat="1" applyFont="1" applyFill="1" applyBorder="1" applyAlignment="1" applyProtection="1">
      <alignment horizontal="center"/>
      <protection hidden="1"/>
    </xf>
    <xf numFmtId="1" fontId="4" fillId="0" borderId="21" xfId="0" applyNumberFormat="1" applyFont="1" applyFill="1" applyBorder="1" applyAlignment="1" applyProtection="1">
      <alignment horizontal="center"/>
      <protection hidden="1"/>
    </xf>
    <xf numFmtId="1" fontId="16" fillId="2" borderId="0" xfId="0" applyNumberFormat="1" applyFont="1" applyFill="1" applyBorder="1" applyAlignment="1" applyProtection="1">
      <alignment horizontal="right"/>
      <protection hidden="1"/>
    </xf>
    <xf numFmtId="1" fontId="16" fillId="0" borderId="0" xfId="0" applyNumberFormat="1" applyFont="1" applyProtection="1">
      <protection hidden="1"/>
    </xf>
    <xf numFmtId="166" fontId="16" fillId="2" borderId="0" xfId="0" applyFont="1" applyFill="1" applyBorder="1" applyAlignment="1" applyProtection="1">
      <protection hidden="1"/>
    </xf>
    <xf numFmtId="166" fontId="1" fillId="2" borderId="0" xfId="0" applyFont="1" applyFill="1"/>
    <xf numFmtId="166" fontId="1" fillId="0" borderId="0" xfId="0" applyFont="1" applyAlignment="1">
      <alignment horizontal="left"/>
    </xf>
    <xf numFmtId="166" fontId="135" fillId="0" borderId="11" xfId="0" applyFont="1" applyFill="1" applyBorder="1" applyAlignment="1">
      <alignment horizontal="center"/>
    </xf>
    <xf numFmtId="166" fontId="135" fillId="0" borderId="13" xfId="0" applyFont="1" applyFill="1" applyBorder="1" applyAlignment="1">
      <alignment horizontal="left"/>
    </xf>
    <xf numFmtId="3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vertical="center" wrapText="1"/>
    </xf>
    <xf numFmtId="39"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wrapText="1"/>
    </xf>
    <xf numFmtId="167" fontId="6" fillId="0" borderId="7" xfId="0" applyNumberFormat="1" applyFont="1" applyFill="1" applyBorder="1" applyAlignment="1" applyProtection="1">
      <alignment horizontal="center"/>
    </xf>
    <xf numFmtId="1" fontId="95" fillId="0" borderId="0" xfId="0" applyNumberFormat="1" applyFont="1" applyFill="1" applyAlignment="1">
      <alignment horizontal="center" vertical="center"/>
    </xf>
    <xf numFmtId="1" fontId="69" fillId="14" borderId="8" xfId="0" applyNumberFormat="1" applyFont="1" applyFill="1" applyBorder="1" applyAlignment="1" applyProtection="1">
      <alignment horizontal="center"/>
      <protection locked="0"/>
    </xf>
    <xf numFmtId="168" fontId="16" fillId="14" borderId="9" xfId="0" applyNumberFormat="1" applyFont="1" applyFill="1" applyBorder="1" applyAlignment="1" applyProtection="1">
      <alignment horizontal="center"/>
      <protection locked="0"/>
    </xf>
    <xf numFmtId="168" fontId="6" fillId="14" borderId="9" xfId="0" applyNumberFormat="1" applyFont="1" applyFill="1" applyBorder="1" applyAlignment="1" applyProtection="1">
      <alignment horizontal="center"/>
      <protection locked="0"/>
    </xf>
    <xf numFmtId="1" fontId="6" fillId="14" borderId="9" xfId="0" applyNumberFormat="1" applyFont="1" applyFill="1" applyBorder="1" applyAlignment="1" applyProtection="1">
      <alignment horizontal="center"/>
      <protection locked="0"/>
    </xf>
    <xf numFmtId="1" fontId="143" fillId="18" borderId="0" xfId="0" applyNumberFormat="1" applyFont="1" applyFill="1" applyBorder="1" applyAlignment="1" applyProtection="1">
      <alignment horizontal="center"/>
      <protection locked="0"/>
    </xf>
    <xf numFmtId="1" fontId="60" fillId="14" borderId="10" xfId="0" applyNumberFormat="1" applyFont="1" applyFill="1" applyBorder="1" applyAlignment="1" applyProtection="1">
      <alignment horizontal="center"/>
      <protection locked="0"/>
    </xf>
    <xf numFmtId="168" fontId="60" fillId="14" borderId="0" xfId="0" applyNumberFormat="1" applyFont="1" applyFill="1" applyBorder="1" applyAlignment="1" applyProtection="1">
      <alignment horizontal="center"/>
      <protection locked="0"/>
    </xf>
    <xf numFmtId="1" fontId="60" fillId="14" borderId="0" xfId="0" applyNumberFormat="1" applyFont="1" applyFill="1" applyBorder="1" applyAlignment="1" applyProtection="1">
      <alignment horizontal="center"/>
      <protection locked="0"/>
    </xf>
    <xf numFmtId="168" fontId="6" fillId="14" borderId="0" xfId="0" applyNumberFormat="1" applyFont="1" applyFill="1" applyBorder="1" applyAlignment="1" applyProtection="1">
      <alignment horizontal="center"/>
      <protection locked="0"/>
    </xf>
    <xf numFmtId="1" fontId="6" fillId="14" borderId="0" xfId="0" applyNumberFormat="1" applyFont="1" applyFill="1" applyBorder="1" applyAlignment="1" applyProtection="1">
      <alignment horizontal="center"/>
      <protection locked="0"/>
    </xf>
    <xf numFmtId="168" fontId="65" fillId="18" borderId="0" xfId="0" applyNumberFormat="1" applyFont="1" applyFill="1" applyBorder="1" applyAlignment="1" applyProtection="1">
      <alignment horizontal="center"/>
      <protection locked="0"/>
    </xf>
    <xf numFmtId="1" fontId="65" fillId="18" borderId="0" xfId="0" applyNumberFormat="1" applyFont="1" applyFill="1" applyBorder="1" applyAlignment="1" applyProtection="1">
      <alignment horizontal="center"/>
      <protection locked="0"/>
    </xf>
    <xf numFmtId="1" fontId="122" fillId="14" borderId="0" xfId="0" applyNumberFormat="1" applyFont="1" applyFill="1" applyBorder="1" applyProtection="1">
      <protection locked="0"/>
    </xf>
    <xf numFmtId="168" fontId="122" fillId="14" borderId="0" xfId="0" applyNumberFormat="1" applyFont="1" applyFill="1" applyBorder="1" applyProtection="1">
      <protection locked="0"/>
    </xf>
    <xf numFmtId="1" fontId="6" fillId="14" borderId="0" xfId="0" applyNumberFormat="1" applyFont="1" applyFill="1" applyBorder="1" applyProtection="1">
      <protection locked="0"/>
    </xf>
    <xf numFmtId="168" fontId="6" fillId="14" borderId="0" xfId="0" applyNumberFormat="1" applyFont="1" applyFill="1" applyBorder="1" applyProtection="1">
      <protection locked="0"/>
    </xf>
    <xf numFmtId="168" fontId="3" fillId="18" borderId="0" xfId="0" applyNumberFormat="1" applyFont="1" applyFill="1" applyBorder="1" applyAlignment="1" applyProtection="1">
      <alignment horizontal="center"/>
      <protection locked="0"/>
    </xf>
    <xf numFmtId="1" fontId="3" fillId="18" borderId="0" xfId="0" applyNumberFormat="1" applyFont="1" applyFill="1" applyBorder="1" applyAlignment="1" applyProtection="1">
      <alignment horizontal="center"/>
      <protection locked="0"/>
    </xf>
    <xf numFmtId="37" fontId="6" fillId="17" borderId="0" xfId="0" applyNumberFormat="1" applyFont="1" applyFill="1" applyBorder="1" applyAlignment="1" applyProtection="1">
      <alignment horizontal="right" vertical="center"/>
    </xf>
    <xf numFmtId="173" fontId="16" fillId="14" borderId="9" xfId="1" applyNumberFormat="1" applyFont="1" applyFill="1" applyBorder="1" applyAlignment="1" applyProtection="1">
      <alignment horizontal="center"/>
      <protection locked="0"/>
    </xf>
    <xf numFmtId="173" fontId="60" fillId="14" borderId="0" xfId="1" applyNumberFormat="1" applyFont="1" applyFill="1" applyBorder="1" applyAlignment="1" applyProtection="1">
      <alignment horizontal="center"/>
      <protection locked="0"/>
    </xf>
    <xf numFmtId="173" fontId="65" fillId="18" borderId="0" xfId="1" applyNumberFormat="1" applyFont="1" applyFill="1" applyBorder="1" applyAlignment="1" applyProtection="1">
      <alignment horizontal="center"/>
      <protection locked="0"/>
    </xf>
    <xf numFmtId="168" fontId="122" fillId="14" borderId="0" xfId="0" applyNumberFormat="1" applyFont="1" applyFill="1" applyBorder="1" applyAlignment="1" applyProtection="1">
      <alignment horizontal="center"/>
      <protection locked="0"/>
    </xf>
    <xf numFmtId="1" fontId="69" fillId="0" borderId="10" xfId="0" applyNumberFormat="1" applyFont="1" applyFill="1" applyBorder="1" applyAlignment="1" applyProtection="1">
      <alignment horizontal="center"/>
      <protection locked="0"/>
    </xf>
    <xf numFmtId="1" fontId="123" fillId="0" borderId="10" xfId="0" applyNumberFormat="1" applyFont="1" applyFill="1" applyBorder="1" applyAlignment="1" applyProtection="1">
      <alignment horizontal="center"/>
      <protection locked="0"/>
    </xf>
    <xf numFmtId="1" fontId="65" fillId="0" borderId="11" xfId="0" applyNumberFormat="1" applyFont="1" applyFill="1" applyBorder="1" applyAlignment="1" applyProtection="1">
      <alignment horizontal="center"/>
      <protection locked="0"/>
    </xf>
    <xf numFmtId="168" fontId="48" fillId="0" borderId="0" xfId="0" applyNumberFormat="1" applyFont="1" applyFill="1" applyBorder="1" applyAlignment="1" applyProtection="1">
      <alignment horizontal="center"/>
      <protection locked="0"/>
    </xf>
    <xf numFmtId="168" fontId="1" fillId="0" borderId="0" xfId="0" applyNumberFormat="1" applyFont="1" applyFill="1" applyBorder="1" applyAlignment="1" applyProtection="1">
      <alignment horizontal="center"/>
      <protection locked="0"/>
    </xf>
    <xf numFmtId="168" fontId="16" fillId="0" borderId="0" xfId="0" applyNumberFormat="1" applyFont="1" applyFill="1" applyBorder="1" applyAlignment="1" applyProtection="1">
      <alignment horizontal="center"/>
      <protection locked="0"/>
    </xf>
    <xf numFmtId="1" fontId="3" fillId="14" borderId="0" xfId="0" applyNumberFormat="1" applyFont="1" applyFill="1" applyBorder="1" applyAlignment="1" applyProtection="1">
      <alignment horizontal="center"/>
      <protection locked="0"/>
    </xf>
    <xf numFmtId="176" fontId="143" fillId="18" borderId="0" xfId="1" applyNumberFormat="1" applyFont="1" applyFill="1" applyBorder="1" applyAlignment="1" applyProtection="1">
      <alignment horizontal="center"/>
      <protection locked="0"/>
    </xf>
    <xf numFmtId="176" fontId="138" fillId="18" borderId="0" xfId="1" applyNumberFormat="1" applyFont="1" applyFill="1" applyBorder="1" applyAlignment="1" applyProtection="1">
      <alignment horizontal="center"/>
      <protection locked="0"/>
    </xf>
    <xf numFmtId="171" fontId="8" fillId="18" borderId="0" xfId="0" applyNumberFormat="1" applyFont="1" applyFill="1" applyBorder="1" applyAlignment="1" applyProtection="1">
      <alignment horizontal="center" vertical="center"/>
    </xf>
    <xf numFmtId="171" fontId="8" fillId="18" borderId="0" xfId="0" applyNumberFormat="1" applyFont="1" applyFill="1" applyBorder="1" applyAlignment="1" applyProtection="1">
      <alignment horizontal="center"/>
    </xf>
    <xf numFmtId="166" fontId="16" fillId="17" borderId="0" xfId="0" applyFont="1" applyFill="1" applyBorder="1" applyAlignment="1">
      <alignment horizontal="center"/>
    </xf>
    <xf numFmtId="166" fontId="1" fillId="17" borderId="0" xfId="0" applyFont="1" applyFill="1" applyBorder="1" applyAlignment="1">
      <alignment horizontal="center"/>
    </xf>
    <xf numFmtId="166" fontId="144" fillId="17" borderId="0" xfId="0" applyFont="1" applyFill="1" applyBorder="1" applyAlignment="1" applyProtection="1">
      <alignment horizontal="left" vertical="center"/>
      <protection locked="0"/>
    </xf>
    <xf numFmtId="166" fontId="3" fillId="17" borderId="0" xfId="0" applyFont="1" applyFill="1" applyBorder="1"/>
    <xf numFmtId="166" fontId="48" fillId="17" borderId="0" xfId="0" applyFont="1" applyFill="1" applyBorder="1" applyAlignment="1">
      <alignment horizontal="center"/>
    </xf>
    <xf numFmtId="166" fontId="83" fillId="17" borderId="24" xfId="0" applyFont="1" applyFill="1" applyBorder="1" applyAlignment="1">
      <alignment horizontal="left"/>
    </xf>
    <xf numFmtId="166" fontId="84" fillId="17" borderId="0" xfId="0" applyFont="1" applyFill="1" applyBorder="1" applyAlignment="1">
      <alignment horizontal="center"/>
    </xf>
    <xf numFmtId="166" fontId="85" fillId="17" borderId="0" xfId="0" applyFont="1" applyFill="1" applyBorder="1"/>
    <xf numFmtId="169" fontId="86" fillId="17" borderId="0" xfId="5" applyNumberFormat="1" applyFont="1" applyFill="1" applyBorder="1" applyAlignment="1">
      <alignment horizontal="center"/>
    </xf>
    <xf numFmtId="9" fontId="85" fillId="17" borderId="0" xfId="0" applyNumberFormat="1" applyFont="1" applyFill="1" applyBorder="1" applyAlignment="1" applyProtection="1">
      <alignment horizontal="right"/>
    </xf>
    <xf numFmtId="166" fontId="1" fillId="2" borderId="0" xfId="0" applyFont="1" applyFill="1" applyBorder="1" applyAlignment="1">
      <alignment horizontal="right"/>
    </xf>
    <xf numFmtId="168" fontId="3" fillId="14" borderId="21" xfId="0" applyNumberFormat="1" applyFont="1" applyFill="1" applyBorder="1" applyAlignment="1" applyProtection="1">
      <alignment horizontal="center"/>
    </xf>
    <xf numFmtId="168" fontId="8" fillId="14" borderId="21" xfId="0" applyNumberFormat="1" applyFont="1" applyFill="1" applyBorder="1" applyAlignment="1" applyProtection="1">
      <alignment horizontal="center"/>
    </xf>
    <xf numFmtId="168" fontId="8" fillId="21" borderId="21" xfId="0" applyNumberFormat="1" applyFont="1" applyFill="1" applyBorder="1" applyAlignment="1" applyProtection="1">
      <alignment horizontal="center"/>
    </xf>
    <xf numFmtId="168" fontId="3" fillId="21" borderId="21" xfId="0" applyNumberFormat="1" applyFont="1" applyFill="1" applyBorder="1" applyAlignment="1">
      <alignment horizontal="center"/>
    </xf>
    <xf numFmtId="168" fontId="3" fillId="22" borderId="21" xfId="0" applyNumberFormat="1" applyFont="1" applyFill="1" applyBorder="1" applyAlignment="1" applyProtection="1">
      <alignment horizontal="center"/>
    </xf>
    <xf numFmtId="168" fontId="3" fillId="23" borderId="21" xfId="0" applyNumberFormat="1" applyFont="1" applyFill="1" applyBorder="1" applyAlignment="1" applyProtection="1">
      <alignment horizontal="center"/>
    </xf>
    <xf numFmtId="168" fontId="3" fillId="23" borderId="21" xfId="0" applyNumberFormat="1" applyFont="1" applyFill="1" applyBorder="1" applyAlignment="1">
      <alignment horizontal="center"/>
    </xf>
    <xf numFmtId="168" fontId="3" fillId="24" borderId="21" xfId="0" applyNumberFormat="1" applyFont="1" applyFill="1" applyBorder="1" applyAlignment="1" applyProtection="1">
      <alignment horizontal="center"/>
    </xf>
    <xf numFmtId="168" fontId="3" fillId="24" borderId="21" xfId="0" applyNumberFormat="1" applyFont="1" applyFill="1" applyBorder="1" applyAlignment="1">
      <alignment horizontal="center"/>
    </xf>
    <xf numFmtId="168" fontId="3" fillId="17" borderId="21" xfId="0" applyNumberFormat="1" applyFont="1" applyFill="1" applyBorder="1" applyAlignment="1" applyProtection="1">
      <alignment horizontal="center"/>
    </xf>
    <xf numFmtId="168" fontId="4" fillId="17" borderId="21" xfId="0" applyNumberFormat="1" applyFont="1" applyFill="1" applyBorder="1" applyAlignment="1" applyProtection="1">
      <alignment horizontal="center"/>
    </xf>
    <xf numFmtId="168" fontId="4" fillId="14" borderId="21" xfId="0" applyNumberFormat="1" applyFont="1" applyFill="1" applyBorder="1" applyAlignment="1" applyProtection="1">
      <alignment horizontal="center"/>
    </xf>
    <xf numFmtId="168" fontId="138" fillId="14" borderId="21" xfId="0" applyNumberFormat="1" applyFont="1" applyFill="1" applyBorder="1" applyAlignment="1" applyProtection="1">
      <alignment horizontal="center"/>
    </xf>
    <xf numFmtId="168" fontId="3" fillId="21" borderId="21" xfId="0" applyNumberFormat="1" applyFont="1" applyFill="1" applyBorder="1" applyAlignment="1" applyProtection="1">
      <alignment horizontal="center"/>
    </xf>
    <xf numFmtId="168" fontId="4" fillId="22" borderId="21" xfId="0" applyNumberFormat="1" applyFont="1" applyFill="1" applyBorder="1" applyAlignment="1" applyProtection="1">
      <alignment horizontal="center"/>
    </xf>
    <xf numFmtId="168" fontId="4" fillId="22" borderId="21" xfId="5" applyNumberFormat="1" applyFont="1" applyFill="1" applyBorder="1" applyAlignment="1" applyProtection="1">
      <alignment horizontal="center"/>
    </xf>
    <xf numFmtId="168" fontId="3" fillId="0" borderId="74" xfId="0" applyNumberFormat="1" applyFont="1" applyFill="1" applyBorder="1" applyAlignment="1" applyProtection="1">
      <alignment horizontal="center"/>
    </xf>
    <xf numFmtId="168" fontId="3" fillId="0" borderId="74" xfId="0" applyNumberFormat="1" applyFont="1" applyFill="1" applyBorder="1"/>
    <xf numFmtId="168" fontId="3" fillId="0" borderId="21" xfId="0" applyNumberFormat="1" applyFont="1" applyFill="1" applyBorder="1" applyAlignment="1" applyProtection="1">
      <alignment horizontal="center"/>
    </xf>
    <xf numFmtId="168" fontId="3" fillId="0" borderId="21" xfId="0" applyNumberFormat="1" applyFont="1" applyFill="1" applyBorder="1"/>
    <xf numFmtId="168" fontId="3" fillId="0" borderId="21" xfId="0" applyNumberFormat="1" applyFont="1" applyFill="1" applyBorder="1" applyAlignment="1">
      <alignment horizontal="center"/>
    </xf>
    <xf numFmtId="168" fontId="3" fillId="0" borderId="75" xfId="0" applyNumberFormat="1" applyFont="1" applyFill="1" applyBorder="1" applyAlignment="1">
      <alignment horizontal="center"/>
    </xf>
    <xf numFmtId="168" fontId="3" fillId="0" borderId="75" xfId="0" applyNumberFormat="1" applyFont="1" applyFill="1" applyBorder="1"/>
    <xf numFmtId="166" fontId="104" fillId="23" borderId="21" xfId="0" applyFont="1" applyFill="1" applyBorder="1" applyAlignment="1"/>
    <xf numFmtId="166" fontId="87" fillId="17" borderId="21" xfId="0" applyFont="1" applyFill="1" applyBorder="1" applyAlignment="1">
      <alignment wrapText="1"/>
    </xf>
    <xf numFmtId="166" fontId="87" fillId="17" borderId="21" xfId="0" applyFont="1" applyFill="1" applyBorder="1"/>
    <xf numFmtId="166" fontId="104" fillId="22" borderId="21" xfId="0" applyFont="1" applyFill="1" applyBorder="1" applyAlignment="1">
      <alignment horizontal="left" wrapText="1"/>
    </xf>
    <xf numFmtId="166" fontId="104" fillId="21" borderId="21" xfId="0" applyFont="1" applyFill="1" applyBorder="1" applyAlignment="1">
      <alignment horizontal="left"/>
    </xf>
    <xf numFmtId="166" fontId="87" fillId="17" borderId="21" xfId="0" applyFont="1" applyFill="1" applyBorder="1" applyAlignment="1"/>
    <xf numFmtId="166" fontId="87" fillId="21" borderId="21" xfId="0" applyFont="1" applyFill="1" applyBorder="1" applyAlignment="1"/>
    <xf numFmtId="166" fontId="104" fillId="22" borderId="21" xfId="0" applyFont="1" applyFill="1" applyBorder="1" applyAlignment="1">
      <alignment wrapText="1"/>
    </xf>
    <xf numFmtId="166" fontId="104" fillId="17" borderId="21" xfId="0" applyFont="1" applyFill="1" applyBorder="1" applyAlignment="1"/>
    <xf numFmtId="166" fontId="101" fillId="21" borderId="10" xfId="0" applyFont="1" applyFill="1" applyBorder="1" applyAlignment="1" applyProtection="1">
      <alignment horizontal="left"/>
    </xf>
    <xf numFmtId="1" fontId="3" fillId="14" borderId="21" xfId="0" applyNumberFormat="1" applyFont="1" applyFill="1" applyBorder="1" applyAlignment="1">
      <alignment horizontal="center"/>
    </xf>
    <xf numFmtId="170" fontId="3" fillId="13" borderId="0" xfId="0" applyNumberFormat="1" applyFont="1" applyFill="1" applyBorder="1" applyAlignment="1" applyProtection="1">
      <alignment horizontal="center" vertical="center"/>
      <protection hidden="1"/>
    </xf>
    <xf numFmtId="39" fontId="3" fillId="13" borderId="0" xfId="0" applyNumberFormat="1" applyFont="1" applyFill="1" applyBorder="1" applyAlignment="1" applyProtection="1">
      <alignment horizontal="center" vertical="center"/>
      <protection hidden="1"/>
    </xf>
    <xf numFmtId="2" fontId="3" fillId="14" borderId="21" xfId="0" applyNumberFormat="1" applyFont="1" applyFill="1" applyBorder="1" applyAlignment="1" applyProtection="1">
      <alignment horizontal="center"/>
    </xf>
    <xf numFmtId="170" fontId="3" fillId="13" borderId="6" xfId="0" applyNumberFormat="1" applyFont="1" applyFill="1" applyBorder="1" applyAlignment="1" applyProtection="1">
      <alignment horizontal="center" vertical="center"/>
      <protection hidden="1"/>
    </xf>
    <xf numFmtId="170" fontId="3" fillId="13" borderId="7" xfId="0" applyNumberFormat="1" applyFont="1" applyFill="1" applyBorder="1" applyAlignment="1" applyProtection="1">
      <alignment horizontal="center" vertical="center"/>
      <protection hidden="1"/>
    </xf>
    <xf numFmtId="9" fontId="6" fillId="0" borderId="7" xfId="0" applyNumberFormat="1" applyFont="1" applyFill="1" applyBorder="1" applyAlignment="1" applyProtection="1">
      <alignment horizontal="center" vertical="center"/>
      <protection hidden="1"/>
    </xf>
    <xf numFmtId="167" fontId="3" fillId="17" borderId="7" xfId="0" applyNumberFormat="1" applyFont="1" applyFill="1" applyBorder="1" applyAlignment="1" applyProtection="1">
      <alignment horizontal="center"/>
      <protection hidden="1"/>
    </xf>
    <xf numFmtId="9" fontId="6" fillId="17" borderId="7" xfId="0" applyNumberFormat="1" applyFont="1" applyFill="1" applyBorder="1" applyAlignment="1" applyProtection="1">
      <alignment horizontal="right"/>
    </xf>
    <xf numFmtId="9" fontId="85" fillId="17" borderId="7" xfId="0" applyNumberFormat="1" applyFont="1" applyFill="1" applyBorder="1" applyAlignment="1" applyProtection="1">
      <alignment horizontal="right"/>
    </xf>
    <xf numFmtId="166" fontId="3" fillId="17" borderId="7" xfId="0" applyFont="1" applyFill="1" applyBorder="1"/>
    <xf numFmtId="49" fontId="6" fillId="17" borderId="29" xfId="0" applyNumberFormat="1" applyFont="1" applyFill="1" applyBorder="1" applyAlignment="1" applyProtection="1">
      <alignment horizontal="center" vertical="center"/>
      <protection locked="0"/>
    </xf>
    <xf numFmtId="166" fontId="8" fillId="17" borderId="0" xfId="2" applyNumberFormat="1" applyFont="1" applyFill="1" applyBorder="1" applyAlignment="1" applyProtection="1">
      <alignment horizontal="right" vertical="center"/>
    </xf>
    <xf numFmtId="166" fontId="61" fillId="17" borderId="0" xfId="2" applyNumberFormat="1" applyFont="1" applyFill="1" applyBorder="1" applyAlignment="1" applyProtection="1">
      <alignment horizontal="right" vertical="center"/>
    </xf>
    <xf numFmtId="166" fontId="16" fillId="17" borderId="0" xfId="0" applyFont="1" applyFill="1" applyBorder="1" applyAlignment="1">
      <alignment horizontal="right" vertical="center"/>
    </xf>
    <xf numFmtId="0" fontId="16" fillId="2" borderId="0" xfId="0" applyNumberFormat="1" applyFont="1" applyFill="1" applyBorder="1" applyAlignment="1" applyProtection="1">
      <protection hidden="1"/>
    </xf>
    <xf numFmtId="0" fontId="60" fillId="0" borderId="0" xfId="0" applyNumberFormat="1" applyFont="1" applyProtection="1">
      <protection hidden="1"/>
    </xf>
    <xf numFmtId="177" fontId="145" fillId="0" borderId="0" xfId="0" applyNumberFormat="1" applyFont="1" applyAlignment="1">
      <alignment horizontal="left"/>
    </xf>
    <xf numFmtId="177" fontId="16" fillId="2" borderId="0" xfId="0" applyNumberFormat="1" applyFont="1" applyFill="1" applyAlignment="1">
      <alignment horizontal="left"/>
    </xf>
    <xf numFmtId="177" fontId="146" fillId="0" borderId="0" xfId="0" applyNumberFormat="1" applyFont="1" applyProtection="1">
      <protection hidden="1"/>
    </xf>
    <xf numFmtId="166" fontId="3" fillId="0" borderId="0" xfId="0" applyFont="1" applyFill="1" applyBorder="1" applyProtection="1">
      <protection locked="0"/>
    </xf>
    <xf numFmtId="177" fontId="3" fillId="0" borderId="0" xfId="0" applyNumberFormat="1" applyFont="1" applyFill="1" applyBorder="1" applyProtection="1">
      <protection locked="0"/>
    </xf>
    <xf numFmtId="166" fontId="136" fillId="0" borderId="0" xfId="0" applyFont="1"/>
    <xf numFmtId="166" fontId="8" fillId="17" borderId="81" xfId="2" applyNumberFormat="1" applyFont="1" applyFill="1" applyBorder="1" applyAlignment="1" applyProtection="1">
      <alignment horizontal="left" vertical="center"/>
    </xf>
    <xf numFmtId="166" fontId="0" fillId="0" borderId="76" xfId="0" applyBorder="1"/>
    <xf numFmtId="166" fontId="0" fillId="0" borderId="82" xfId="0" applyBorder="1"/>
    <xf numFmtId="166" fontId="0" fillId="0" borderId="83" xfId="0" applyBorder="1"/>
    <xf numFmtId="166" fontId="0" fillId="0" borderId="76" xfId="0" pivotButton="1" applyBorder="1"/>
    <xf numFmtId="166" fontId="0" fillId="0" borderId="84" xfId="0" applyBorder="1"/>
    <xf numFmtId="166" fontId="0" fillId="0" borderId="77" xfId="0" applyBorder="1"/>
    <xf numFmtId="166" fontId="0" fillId="0" borderId="84" xfId="0" applyNumberFormat="1" applyBorder="1"/>
    <xf numFmtId="166" fontId="0" fillId="0" borderId="85" xfId="0" applyNumberFormat="1" applyBorder="1"/>
    <xf numFmtId="166" fontId="0" fillId="0" borderId="76" xfId="0" applyNumberFormat="1" applyBorder="1"/>
    <xf numFmtId="166" fontId="0" fillId="0" borderId="77" xfId="0" applyNumberFormat="1" applyBorder="1"/>
    <xf numFmtId="166" fontId="0" fillId="0" borderId="86" xfId="0" pivotButton="1" applyBorder="1"/>
    <xf numFmtId="166" fontId="0" fillId="0" borderId="86" xfId="0" applyBorder="1"/>
    <xf numFmtId="14" fontId="0" fillId="0" borderId="76" xfId="0" applyNumberFormat="1" applyBorder="1"/>
    <xf numFmtId="166" fontId="0" fillId="0" borderId="32" xfId="0" applyBorder="1"/>
    <xf numFmtId="166" fontId="0" fillId="0" borderId="32" xfId="0" applyNumberFormat="1" applyBorder="1"/>
    <xf numFmtId="166" fontId="0" fillId="0" borderId="87" xfId="0" applyBorder="1"/>
    <xf numFmtId="166" fontId="0" fillId="0" borderId="88" xfId="0" applyNumberFormat="1" applyBorder="1"/>
    <xf numFmtId="166" fontId="137" fillId="0" borderId="0" xfId="0" applyFont="1"/>
    <xf numFmtId="9" fontId="0" fillId="0" borderId="76" xfId="0" applyNumberFormat="1" applyBorder="1"/>
    <xf numFmtId="9" fontId="0" fillId="0" borderId="77" xfId="0" applyNumberFormat="1" applyBorder="1"/>
    <xf numFmtId="9" fontId="0" fillId="0" borderId="32" xfId="0" applyNumberFormat="1" applyBorder="1"/>
    <xf numFmtId="9" fontId="0" fillId="0" borderId="84" xfId="0" applyNumberFormat="1" applyBorder="1"/>
    <xf numFmtId="9" fontId="0" fillId="0" borderId="85" xfId="0" applyNumberFormat="1" applyBorder="1"/>
    <xf numFmtId="9" fontId="0" fillId="0" borderId="88" xfId="0" applyNumberFormat="1" applyBorder="1"/>
    <xf numFmtId="166" fontId="136" fillId="0" borderId="0" xfId="0" applyFont="1"/>
    <xf numFmtId="166" fontId="135" fillId="17" borderId="12" xfId="0" applyFont="1" applyFill="1" applyBorder="1" applyAlignment="1">
      <alignment horizontal="center" wrapText="1"/>
    </xf>
    <xf numFmtId="166" fontId="135" fillId="0" borderId="0" xfId="0" applyFont="1" applyAlignment="1">
      <alignment horizontal="center" wrapText="1"/>
    </xf>
    <xf numFmtId="166" fontId="135" fillId="17" borderId="0" xfId="0" applyFont="1" applyFill="1" applyBorder="1" applyAlignment="1">
      <alignment horizontal="right"/>
    </xf>
    <xf numFmtId="166" fontId="136" fillId="17" borderId="0" xfId="0" applyFont="1" applyFill="1"/>
    <xf numFmtId="166" fontId="136" fillId="13" borderId="0" xfId="0" applyFont="1" applyFill="1" applyBorder="1"/>
    <xf numFmtId="166" fontId="136" fillId="13" borderId="0" xfId="0" applyFont="1" applyFill="1"/>
    <xf numFmtId="166" fontId="8" fillId="17" borderId="0" xfId="2" applyNumberFormat="1" applyFont="1" applyFill="1" applyBorder="1" applyAlignment="1" applyProtection="1">
      <protection hidden="1"/>
    </xf>
    <xf numFmtId="9" fontId="147" fillId="17" borderId="0" xfId="5" applyFont="1" applyFill="1" applyBorder="1" applyAlignment="1" applyProtection="1">
      <alignment vertical="center"/>
      <protection hidden="1"/>
    </xf>
    <xf numFmtId="166" fontId="136" fillId="17" borderId="8" xfId="0" applyFont="1" applyFill="1" applyBorder="1"/>
    <xf numFmtId="166" fontId="136" fillId="17" borderId="9" xfId="0" applyFont="1" applyFill="1" applyBorder="1"/>
    <xf numFmtId="166" fontId="136" fillId="17" borderId="6" xfId="0" applyFont="1" applyFill="1" applyBorder="1"/>
    <xf numFmtId="166" fontId="135" fillId="17" borderId="10" xfId="0" applyFont="1" applyFill="1" applyBorder="1" applyAlignment="1">
      <alignment horizontal="right"/>
    </xf>
    <xf numFmtId="166" fontId="136" fillId="17" borderId="0" xfId="0" applyFont="1" applyFill="1" applyBorder="1"/>
    <xf numFmtId="166" fontId="136" fillId="17" borderId="7" xfId="0" applyFont="1" applyFill="1" applyBorder="1"/>
    <xf numFmtId="166" fontId="136" fillId="17" borderId="12" xfId="0" applyFont="1" applyFill="1" applyBorder="1"/>
    <xf numFmtId="166" fontId="136" fillId="17" borderId="13" xfId="0" applyFont="1" applyFill="1" applyBorder="1"/>
    <xf numFmtId="3" fontId="135" fillId="17" borderId="12" xfId="0" applyNumberFormat="1" applyFont="1" applyFill="1" applyBorder="1" applyAlignment="1">
      <alignment horizontal="left"/>
    </xf>
    <xf numFmtId="166" fontId="136" fillId="0" borderId="0" xfId="0" applyFont="1" applyFill="1"/>
    <xf numFmtId="166" fontId="135" fillId="17" borderId="11" xfId="0" applyFont="1" applyFill="1" applyBorder="1" applyAlignment="1">
      <alignment horizontal="right"/>
    </xf>
    <xf numFmtId="166" fontId="135" fillId="17" borderId="12" xfId="0" applyFont="1" applyFill="1" applyBorder="1" applyAlignment="1">
      <alignment horizontal="right"/>
    </xf>
    <xf numFmtId="166" fontId="136" fillId="0" borderId="23" xfId="0" applyFont="1" applyFill="1" applyBorder="1"/>
    <xf numFmtId="3" fontId="135" fillId="17" borderId="0" xfId="0" applyNumberFormat="1" applyFont="1" applyFill="1" applyBorder="1" applyAlignment="1">
      <alignment horizontal="left"/>
    </xf>
    <xf numFmtId="3" fontId="136" fillId="13" borderId="0" xfId="0" applyNumberFormat="1" applyFont="1" applyFill="1" applyBorder="1" applyAlignment="1">
      <alignment horizontal="center"/>
    </xf>
    <xf numFmtId="166" fontId="45" fillId="16" borderId="8" xfId="0" applyFont="1" applyFill="1" applyBorder="1" applyAlignment="1" applyProtection="1">
      <alignment horizontal="center"/>
    </xf>
    <xf numFmtId="166" fontId="16" fillId="17" borderId="6" xfId="0" applyFont="1" applyFill="1" applyBorder="1" applyAlignment="1">
      <alignment horizontal="left"/>
    </xf>
    <xf numFmtId="167" fontId="61" fillId="16" borderId="11" xfId="2" applyNumberFormat="1" applyFont="1" applyFill="1" applyBorder="1" applyAlignment="1" applyProtection="1">
      <alignment horizontal="center" vertical="center" wrapText="1"/>
    </xf>
    <xf numFmtId="167" fontId="61" fillId="16" borderId="12" xfId="2" applyNumberFormat="1" applyFont="1" applyFill="1" applyBorder="1" applyAlignment="1" applyProtection="1">
      <alignment horizontal="center" vertical="center" wrapText="1"/>
    </xf>
    <xf numFmtId="37" fontId="6" fillId="16" borderId="12" xfId="0" applyNumberFormat="1" applyFont="1" applyFill="1" applyBorder="1" applyAlignment="1" applyProtection="1">
      <alignment horizontal="center" vertical="top"/>
    </xf>
    <xf numFmtId="167" fontId="6" fillId="16" borderId="12" xfId="0" applyNumberFormat="1" applyFont="1" applyFill="1" applyBorder="1" applyAlignment="1" applyProtection="1">
      <alignment horizontal="center" vertical="top"/>
    </xf>
    <xf numFmtId="39" fontId="6" fillId="16" borderId="12" xfId="0" applyNumberFormat="1" applyFont="1" applyFill="1" applyBorder="1" applyAlignment="1" applyProtection="1">
      <alignment horizontal="center" vertical="top"/>
    </xf>
    <xf numFmtId="39" fontId="6" fillId="16" borderId="13" xfId="0" applyNumberFormat="1" applyFont="1" applyFill="1" applyBorder="1" applyAlignment="1" applyProtection="1">
      <alignment horizontal="center" vertical="top"/>
    </xf>
    <xf numFmtId="166" fontId="13" fillId="11" borderId="0" xfId="0" applyFont="1" applyFill="1" applyBorder="1" applyAlignment="1">
      <alignment horizontal="justify" vertical="top" wrapText="1"/>
    </xf>
    <xf numFmtId="166" fontId="15" fillId="0" borderId="0" xfId="0" quotePrefix="1" applyFont="1" applyFill="1" applyBorder="1"/>
    <xf numFmtId="179" fontId="138" fillId="18" borderId="0" xfId="1" applyNumberFormat="1" applyFont="1" applyFill="1" applyBorder="1" applyAlignment="1" applyProtection="1">
      <alignment horizontal="center"/>
      <protection locked="0"/>
    </xf>
    <xf numFmtId="175" fontId="148" fillId="18" borderId="0" xfId="1" applyNumberFormat="1" applyFont="1" applyFill="1" applyBorder="1" applyAlignment="1" applyProtection="1">
      <alignment horizontal="right"/>
      <protection locked="0"/>
    </xf>
    <xf numFmtId="173" fontId="16" fillId="14" borderId="9" xfId="1" applyNumberFormat="1" applyFont="1" applyFill="1" applyBorder="1" applyAlignment="1" applyProtection="1">
      <alignment horizontal="right"/>
      <protection locked="0"/>
    </xf>
    <xf numFmtId="2" fontId="16" fillId="14" borderId="9" xfId="0" applyNumberFormat="1" applyFont="1" applyFill="1" applyBorder="1" applyAlignment="1" applyProtection="1">
      <alignment horizontal="right"/>
      <protection locked="0"/>
    </xf>
    <xf numFmtId="168" fontId="16" fillId="14" borderId="9" xfId="0" applyNumberFormat="1" applyFont="1" applyFill="1" applyBorder="1" applyAlignment="1" applyProtection="1">
      <alignment horizontal="right"/>
      <protection locked="0"/>
    </xf>
    <xf numFmtId="168" fontId="6" fillId="14" borderId="9" xfId="0" applyNumberFormat="1" applyFont="1" applyFill="1" applyBorder="1" applyAlignment="1" applyProtection="1">
      <alignment horizontal="right"/>
      <protection locked="0"/>
    </xf>
    <xf numFmtId="1" fontId="143" fillId="18" borderId="0" xfId="1" applyNumberFormat="1" applyFont="1" applyFill="1" applyBorder="1" applyAlignment="1" applyProtection="1">
      <alignment horizontal="right"/>
      <protection locked="0"/>
    </xf>
    <xf numFmtId="178" fontId="148" fillId="18" borderId="0" xfId="1" applyNumberFormat="1" applyFont="1" applyFill="1" applyBorder="1" applyAlignment="1" applyProtection="1">
      <alignment horizontal="right"/>
      <protection locked="0"/>
    </xf>
    <xf numFmtId="176" fontId="138" fillId="18" borderId="0" xfId="1" applyNumberFormat="1" applyFont="1" applyFill="1" applyBorder="1" applyAlignment="1" applyProtection="1">
      <alignment horizontal="right"/>
      <protection locked="0"/>
    </xf>
    <xf numFmtId="173" fontId="60" fillId="14" borderId="0" xfId="1" applyNumberFormat="1" applyFont="1" applyFill="1" applyBorder="1" applyAlignment="1" applyProtection="1">
      <alignment horizontal="right"/>
      <protection locked="0"/>
    </xf>
    <xf numFmtId="2" fontId="60" fillId="14" borderId="0" xfId="0" applyNumberFormat="1" applyFont="1" applyFill="1" applyBorder="1" applyAlignment="1" applyProtection="1">
      <alignment horizontal="right"/>
      <protection locked="0"/>
    </xf>
    <xf numFmtId="168" fontId="60" fillId="14" borderId="0" xfId="0" applyNumberFormat="1" applyFont="1" applyFill="1" applyBorder="1" applyAlignment="1" applyProtection="1">
      <alignment horizontal="right"/>
      <protection locked="0"/>
    </xf>
    <xf numFmtId="168" fontId="6" fillId="14" borderId="0" xfId="0" applyNumberFormat="1" applyFont="1" applyFill="1" applyBorder="1" applyAlignment="1" applyProtection="1">
      <alignment horizontal="right"/>
      <protection locked="0"/>
    </xf>
    <xf numFmtId="168" fontId="16" fillId="14" borderId="0" xfId="0" applyNumberFormat="1" applyFont="1" applyFill="1" applyBorder="1" applyAlignment="1" applyProtection="1">
      <alignment horizontal="right"/>
      <protection locked="0"/>
    </xf>
    <xf numFmtId="173" fontId="65" fillId="18" borderId="0" xfId="1" applyNumberFormat="1" applyFont="1" applyFill="1" applyBorder="1" applyAlignment="1" applyProtection="1">
      <alignment horizontal="right"/>
      <protection locked="0"/>
    </xf>
    <xf numFmtId="1" fontId="143" fillId="18" borderId="0" xfId="0" applyNumberFormat="1" applyFont="1" applyFill="1" applyBorder="1" applyAlignment="1" applyProtection="1">
      <alignment horizontal="right"/>
      <protection locked="0"/>
    </xf>
    <xf numFmtId="168" fontId="65" fillId="18" borderId="0" xfId="0" applyNumberFormat="1" applyFont="1" applyFill="1" applyBorder="1" applyAlignment="1" applyProtection="1">
      <alignment horizontal="right"/>
      <protection locked="0"/>
    </xf>
    <xf numFmtId="1" fontId="3" fillId="18"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right"/>
      <protection locked="0"/>
    </xf>
    <xf numFmtId="1" fontId="65" fillId="18" borderId="0" xfId="0" applyNumberFormat="1" applyFont="1" applyFill="1" applyBorder="1" applyAlignment="1" applyProtection="1">
      <alignment horizontal="right"/>
      <protection locked="0"/>
    </xf>
    <xf numFmtId="168" fontId="3" fillId="14"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center"/>
      <protection locked="0"/>
    </xf>
    <xf numFmtId="168" fontId="3" fillId="14" borderId="0" xfId="0" applyNumberFormat="1" applyFont="1" applyFill="1" applyBorder="1" applyAlignment="1" applyProtection="1">
      <alignment horizontal="center"/>
      <protection locked="0"/>
    </xf>
    <xf numFmtId="176" fontId="138" fillId="18" borderId="13" xfId="1" applyNumberFormat="1" applyFont="1" applyFill="1" applyBorder="1" applyAlignment="1" applyProtection="1">
      <alignment horizontal="right"/>
      <protection locked="0"/>
    </xf>
    <xf numFmtId="168" fontId="1" fillId="18" borderId="0" xfId="0" applyNumberFormat="1" applyFont="1" applyFill="1" applyBorder="1" applyAlignment="1" applyProtection="1">
      <alignment horizontal="right"/>
      <protection locked="0"/>
    </xf>
    <xf numFmtId="0" fontId="135" fillId="17" borderId="12" xfId="0" applyNumberFormat="1" applyFont="1" applyFill="1" applyBorder="1" applyAlignment="1" applyProtection="1">
      <protection locked="0"/>
    </xf>
    <xf numFmtId="0" fontId="135" fillId="16" borderId="12" xfId="0" applyNumberFormat="1" applyFont="1" applyFill="1" applyBorder="1" applyAlignment="1" applyProtection="1">
      <protection locked="0"/>
    </xf>
    <xf numFmtId="0" fontId="130" fillId="16" borderId="12" xfId="2" applyNumberFormat="1" applyFont="1" applyFill="1" applyBorder="1" applyAlignment="1" applyProtection="1">
      <protection locked="0"/>
    </xf>
    <xf numFmtId="0" fontId="135" fillId="16" borderId="13" xfId="0" applyNumberFormat="1" applyFont="1" applyFill="1" applyBorder="1" applyAlignment="1" applyProtection="1">
      <protection locked="0"/>
    </xf>
    <xf numFmtId="0" fontId="136" fillId="0" borderId="0" xfId="0" applyNumberFormat="1" applyFont="1" applyAlignment="1" applyProtection="1">
      <protection locked="0"/>
    </xf>
    <xf numFmtId="14" fontId="136" fillId="0" borderId="0" xfId="0" applyNumberFormat="1" applyFont="1" applyAlignment="1" applyProtection="1">
      <protection locked="0"/>
    </xf>
    <xf numFmtId="170" fontId="6" fillId="17" borderId="9" xfId="0" applyNumberFormat="1" applyFont="1" applyFill="1" applyBorder="1" applyAlignment="1" applyProtection="1">
      <alignment horizontal="center" vertical="center"/>
    </xf>
    <xf numFmtId="170" fontId="6" fillId="17" borderId="6" xfId="0" applyNumberFormat="1" applyFont="1" applyFill="1" applyBorder="1" applyAlignment="1" applyProtection="1">
      <alignment horizontal="center" vertical="center"/>
    </xf>
    <xf numFmtId="166" fontId="59" fillId="0" borderId="0" xfId="0" applyFont="1" applyBorder="1"/>
    <xf numFmtId="167" fontId="80" fillId="0" borderId="0" xfId="0" applyNumberFormat="1" applyFont="1" applyFill="1" applyBorder="1" applyAlignment="1" applyProtection="1">
      <alignment horizontal="center" vertical="center" shrinkToFit="1"/>
    </xf>
    <xf numFmtId="167" fontId="80" fillId="0" borderId="0" xfId="2" applyNumberFormat="1" applyFont="1" applyFill="1" applyBorder="1" applyAlignment="1" applyProtection="1">
      <alignment horizontal="center" vertical="center" shrinkToFit="1"/>
    </xf>
    <xf numFmtId="166" fontId="0" fillId="2" borderId="0" xfId="0" applyFont="1" applyFill="1"/>
    <xf numFmtId="177" fontId="0" fillId="2" borderId="0" xfId="0" applyNumberFormat="1" applyFill="1"/>
    <xf numFmtId="177" fontId="149" fillId="2" borderId="0" xfId="0" applyNumberFormat="1" applyFont="1" applyFill="1" applyProtection="1">
      <protection hidden="1"/>
    </xf>
    <xf numFmtId="37" fontId="150" fillId="0" borderId="0" xfId="0" applyNumberFormat="1" applyFont="1" applyFill="1" applyBorder="1" applyAlignment="1" applyProtection="1">
      <alignment horizontal="center"/>
    </xf>
    <xf numFmtId="167" fontId="150" fillId="0" borderId="0" xfId="0" applyNumberFormat="1" applyFont="1" applyFill="1" applyBorder="1" applyAlignment="1" applyProtection="1">
      <alignment horizontal="center"/>
    </xf>
    <xf numFmtId="37" fontId="150" fillId="0" borderId="0" xfId="0" applyNumberFormat="1" applyFont="1" applyFill="1" applyBorder="1" applyAlignment="1" applyProtection="1">
      <alignment horizontal="center"/>
      <protection hidden="1"/>
    </xf>
    <xf numFmtId="39"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wrapText="1"/>
    </xf>
    <xf numFmtId="177" fontId="146" fillId="0" borderId="0" xfId="0" applyNumberFormat="1" applyFont="1" applyBorder="1" applyProtection="1">
      <protection hidden="1"/>
    </xf>
    <xf numFmtId="177" fontId="151" fillId="2" borderId="0" xfId="0" applyNumberFormat="1" applyFont="1" applyFill="1" applyProtection="1">
      <protection hidden="1"/>
    </xf>
    <xf numFmtId="167" fontId="150" fillId="0" borderId="0" xfId="0" applyNumberFormat="1" applyFont="1" applyFill="1" applyBorder="1" applyAlignment="1" applyProtection="1">
      <alignment horizontal="center" vertical="center" wrapText="1"/>
    </xf>
    <xf numFmtId="0" fontId="3" fillId="13" borderId="6" xfId="0" applyNumberFormat="1" applyFont="1" applyFill="1" applyBorder="1" applyProtection="1">
      <protection locked="0" hidden="1"/>
    </xf>
    <xf numFmtId="0" fontId="3" fillId="13" borderId="7" xfId="0" applyNumberFormat="1" applyFont="1" applyFill="1" applyBorder="1" applyProtection="1">
      <protection locked="0" hidden="1"/>
    </xf>
    <xf numFmtId="0" fontId="3" fillId="13" borderId="89" xfId="0" applyNumberFormat="1" applyFont="1" applyFill="1" applyBorder="1" applyProtection="1">
      <protection locked="0" hidden="1"/>
    </xf>
    <xf numFmtId="1" fontId="152" fillId="13" borderId="0" xfId="0" applyNumberFormat="1" applyFont="1" applyFill="1" applyAlignment="1" applyProtection="1">
      <alignment horizontal="center" vertical="center"/>
      <protection locked="0" hidden="1"/>
    </xf>
    <xf numFmtId="37" fontId="131" fillId="16" borderId="12" xfId="2" applyNumberFormat="1" applyFont="1" applyFill="1" applyBorder="1" applyAlignment="1" applyProtection="1">
      <alignment horizontal="center" vertical="center"/>
    </xf>
    <xf numFmtId="37" fontId="6" fillId="16" borderId="12" xfId="0" applyNumberFormat="1" applyFont="1" applyFill="1" applyBorder="1" applyAlignment="1" applyProtection="1">
      <alignment horizontal="center" vertical="center"/>
    </xf>
    <xf numFmtId="37" fontId="6" fillId="16" borderId="13" xfId="0" applyNumberFormat="1" applyFont="1" applyFill="1" applyBorder="1" applyAlignment="1" applyProtection="1">
      <alignment horizontal="center" vertical="center"/>
    </xf>
    <xf numFmtId="166" fontId="3" fillId="13" borderId="0" xfId="0" applyFont="1" applyFill="1" applyBorder="1" applyProtection="1">
      <protection hidden="1"/>
    </xf>
    <xf numFmtId="166" fontId="3" fillId="13" borderId="0" xfId="0" applyFont="1" applyFill="1" applyBorder="1"/>
    <xf numFmtId="166" fontId="139" fillId="0" borderId="0" xfId="2" applyNumberFormat="1" applyFont="1" applyFill="1" applyBorder="1" applyAlignment="1" applyProtection="1">
      <alignment horizontal="left"/>
    </xf>
    <xf numFmtId="166" fontId="13" fillId="0" borderId="0" xfId="0" applyFont="1" applyFill="1" applyBorder="1" applyAlignment="1">
      <alignment horizontal="justify" wrapText="1"/>
    </xf>
    <xf numFmtId="166" fontId="136" fillId="0" borderId="0" xfId="0" applyFont="1" applyProtection="1">
      <protection locked="0"/>
    </xf>
    <xf numFmtId="166" fontId="137" fillId="0" borderId="0" xfId="0" applyFont="1" applyProtection="1">
      <protection locked="0"/>
    </xf>
    <xf numFmtId="166" fontId="13" fillId="0" borderId="0" xfId="0" applyFont="1" applyFill="1" applyAlignment="1">
      <alignment horizontal="justify"/>
    </xf>
    <xf numFmtId="167" fontId="6" fillId="16" borderId="0" xfId="0" applyNumberFormat="1" applyFont="1" applyFill="1" applyBorder="1" applyAlignment="1" applyProtection="1">
      <alignment horizontal="center" vertical="top" wrapText="1"/>
    </xf>
    <xf numFmtId="9" fontId="6" fillId="0" borderId="0" xfId="5" applyFont="1" applyAlignment="1">
      <alignment horizontal="center" vertical="center"/>
    </xf>
    <xf numFmtId="9" fontId="6" fillId="0" borderId="0" xfId="5" applyAlignment="1">
      <alignment horizontal="center" vertical="center"/>
    </xf>
    <xf numFmtId="9" fontId="6" fillId="0" borderId="0" xfId="5" applyFill="1" applyBorder="1" applyAlignment="1" applyProtection="1">
      <alignment horizontal="center" vertical="center"/>
      <protection hidden="1"/>
    </xf>
    <xf numFmtId="166" fontId="3" fillId="0" borderId="0" xfId="0" applyFont="1" applyFill="1" applyProtection="1">
      <protection locked="0"/>
    </xf>
    <xf numFmtId="166" fontId="133" fillId="0" borderId="7" xfId="0" applyFont="1" applyFill="1" applyBorder="1" applyAlignment="1" applyProtection="1">
      <alignment horizontal="left"/>
      <protection hidden="1"/>
    </xf>
    <xf numFmtId="166" fontId="138" fillId="0" borderId="0" xfId="0" applyFont="1" applyFill="1" applyBorder="1" applyProtection="1">
      <protection hidden="1"/>
    </xf>
    <xf numFmtId="171" fontId="8" fillId="18" borderId="7" xfId="0" applyNumberFormat="1" applyFont="1" applyFill="1" applyBorder="1" applyAlignment="1" applyProtection="1">
      <alignment horizontal="center"/>
    </xf>
    <xf numFmtId="1" fontId="153" fillId="18" borderId="0" xfId="0" applyNumberFormat="1" applyFont="1" applyFill="1" applyBorder="1" applyAlignment="1" applyProtection="1">
      <alignment horizontal="center"/>
      <protection locked="0"/>
    </xf>
    <xf numFmtId="176" fontId="154" fillId="18" borderId="0" xfId="1" applyNumberFormat="1" applyFont="1" applyFill="1" applyBorder="1" applyAlignment="1" applyProtection="1">
      <protection locked="0"/>
    </xf>
    <xf numFmtId="179"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vertical="center"/>
      <protection locked="0"/>
    </xf>
    <xf numFmtId="1" fontId="155" fillId="18" borderId="0" xfId="0" applyNumberFormat="1" applyFont="1" applyFill="1" applyBorder="1" applyAlignment="1" applyProtection="1">
      <alignment horizontal="center"/>
      <protection locked="0"/>
    </xf>
    <xf numFmtId="176" fontId="155" fillId="18" borderId="0" xfId="1" applyNumberFormat="1" applyFont="1" applyFill="1" applyBorder="1" applyAlignment="1" applyProtection="1">
      <alignment horizontal="center"/>
      <protection locked="0"/>
    </xf>
    <xf numFmtId="168" fontId="154" fillId="18" borderId="0" xfId="0" applyNumberFormat="1" applyFont="1" applyFill="1" applyBorder="1" applyAlignment="1" applyProtection="1">
      <alignment horizontal="center"/>
      <protection locked="0"/>
    </xf>
    <xf numFmtId="168" fontId="155" fillId="18" borderId="0" xfId="0" applyNumberFormat="1" applyFont="1" applyFill="1" applyBorder="1" applyAlignment="1" applyProtection="1">
      <alignment horizontal="center"/>
      <protection locked="0"/>
    </xf>
    <xf numFmtId="166" fontId="139" fillId="0" borderId="0" xfId="2" applyNumberFormat="1" applyFont="1" applyFill="1" applyBorder="1" applyAlignment="1" applyProtection="1">
      <alignment horizontal="left"/>
    </xf>
    <xf numFmtId="166" fontId="135" fillId="0" borderId="0" xfId="0" applyFont="1" applyFill="1" applyBorder="1" applyAlignment="1">
      <alignment horizontal="right" wrapText="1"/>
    </xf>
    <xf numFmtId="166" fontId="156" fillId="0" borderId="0" xfId="2" applyNumberFormat="1" applyFont="1" applyFill="1" applyBorder="1" applyAlignment="1" applyProtection="1">
      <alignment wrapText="1"/>
    </xf>
    <xf numFmtId="1" fontId="3" fillId="0" borderId="0" xfId="0" applyNumberFormat="1" applyFont="1" applyFill="1" applyBorder="1" applyAlignment="1" applyProtection="1">
      <alignment horizontal="center"/>
      <protection hidden="1"/>
    </xf>
    <xf numFmtId="166" fontId="16" fillId="0" borderId="0" xfId="0" applyFont="1" applyFill="1" applyAlignment="1">
      <alignment vertical="top" wrapText="1"/>
    </xf>
    <xf numFmtId="166" fontId="157" fillId="17" borderId="12" xfId="2" applyNumberFormat="1" applyFont="1" applyFill="1" applyBorder="1" applyAlignment="1" applyProtection="1">
      <alignment horizontal="center" wrapText="1"/>
    </xf>
    <xf numFmtId="176" fontId="138" fillId="18" borderId="7" xfId="1" applyNumberFormat="1" applyFont="1" applyFill="1" applyBorder="1" applyAlignment="1" applyProtection="1">
      <alignment horizontal="right"/>
      <protection locked="0"/>
    </xf>
    <xf numFmtId="1" fontId="95" fillId="9" borderId="7" xfId="0" applyNumberFormat="1" applyFont="1" applyFill="1" applyBorder="1" applyAlignment="1">
      <alignment horizontal="center"/>
    </xf>
    <xf numFmtId="166" fontId="95" fillId="9" borderId="7" xfId="0" applyFont="1" applyFill="1" applyBorder="1"/>
    <xf numFmtId="2" fontId="65" fillId="14" borderId="0" xfId="0" applyNumberFormat="1" applyFont="1" applyFill="1" applyBorder="1" applyAlignment="1" applyProtection="1">
      <alignment horizontal="center"/>
      <protection locked="0" hidden="1"/>
    </xf>
    <xf numFmtId="166" fontId="65" fillId="13" borderId="21" xfId="0" applyFont="1" applyFill="1" applyBorder="1" applyAlignment="1" applyProtection="1">
      <alignment horizontal="center"/>
      <protection locked="0" hidden="1"/>
    </xf>
    <xf numFmtId="168" fontId="3" fillId="14" borderId="7" xfId="0" applyNumberFormat="1" applyFont="1" applyFill="1" applyBorder="1" applyAlignment="1" applyProtection="1">
      <alignment horizontal="right"/>
      <protection locked="0"/>
    </xf>
    <xf numFmtId="166" fontId="3" fillId="0" borderId="12" xfId="0" applyFont="1" applyFill="1" applyBorder="1" applyProtection="1">
      <protection locked="0" hidden="1"/>
    </xf>
    <xf numFmtId="168" fontId="65" fillId="0"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center"/>
      <protection locked="0"/>
    </xf>
    <xf numFmtId="168" fontId="65" fillId="18" borderId="12" xfId="0" applyNumberFormat="1" applyFont="1" applyFill="1" applyBorder="1" applyAlignment="1" applyProtection="1">
      <alignment horizontal="center"/>
      <protection locked="0"/>
    </xf>
    <xf numFmtId="1" fontId="153" fillId="18"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right"/>
      <protection locked="0"/>
    </xf>
    <xf numFmtId="168" fontId="65" fillId="18" borderId="12" xfId="0"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center"/>
      <protection locked="0"/>
    </xf>
    <xf numFmtId="166" fontId="3" fillId="0" borderId="12" xfId="0" applyFont="1" applyFill="1" applyBorder="1"/>
    <xf numFmtId="1" fontId="3" fillId="18" borderId="12" xfId="0"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right"/>
      <protection locked="0"/>
    </xf>
    <xf numFmtId="1" fontId="3" fillId="18" borderId="12" xfId="0" applyNumberFormat="1" applyFont="1" applyFill="1" applyBorder="1" applyAlignment="1" applyProtection="1">
      <alignment horizontal="right"/>
      <protection locked="0"/>
    </xf>
    <xf numFmtId="1" fontId="158" fillId="0" borderId="10" xfId="0" applyNumberFormat="1" applyFont="1" applyFill="1" applyBorder="1" applyAlignment="1" applyProtection="1">
      <alignment horizontal="center"/>
      <protection locked="0"/>
    </xf>
    <xf numFmtId="168" fontId="158" fillId="0" borderId="0" xfId="0" applyNumberFormat="1" applyFont="1" applyFill="1" applyBorder="1" applyAlignment="1" applyProtection="1">
      <alignment horizontal="center"/>
      <protection locked="0"/>
    </xf>
    <xf numFmtId="166" fontId="143" fillId="0" borderId="10" xfId="0" applyFont="1" applyFill="1" applyBorder="1" applyAlignment="1" applyProtection="1">
      <alignment horizontal="center"/>
      <protection locked="0" hidden="1"/>
    </xf>
    <xf numFmtId="1" fontId="145" fillId="14" borderId="10" xfId="0" applyNumberFormat="1" applyFont="1" applyFill="1" applyBorder="1" applyAlignment="1" applyProtection="1">
      <alignment horizontal="center"/>
      <protection locked="0"/>
    </xf>
    <xf numFmtId="168" fontId="145" fillId="14" borderId="0" xfId="0" applyNumberFormat="1" applyFont="1" applyFill="1" applyBorder="1" applyAlignment="1" applyProtection="1">
      <alignment horizontal="center"/>
      <protection locked="0"/>
    </xf>
    <xf numFmtId="1" fontId="145" fillId="0" borderId="10" xfId="0" applyNumberFormat="1" applyFont="1" applyFill="1" applyBorder="1" applyAlignment="1" applyProtection="1">
      <alignment horizontal="center"/>
      <protection locked="0"/>
    </xf>
    <xf numFmtId="168" fontId="145" fillId="0" borderId="0" xfId="0" applyNumberFormat="1" applyFont="1" applyFill="1" applyBorder="1" applyAlignment="1" applyProtection="1">
      <alignment horizontal="center"/>
      <protection locked="0"/>
    </xf>
    <xf numFmtId="166" fontId="3" fillId="14" borderId="0" xfId="0" applyFont="1" applyFill="1"/>
    <xf numFmtId="166" fontId="3" fillId="18" borderId="0" xfId="0" applyFont="1" applyFill="1"/>
    <xf numFmtId="172" fontId="60" fillId="14" borderId="0" xfId="1" applyNumberFormat="1" applyFont="1" applyFill="1" applyBorder="1" applyAlignment="1" applyProtection="1">
      <alignment horizontal="right"/>
      <protection locked="0"/>
    </xf>
    <xf numFmtId="165" fontId="60" fillId="14" borderId="0" xfId="1" applyNumberFormat="1" applyFont="1" applyFill="1" applyBorder="1" applyAlignment="1" applyProtection="1">
      <alignment horizontal="right"/>
      <protection locked="0"/>
    </xf>
    <xf numFmtId="1" fontId="1" fillId="18" borderId="0" xfId="0" applyNumberFormat="1" applyFont="1" applyFill="1" applyBorder="1" applyAlignment="1" applyProtection="1">
      <alignment horizontal="right"/>
      <protection locked="0"/>
    </xf>
    <xf numFmtId="166" fontId="148" fillId="14" borderId="10" xfId="0" applyFont="1" applyFill="1" applyBorder="1" applyAlignment="1" applyProtection="1">
      <alignment horizontal="center"/>
      <protection locked="0" hidden="1"/>
    </xf>
    <xf numFmtId="166" fontId="138" fillId="0" borderId="0" xfId="0" applyFont="1" applyFill="1"/>
    <xf numFmtId="0" fontId="152" fillId="25" borderId="90" xfId="0" applyNumberFormat="1" applyFont="1" applyFill="1" applyBorder="1" applyAlignment="1" applyProtection="1">
      <protection locked="0" hidden="1"/>
    </xf>
    <xf numFmtId="37" fontId="152" fillId="25" borderId="73" xfId="0" applyNumberFormat="1" applyFont="1" applyFill="1" applyBorder="1" applyAlignment="1" applyProtection="1">
      <alignment horizontal="center" vertical="center"/>
      <protection locked="0"/>
    </xf>
    <xf numFmtId="170" fontId="152" fillId="25" borderId="73" xfId="0" applyNumberFormat="1" applyFont="1" applyFill="1" applyBorder="1" applyAlignment="1" applyProtection="1">
      <alignment horizontal="center" vertical="center"/>
      <protection locked="0"/>
    </xf>
    <xf numFmtId="37" fontId="152" fillId="25" borderId="0" xfId="0" applyNumberFormat="1" applyFont="1" applyFill="1" applyBorder="1" applyAlignment="1" applyProtection="1">
      <alignment horizontal="center" vertical="center"/>
      <protection locked="0"/>
    </xf>
    <xf numFmtId="170" fontId="152" fillId="25" borderId="0" xfId="0" applyNumberFormat="1" applyFont="1" applyFill="1" applyBorder="1" applyAlignment="1" applyProtection="1">
      <alignment horizontal="center" vertical="center"/>
      <protection locked="0"/>
    </xf>
    <xf numFmtId="170" fontId="152" fillId="25" borderId="90" xfId="0" applyNumberFormat="1" applyFont="1" applyFill="1" applyBorder="1" applyAlignment="1" applyProtection="1">
      <alignment horizontal="center" vertical="center"/>
      <protection locked="0"/>
    </xf>
    <xf numFmtId="170" fontId="152" fillId="25" borderId="7" xfId="0" applyNumberFormat="1" applyFont="1" applyFill="1" applyBorder="1" applyAlignment="1" applyProtection="1">
      <alignment horizontal="center" vertical="center"/>
      <protection locked="0"/>
    </xf>
    <xf numFmtId="1" fontId="152" fillId="25" borderId="91" xfId="0" applyNumberFormat="1" applyFont="1" applyFill="1" applyBorder="1" applyAlignment="1" applyProtection="1">
      <alignment horizontal="center" vertical="center"/>
      <protection locked="0" hidden="1"/>
    </xf>
    <xf numFmtId="1" fontId="152" fillId="25" borderId="0" xfId="0" applyNumberFormat="1" applyFont="1" applyFill="1" applyAlignment="1" applyProtection="1">
      <alignment horizontal="center" vertical="center"/>
      <protection locked="0" hidden="1"/>
    </xf>
    <xf numFmtId="0" fontId="152" fillId="25" borderId="7" xfId="0" applyNumberFormat="1" applyFont="1" applyFill="1" applyBorder="1" applyAlignment="1" applyProtection="1">
      <protection locked="0" hidden="1"/>
    </xf>
    <xf numFmtId="0" fontId="152" fillId="25" borderId="13" xfId="0" applyNumberFormat="1" applyFont="1" applyFill="1" applyBorder="1" applyAlignment="1" applyProtection="1">
      <protection locked="0" hidden="1"/>
    </xf>
    <xf numFmtId="9" fontId="159" fillId="11" borderId="8" xfId="5" applyNumberFormat="1" applyFont="1" applyFill="1" applyBorder="1" applyAlignment="1" applyProtection="1">
      <alignment horizontal="center"/>
      <protection locked="0"/>
    </xf>
    <xf numFmtId="9" fontId="159" fillId="11" borderId="6" xfId="5" applyNumberFormat="1" applyFont="1" applyFill="1" applyBorder="1" applyAlignment="1" applyProtection="1">
      <alignment horizontal="center"/>
      <protection locked="0"/>
    </xf>
    <xf numFmtId="9" fontId="159" fillId="11" borderId="10" xfId="5" applyNumberFormat="1" applyFont="1" applyFill="1" applyBorder="1" applyAlignment="1" applyProtection="1">
      <alignment horizontal="center"/>
      <protection locked="0"/>
    </xf>
    <xf numFmtId="9" fontId="159" fillId="11" borderId="7" xfId="5" applyNumberFormat="1" applyFont="1" applyFill="1" applyBorder="1" applyAlignment="1" applyProtection="1">
      <alignment horizontal="center"/>
      <protection locked="0"/>
    </xf>
    <xf numFmtId="3" fontId="160" fillId="11" borderId="14" xfId="0" applyNumberFormat="1" applyFont="1" applyFill="1" applyBorder="1" applyAlignment="1" applyProtection="1">
      <alignment horizontal="center"/>
      <protection locked="0"/>
    </xf>
    <xf numFmtId="9" fontId="159" fillId="11" borderId="7" xfId="0" applyNumberFormat="1" applyFont="1" applyFill="1" applyBorder="1" applyAlignment="1" applyProtection="1">
      <alignment horizontal="center"/>
      <protection locked="0"/>
    </xf>
    <xf numFmtId="9" fontId="159" fillId="11" borderId="13" xfId="0" applyNumberFormat="1" applyFont="1" applyFill="1" applyBorder="1" applyAlignment="1" applyProtection="1">
      <alignment horizontal="center"/>
      <protection locked="0"/>
    </xf>
    <xf numFmtId="167" fontId="6" fillId="0" borderId="0" xfId="0" applyNumberFormat="1" applyFont="1" applyFill="1" applyBorder="1" applyAlignment="1" applyProtection="1">
      <alignment horizontal="center" vertical="center" wrapText="1"/>
    </xf>
    <xf numFmtId="168" fontId="138" fillId="14" borderId="8" xfId="0" applyNumberFormat="1" applyFont="1" applyFill="1" applyBorder="1" applyAlignment="1">
      <alignment horizontal="center"/>
    </xf>
    <xf numFmtId="168" fontId="138" fillId="14" borderId="10" xfId="0" applyNumberFormat="1" applyFont="1" applyFill="1" applyBorder="1" applyAlignment="1">
      <alignment horizontal="center"/>
    </xf>
    <xf numFmtId="168" fontId="3" fillId="14" borderId="10" xfId="0" applyNumberFormat="1" applyFont="1" applyFill="1" applyBorder="1" applyAlignment="1">
      <alignment horizontal="center"/>
    </xf>
    <xf numFmtId="168" fontId="3" fillId="21" borderId="10" xfId="0" applyNumberFormat="1" applyFont="1" applyFill="1" applyBorder="1" applyAlignment="1">
      <alignment horizontal="center"/>
    </xf>
    <xf numFmtId="168" fontId="3" fillId="22" borderId="10" xfId="0" applyNumberFormat="1" applyFont="1" applyFill="1" applyBorder="1" applyAlignment="1">
      <alignment horizontal="center"/>
    </xf>
    <xf numFmtId="168" fontId="3" fillId="23" borderId="10" xfId="0" applyNumberFormat="1" applyFont="1" applyFill="1" applyBorder="1" applyAlignment="1">
      <alignment horizontal="center"/>
    </xf>
    <xf numFmtId="168" fontId="3" fillId="24" borderId="10" xfId="0" applyNumberFormat="1" applyFont="1" applyFill="1" applyBorder="1" applyAlignment="1">
      <alignment horizontal="center"/>
    </xf>
    <xf numFmtId="168" fontId="3" fillId="17" borderId="10" xfId="0" applyNumberFormat="1" applyFont="1" applyFill="1" applyBorder="1" applyAlignment="1">
      <alignment horizontal="center"/>
    </xf>
    <xf numFmtId="1" fontId="3" fillId="17" borderId="10" xfId="0" applyNumberFormat="1" applyFont="1" applyFill="1" applyBorder="1" applyAlignment="1">
      <alignment horizontal="center"/>
    </xf>
    <xf numFmtId="168" fontId="4" fillId="22" borderId="10" xfId="0" applyNumberFormat="1" applyFont="1" applyFill="1" applyBorder="1" applyAlignment="1" applyProtection="1">
      <alignment horizontal="center"/>
    </xf>
    <xf numFmtId="168" fontId="4" fillId="17" borderId="10" xfId="0" applyNumberFormat="1" applyFont="1" applyFill="1" applyBorder="1" applyAlignment="1" applyProtection="1">
      <alignment horizontal="center"/>
    </xf>
    <xf numFmtId="168" fontId="3" fillId="0" borderId="8" xfId="0" applyNumberFormat="1" applyFont="1" applyFill="1" applyBorder="1"/>
    <xf numFmtId="168" fontId="3" fillId="0" borderId="10" xfId="0" applyNumberFormat="1" applyFont="1" applyFill="1" applyBorder="1"/>
    <xf numFmtId="168" fontId="3" fillId="0" borderId="11" xfId="0" applyNumberFormat="1" applyFont="1" applyFill="1" applyBorder="1"/>
    <xf numFmtId="168" fontId="138" fillId="14" borderId="6" xfId="0" applyNumberFormat="1" applyFont="1" applyFill="1" applyBorder="1" applyAlignment="1">
      <alignment horizontal="center"/>
    </xf>
    <xf numFmtId="168" fontId="138" fillId="14" borderId="7" xfId="0" applyNumberFormat="1" applyFont="1" applyFill="1" applyBorder="1" applyAlignment="1">
      <alignment horizontal="center"/>
    </xf>
    <xf numFmtId="168" fontId="3" fillId="14" borderId="7" xfId="0" applyNumberFormat="1" applyFont="1" applyFill="1" applyBorder="1" applyAlignment="1">
      <alignment horizontal="center"/>
    </xf>
    <xf numFmtId="168" fontId="3" fillId="21" borderId="7" xfId="0" applyNumberFormat="1" applyFont="1" applyFill="1" applyBorder="1" applyAlignment="1">
      <alignment horizontal="center"/>
    </xf>
    <xf numFmtId="168" fontId="3" fillId="22" borderId="7" xfId="0" applyNumberFormat="1" applyFont="1" applyFill="1" applyBorder="1" applyAlignment="1">
      <alignment horizontal="center"/>
    </xf>
    <xf numFmtId="168" fontId="3" fillId="23" borderId="7" xfId="0" applyNumberFormat="1" applyFont="1" applyFill="1" applyBorder="1" applyAlignment="1">
      <alignment horizontal="center"/>
    </xf>
    <xf numFmtId="168" fontId="3" fillId="24" borderId="7" xfId="0" applyNumberFormat="1" applyFont="1" applyFill="1" applyBorder="1" applyAlignment="1">
      <alignment horizontal="center"/>
    </xf>
    <xf numFmtId="168" fontId="3" fillId="17" borderId="7" xfId="0" applyNumberFormat="1" applyFont="1" applyFill="1" applyBorder="1" applyAlignment="1">
      <alignment horizontal="center"/>
    </xf>
    <xf numFmtId="168" fontId="4" fillId="22" borderId="7" xfId="0" applyNumberFormat="1" applyFont="1" applyFill="1" applyBorder="1" applyAlignment="1" applyProtection="1">
      <alignment horizontal="center"/>
    </xf>
    <xf numFmtId="168" fontId="4" fillId="17" borderId="7" xfId="0" applyNumberFormat="1" applyFont="1" applyFill="1" applyBorder="1" applyAlignment="1" applyProtection="1">
      <alignment horizontal="center"/>
    </xf>
    <xf numFmtId="168" fontId="3" fillId="0" borderId="6" xfId="0" applyNumberFormat="1" applyFont="1" applyFill="1" applyBorder="1"/>
    <xf numFmtId="168" fontId="3" fillId="0" borderId="7" xfId="0" applyNumberFormat="1" applyFont="1" applyFill="1" applyBorder="1"/>
    <xf numFmtId="168" fontId="3" fillId="0" borderId="13" xfId="0" applyNumberFormat="1" applyFont="1" applyFill="1" applyBorder="1"/>
    <xf numFmtId="168" fontId="138" fillId="14" borderId="92" xfId="0" applyNumberFormat="1" applyFont="1" applyFill="1" applyBorder="1" applyAlignment="1">
      <alignment horizontal="center"/>
    </xf>
    <xf numFmtId="168" fontId="138" fillId="14" borderId="93" xfId="0" applyNumberFormat="1" applyFont="1" applyFill="1" applyBorder="1" applyAlignment="1">
      <alignment horizontal="center"/>
    </xf>
    <xf numFmtId="168" fontId="3" fillId="14" borderId="93" xfId="0" applyNumberFormat="1" applyFont="1" applyFill="1" applyBorder="1" applyAlignment="1">
      <alignment horizontal="center"/>
    </xf>
    <xf numFmtId="168" fontId="3" fillId="21" borderId="93" xfId="0" applyNumberFormat="1" applyFont="1" applyFill="1" applyBorder="1" applyAlignment="1">
      <alignment horizontal="center"/>
    </xf>
    <xf numFmtId="168" fontId="3" fillId="22" borderId="93" xfId="0" applyNumberFormat="1" applyFont="1" applyFill="1" applyBorder="1" applyAlignment="1">
      <alignment horizontal="center"/>
    </xf>
    <xf numFmtId="168" fontId="3" fillId="23" borderId="93" xfId="0" applyNumberFormat="1" applyFont="1" applyFill="1" applyBorder="1" applyAlignment="1">
      <alignment horizontal="center"/>
    </xf>
    <xf numFmtId="168" fontId="3" fillId="24" borderId="93" xfId="0" applyNumberFormat="1" applyFont="1" applyFill="1" applyBorder="1" applyAlignment="1">
      <alignment horizontal="center"/>
    </xf>
    <xf numFmtId="168" fontId="3" fillId="17" borderId="93" xfId="0" applyNumberFormat="1" applyFont="1" applyFill="1" applyBorder="1" applyAlignment="1">
      <alignment horizontal="center"/>
    </xf>
    <xf numFmtId="1" fontId="3" fillId="17" borderId="93" xfId="0" applyNumberFormat="1" applyFont="1" applyFill="1" applyBorder="1" applyAlignment="1">
      <alignment horizontal="center"/>
    </xf>
    <xf numFmtId="168" fontId="4" fillId="22" borderId="93" xfId="0" applyNumberFormat="1" applyFont="1" applyFill="1" applyBorder="1" applyAlignment="1" applyProtection="1">
      <alignment horizontal="center"/>
    </xf>
    <xf numFmtId="168" fontId="4" fillId="17" borderId="93" xfId="0" applyNumberFormat="1" applyFont="1" applyFill="1" applyBorder="1" applyAlignment="1" applyProtection="1">
      <alignment horizontal="center"/>
    </xf>
    <xf numFmtId="168" fontId="3" fillId="0" borderId="92" xfId="0" applyNumberFormat="1" applyFont="1" applyFill="1" applyBorder="1"/>
    <xf numFmtId="168" fontId="3" fillId="0" borderId="93" xfId="0" applyNumberFormat="1" applyFont="1" applyFill="1" applyBorder="1"/>
    <xf numFmtId="168" fontId="3" fillId="0" borderId="94" xfId="0" applyNumberFormat="1" applyFont="1" applyFill="1" applyBorder="1"/>
    <xf numFmtId="166" fontId="34" fillId="0" borderId="0" xfId="0" applyFont="1" applyFill="1" applyBorder="1" applyAlignment="1">
      <alignment horizontal="left"/>
    </xf>
    <xf numFmtId="4" fontId="159" fillId="11" borderId="8" xfId="0" applyNumberFormat="1" applyFont="1" applyFill="1" applyBorder="1" applyAlignment="1" applyProtection="1">
      <alignment horizontal="center"/>
      <protection locked="0"/>
    </xf>
    <xf numFmtId="4" fontId="159" fillId="11" borderId="9" xfId="0" applyNumberFormat="1" applyFont="1" applyFill="1" applyBorder="1" applyAlignment="1" applyProtection="1">
      <alignment horizontal="center"/>
      <protection locked="0"/>
    </xf>
    <xf numFmtId="4" fontId="159" fillId="11" borderId="6" xfId="0" applyNumberFormat="1" applyFont="1" applyFill="1" applyBorder="1" applyAlignment="1" applyProtection="1">
      <alignment horizontal="center"/>
      <protection locked="0"/>
    </xf>
    <xf numFmtId="4" fontId="159" fillId="11" borderId="10" xfId="0" applyNumberFormat="1" applyFont="1" applyFill="1" applyBorder="1" applyAlignment="1" applyProtection="1">
      <alignment horizontal="center"/>
      <protection locked="0"/>
    </xf>
    <xf numFmtId="4" fontId="159" fillId="11" borderId="0" xfId="0" applyNumberFormat="1" applyFont="1" applyFill="1" applyBorder="1" applyAlignment="1" applyProtection="1">
      <alignment horizontal="center"/>
      <protection locked="0"/>
    </xf>
    <xf numFmtId="4" fontId="159" fillId="11" borderId="7" xfId="0" applyNumberFormat="1" applyFont="1" applyFill="1" applyBorder="1" applyAlignment="1" applyProtection="1">
      <alignment horizontal="center"/>
      <protection locked="0"/>
    </xf>
    <xf numFmtId="4" fontId="136" fillId="13" borderId="0" xfId="0" applyNumberFormat="1" applyFont="1" applyFill="1" applyAlignment="1">
      <alignment horizontal="center"/>
    </xf>
    <xf numFmtId="164" fontId="136" fillId="13" borderId="0" xfId="1" applyNumberFormat="1" applyFont="1" applyFill="1" applyAlignment="1">
      <alignment horizontal="center"/>
    </xf>
    <xf numFmtId="4" fontId="136" fillId="13" borderId="0" xfId="0" applyNumberFormat="1" applyFont="1" applyFill="1" applyBorder="1" applyAlignment="1" applyProtection="1">
      <alignment horizontal="center"/>
      <protection hidden="1"/>
    </xf>
    <xf numFmtId="3" fontId="136" fillId="13" borderId="0" xfId="0" applyNumberFormat="1" applyFont="1" applyFill="1" applyBorder="1" applyAlignment="1" applyProtection="1">
      <alignment horizontal="center"/>
      <protection hidden="1"/>
    </xf>
    <xf numFmtId="174" fontId="160" fillId="11" borderId="14" xfId="0" applyNumberFormat="1" applyFont="1" applyFill="1" applyBorder="1" applyAlignment="1" applyProtection="1">
      <alignment horizontal="center"/>
      <protection locked="0"/>
    </xf>
    <xf numFmtId="2" fontId="138" fillId="14" borderId="74" xfId="0" applyNumberFormat="1" applyFont="1" applyFill="1" applyBorder="1" applyAlignment="1">
      <alignment horizontal="center"/>
    </xf>
    <xf numFmtId="2" fontId="138" fillId="14" borderId="21" xfId="0" applyNumberFormat="1" applyFont="1" applyFill="1" applyBorder="1" applyAlignment="1">
      <alignment horizontal="center"/>
    </xf>
    <xf numFmtId="2" fontId="3" fillId="14" borderId="21" xfId="0" applyNumberFormat="1" applyFont="1" applyFill="1" applyBorder="1" applyAlignment="1">
      <alignment horizontal="center"/>
    </xf>
    <xf numFmtId="2" fontId="8" fillId="14" borderId="21" xfId="0" applyNumberFormat="1" applyFont="1" applyFill="1" applyBorder="1" applyAlignment="1" applyProtection="1">
      <alignment horizontal="center"/>
    </xf>
    <xf numFmtId="2" fontId="8" fillId="21" borderId="21" xfId="0" applyNumberFormat="1" applyFont="1" applyFill="1" applyBorder="1" applyAlignment="1" applyProtection="1">
      <alignment horizontal="center"/>
    </xf>
    <xf numFmtId="2" fontId="3" fillId="22" borderId="21" xfId="0" applyNumberFormat="1" applyFont="1" applyFill="1" applyBorder="1" applyAlignment="1" applyProtection="1">
      <alignment horizontal="center"/>
    </xf>
    <xf numFmtId="2" fontId="3" fillId="23" borderId="21" xfId="0" applyNumberFormat="1" applyFont="1" applyFill="1" applyBorder="1" applyAlignment="1" applyProtection="1">
      <alignment horizontal="center"/>
    </xf>
    <xf numFmtId="2" fontId="3" fillId="24" borderId="21" xfId="0" applyNumberFormat="1" applyFont="1" applyFill="1" applyBorder="1" applyAlignment="1" applyProtection="1">
      <alignment horizontal="center"/>
    </xf>
    <xf numFmtId="2" fontId="3" fillId="17" borderId="21" xfId="0" applyNumberFormat="1" applyFont="1" applyFill="1" applyBorder="1" applyAlignment="1" applyProtection="1">
      <alignment horizontal="center"/>
    </xf>
    <xf numFmtId="2" fontId="4" fillId="17" borderId="21" xfId="0" applyNumberFormat="1" applyFont="1" applyFill="1" applyBorder="1" applyAlignment="1" applyProtection="1">
      <alignment horizontal="center"/>
    </xf>
    <xf numFmtId="2" fontId="4" fillId="14" borderId="21" xfId="0" applyNumberFormat="1" applyFont="1" applyFill="1" applyBorder="1" applyAlignment="1" applyProtection="1">
      <alignment horizontal="center"/>
    </xf>
    <xf numFmtId="2" fontId="138" fillId="14" borderId="21" xfId="0" applyNumberFormat="1" applyFont="1" applyFill="1" applyBorder="1" applyAlignment="1" applyProtection="1">
      <alignment horizontal="center"/>
    </xf>
    <xf numFmtId="2" fontId="3" fillId="21" borderId="21" xfId="0" applyNumberFormat="1" applyFont="1" applyFill="1" applyBorder="1" applyAlignment="1" applyProtection="1">
      <alignment horizontal="center"/>
    </xf>
    <xf numFmtId="2" fontId="4" fillId="22" borderId="21" xfId="0" applyNumberFormat="1" applyFont="1" applyFill="1" applyBorder="1" applyAlignment="1" applyProtection="1">
      <alignment horizontal="center"/>
    </xf>
    <xf numFmtId="2" fontId="3" fillId="17" borderId="21" xfId="0" applyNumberFormat="1" applyFont="1" applyFill="1" applyBorder="1" applyAlignment="1">
      <alignment horizontal="center"/>
    </xf>
    <xf numFmtId="1" fontId="138" fillId="0" borderId="21" xfId="5" applyNumberFormat="1" applyFont="1" applyFill="1" applyBorder="1" applyAlignment="1" applyProtection="1">
      <alignment horizontal="center"/>
      <protection hidden="1"/>
    </xf>
    <xf numFmtId="166" fontId="72" fillId="0" borderId="0" xfId="0" applyFont="1" applyFill="1" applyBorder="1" applyAlignment="1">
      <alignment horizontal="justify" vertical="top" wrapText="1"/>
    </xf>
    <xf numFmtId="166" fontId="87" fillId="22" borderId="21" xfId="0" applyFont="1" applyFill="1" applyBorder="1" applyAlignment="1"/>
    <xf numFmtId="166" fontId="133" fillId="22" borderId="7" xfId="0" applyFont="1" applyFill="1" applyBorder="1" applyAlignment="1">
      <alignment horizontal="left"/>
    </xf>
    <xf numFmtId="37" fontId="138" fillId="22" borderId="0" xfId="0" applyNumberFormat="1" applyFont="1" applyFill="1" applyBorder="1" applyAlignment="1" applyProtection="1">
      <alignment horizontal="left"/>
    </xf>
    <xf numFmtId="166" fontId="133" fillId="17" borderId="7" xfId="0" applyFont="1" applyFill="1" applyBorder="1" applyAlignment="1">
      <alignment horizontal="left"/>
    </xf>
    <xf numFmtId="37" fontId="138" fillId="17" borderId="0" xfId="0" applyNumberFormat="1" applyFont="1" applyFill="1" applyBorder="1" applyAlignment="1" applyProtection="1">
      <alignment horizontal="left"/>
    </xf>
    <xf numFmtId="166" fontId="45" fillId="14" borderId="75" xfId="0" applyFont="1" applyFill="1" applyBorder="1" applyAlignment="1" applyProtection="1">
      <alignment horizontal="left"/>
    </xf>
    <xf numFmtId="49" fontId="8" fillId="0" borderId="0" xfId="0" applyNumberFormat="1" applyFont="1" applyFill="1" applyBorder="1" applyAlignment="1">
      <alignment horizontal="justify" vertical="top" wrapText="1"/>
    </xf>
    <xf numFmtId="166" fontId="1" fillId="22" borderId="21" xfId="2" applyNumberFormat="1" applyFont="1" applyFill="1" applyBorder="1" applyAlignment="1" applyProtection="1">
      <alignment wrapText="1"/>
    </xf>
    <xf numFmtId="166" fontId="104" fillId="24" borderId="10" xfId="0" applyFont="1" applyFill="1" applyBorder="1" applyAlignment="1">
      <alignment wrapText="1"/>
    </xf>
    <xf numFmtId="166" fontId="3" fillId="14" borderId="10" xfId="0" applyFont="1" applyFill="1" applyBorder="1"/>
    <xf numFmtId="166" fontId="3" fillId="23" borderId="10" xfId="0" applyFont="1" applyFill="1" applyBorder="1" applyProtection="1"/>
    <xf numFmtId="168" fontId="3" fillId="17" borderId="21" xfId="0" applyNumberFormat="1" applyFont="1" applyFill="1" applyBorder="1"/>
    <xf numFmtId="168" fontId="8" fillId="14" borderId="0" xfId="0" applyNumberFormat="1" applyFont="1" applyFill="1" applyBorder="1" applyAlignment="1" applyProtection="1">
      <alignment horizontal="center"/>
    </xf>
    <xf numFmtId="166" fontId="45" fillId="0" borderId="21" xfId="0" applyFont="1" applyFill="1" applyBorder="1" applyAlignment="1" applyProtection="1">
      <alignment horizontal="left"/>
    </xf>
    <xf numFmtId="166" fontId="3" fillId="0" borderId="21" xfId="0" applyFont="1" applyFill="1" applyBorder="1" applyAlignment="1">
      <alignment horizontal="left"/>
    </xf>
    <xf numFmtId="2" fontId="3" fillId="0" borderId="21" xfId="0" applyNumberFormat="1" applyFont="1" applyFill="1" applyBorder="1" applyAlignment="1">
      <alignment horizontal="center"/>
    </xf>
    <xf numFmtId="2" fontId="3" fillId="0" borderId="21" xfId="0" applyNumberFormat="1" applyFont="1" applyFill="1" applyBorder="1"/>
    <xf numFmtId="166" fontId="45" fillId="0" borderId="21" xfId="0" applyFont="1" applyBorder="1" applyAlignment="1">
      <alignment horizontal="left"/>
    </xf>
    <xf numFmtId="166" fontId="3" fillId="0" borderId="21" xfId="0" applyFont="1" applyBorder="1" applyAlignment="1">
      <alignment horizontal="left"/>
    </xf>
    <xf numFmtId="2" fontId="3" fillId="0" borderId="21" xfId="0" applyNumberFormat="1" applyFont="1" applyBorder="1" applyAlignment="1">
      <alignment horizontal="center"/>
    </xf>
    <xf numFmtId="166" fontId="45" fillId="0" borderId="75" xfId="0" applyFont="1" applyBorder="1" applyAlignment="1">
      <alignment horizontal="left"/>
    </xf>
    <xf numFmtId="166" fontId="3" fillId="0" borderId="75" xfId="0" applyFont="1" applyBorder="1" applyAlignment="1">
      <alignment horizontal="left"/>
    </xf>
    <xf numFmtId="2" fontId="3" fillId="0" borderId="75" xfId="0" applyNumberFormat="1" applyFont="1" applyBorder="1" applyAlignment="1">
      <alignment horizontal="center"/>
    </xf>
    <xf numFmtId="2" fontId="3" fillId="0" borderId="75" xfId="0" applyNumberFormat="1" applyFont="1" applyFill="1" applyBorder="1"/>
    <xf numFmtId="166" fontId="133" fillId="0" borderId="21" xfId="0" applyFont="1" applyFill="1" applyBorder="1" applyAlignment="1" applyProtection="1">
      <alignment horizontal="left"/>
      <protection hidden="1"/>
    </xf>
    <xf numFmtId="166" fontId="138" fillId="0" borderId="10" xfId="0" applyFont="1" applyFill="1" applyBorder="1" applyProtection="1">
      <protection hidden="1"/>
    </xf>
    <xf numFmtId="166" fontId="138" fillId="0" borderId="10" xfId="0" applyFont="1" applyFill="1" applyBorder="1" applyAlignment="1" applyProtection="1">
      <alignment horizontal="left"/>
      <protection hidden="1"/>
    </xf>
    <xf numFmtId="37" fontId="138" fillId="0" borderId="0" xfId="0" applyNumberFormat="1" applyFont="1" applyFill="1" applyBorder="1" applyAlignment="1" applyProtection="1">
      <alignment horizontal="left"/>
      <protection hidden="1"/>
    </xf>
    <xf numFmtId="166" fontId="138" fillId="0" borderId="0" xfId="0" applyFont="1" applyFill="1" applyBorder="1" applyAlignment="1" applyProtection="1">
      <alignment horizontal="left"/>
      <protection hidden="1"/>
    </xf>
    <xf numFmtId="37" fontId="138" fillId="0" borderId="10" xfId="0" applyNumberFormat="1" applyFont="1" applyFill="1" applyBorder="1" applyAlignment="1" applyProtection="1">
      <alignment horizontal="left"/>
      <protection hidden="1"/>
    </xf>
    <xf numFmtId="166" fontId="138" fillId="0" borderId="21" xfId="0" applyFont="1" applyFill="1" applyBorder="1" applyAlignment="1" applyProtection="1">
      <alignment horizontal="left"/>
      <protection hidden="1"/>
    </xf>
    <xf numFmtId="166" fontId="136" fillId="0" borderId="0" xfId="0" pivotButton="1" applyFont="1"/>
    <xf numFmtId="166" fontId="136" fillId="0" borderId="0" xfId="0" applyFont="1"/>
    <xf numFmtId="14" fontId="136" fillId="0" borderId="0" xfId="0" applyNumberFormat="1" applyFont="1"/>
    <xf numFmtId="3" fontId="136" fillId="0" borderId="0" xfId="0" applyNumberFormat="1" applyFont="1"/>
    <xf numFmtId="168" fontId="136" fillId="0" borderId="0" xfId="0" applyNumberFormat="1" applyFont="1"/>
    <xf numFmtId="1" fontId="136" fillId="0" borderId="0" xfId="0" applyNumberFormat="1" applyFont="1"/>
    <xf numFmtId="2" fontId="136" fillId="0" borderId="0" xfId="0" applyNumberFormat="1" applyFont="1"/>
    <xf numFmtId="166" fontId="136" fillId="0" borderId="0" xfId="0" applyNumberFormat="1" applyFont="1"/>
    <xf numFmtId="166" fontId="135" fillId="0" borderId="0" xfId="0" pivotButton="1" applyFont="1"/>
    <xf numFmtId="9" fontId="136" fillId="0" borderId="0" xfId="0" applyNumberFormat="1" applyFont="1"/>
    <xf numFmtId="166" fontId="136" fillId="0" borderId="0" xfId="0" pivotButton="1" applyFont="1" applyProtection="1">
      <protection locked="0"/>
    </xf>
    <xf numFmtId="166" fontId="136" fillId="0" borderId="0" xfId="0" applyFont="1" applyProtection="1">
      <protection locked="0"/>
    </xf>
    <xf numFmtId="14" fontId="136" fillId="0" borderId="0" xfId="0" applyNumberFormat="1" applyFont="1" applyProtection="1">
      <protection locked="0"/>
    </xf>
    <xf numFmtId="166" fontId="136" fillId="0" borderId="0" xfId="0" applyNumberFormat="1" applyFont="1" applyProtection="1">
      <protection locked="0"/>
    </xf>
    <xf numFmtId="166" fontId="161" fillId="0" borderId="0" xfId="0" applyFont="1" applyFill="1" applyBorder="1" applyAlignment="1" applyProtection="1">
      <alignment horizontal="left"/>
    </xf>
    <xf numFmtId="166" fontId="139" fillId="0" borderId="0" xfId="2" applyNumberFormat="1" applyFont="1" applyFill="1" applyBorder="1" applyAlignment="1" applyProtection="1">
      <alignment horizontal="left"/>
    </xf>
    <xf numFmtId="166" fontId="156" fillId="0" borderId="0" xfId="2" applyNumberFormat="1" applyFont="1" applyFill="1" applyBorder="1" applyAlignment="1" applyProtection="1">
      <alignment horizontal="left" wrapText="1"/>
    </xf>
    <xf numFmtId="166" fontId="66" fillId="0" borderId="0" xfId="0" applyFont="1" applyFill="1" applyBorder="1" applyAlignment="1">
      <alignment horizontal="center"/>
    </xf>
    <xf numFmtId="166" fontId="47" fillId="0" borderId="0" xfId="0" applyFont="1" applyFill="1" applyBorder="1" applyAlignment="1">
      <alignment horizontal="center"/>
    </xf>
    <xf numFmtId="166" fontId="106" fillId="0" borderId="0" xfId="0" applyFont="1" applyFill="1" applyBorder="1" applyAlignment="1">
      <alignment horizontal="justify" vertical="center" wrapText="1"/>
    </xf>
    <xf numFmtId="166" fontId="106" fillId="0" borderId="0" xfId="0" applyFont="1" applyFill="1" applyBorder="1" applyAlignment="1">
      <alignment horizontal="center"/>
    </xf>
    <xf numFmtId="166" fontId="109" fillId="0" borderId="0" xfId="0" applyFont="1" applyFill="1" applyBorder="1" applyAlignment="1">
      <alignment horizontal="center" wrapText="1"/>
    </xf>
    <xf numFmtId="166" fontId="110" fillId="0" borderId="0" xfId="0" applyFont="1" applyAlignment="1">
      <alignment horizontal="center" wrapText="1"/>
    </xf>
    <xf numFmtId="166" fontId="1" fillId="0" borderId="0" xfId="0" applyFont="1" applyFill="1" applyAlignment="1">
      <alignment horizontal="left" vertical="center" wrapText="1"/>
    </xf>
    <xf numFmtId="167" fontId="60" fillId="0" borderId="0" xfId="2" applyNumberFormat="1" applyFont="1" applyFill="1" applyBorder="1" applyAlignment="1" applyProtection="1">
      <alignment horizontal="center" vertical="center" wrapText="1" shrinkToFit="1"/>
    </xf>
    <xf numFmtId="166" fontId="8" fillId="17" borderId="24" xfId="2" applyNumberFormat="1" applyFont="1" applyFill="1" applyBorder="1" applyAlignment="1" applyProtection="1">
      <alignment horizontal="left"/>
    </xf>
    <xf numFmtId="166" fontId="8" fillId="17" borderId="0" xfId="2" applyNumberFormat="1" applyFont="1" applyFill="1" applyBorder="1" applyAlignment="1" applyProtection="1">
      <alignment horizontal="left"/>
    </xf>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vertical="center"/>
    </xf>
    <xf numFmtId="0" fontId="8" fillId="11" borderId="0" xfId="2" applyNumberFormat="1" applyFont="1" applyFill="1" applyBorder="1" applyAlignment="1" applyProtection="1">
      <alignment horizontal="left" vertical="center"/>
      <protection locked="0"/>
    </xf>
    <xf numFmtId="177" fontId="8" fillId="11" borderId="0" xfId="2" applyNumberFormat="1" applyFont="1" applyFill="1" applyBorder="1" applyAlignment="1" applyProtection="1">
      <alignment horizontal="left" vertical="center"/>
      <protection locked="0"/>
    </xf>
    <xf numFmtId="173" fontId="157" fillId="17" borderId="95" xfId="1" applyNumberFormat="1" applyFont="1" applyFill="1" applyBorder="1" applyAlignment="1" applyProtection="1">
      <alignment vertical="top" wrapText="1"/>
    </xf>
    <xf numFmtId="166" fontId="66" fillId="0" borderId="0" xfId="0" applyFont="1" applyFill="1" applyBorder="1" applyAlignment="1" applyProtection="1">
      <alignment horizontal="center"/>
    </xf>
    <xf numFmtId="166" fontId="34" fillId="0" borderId="0" xfId="0" applyFont="1" applyFill="1" applyBorder="1" applyAlignment="1" applyProtection="1">
      <alignment horizontal="center"/>
    </xf>
    <xf numFmtId="166" fontId="0" fillId="0" borderId="0" xfId="0"/>
    <xf numFmtId="167" fontId="80" fillId="0" borderId="0" xfId="2" applyNumberFormat="1" applyFont="1" applyFill="1" applyBorder="1" applyAlignment="1" applyProtection="1">
      <alignment horizontal="center" vertical="center" shrinkToFit="1"/>
    </xf>
    <xf numFmtId="0" fontId="62" fillId="2" borderId="0" xfId="0" applyNumberFormat="1" applyFont="1" applyFill="1" applyBorder="1" applyAlignment="1">
      <alignment horizontal="center"/>
    </xf>
    <xf numFmtId="0" fontId="62" fillId="2" borderId="0" xfId="0" applyNumberFormat="1" applyFont="1" applyFill="1" applyAlignment="1">
      <alignment horizontal="center"/>
    </xf>
    <xf numFmtId="49" fontId="20" fillId="4" borderId="1" xfId="0" applyNumberFormat="1" applyFont="1" applyFill="1" applyBorder="1" applyAlignment="1">
      <alignment horizontal="center"/>
    </xf>
    <xf numFmtId="49" fontId="20" fillId="4" borderId="23" xfId="0" applyNumberFormat="1" applyFont="1" applyFill="1" applyBorder="1" applyAlignment="1">
      <alignment horizontal="center"/>
    </xf>
    <xf numFmtId="49" fontId="20" fillId="4" borderId="2" xfId="0" applyNumberFormat="1" applyFont="1" applyFill="1" applyBorder="1" applyAlignment="1">
      <alignment horizontal="center"/>
    </xf>
    <xf numFmtId="0" fontId="20" fillId="4" borderId="1" xfId="0" applyNumberFormat="1" applyFont="1" applyFill="1" applyBorder="1" applyAlignment="1">
      <alignment horizontal="center"/>
    </xf>
    <xf numFmtId="0" fontId="20" fillId="4" borderId="23" xfId="0" applyNumberFormat="1" applyFont="1" applyFill="1" applyBorder="1" applyAlignment="1">
      <alignment horizontal="center"/>
    </xf>
    <xf numFmtId="0" fontId="20" fillId="4" borderId="96" xfId="0" applyNumberFormat="1" applyFont="1" applyFill="1" applyBorder="1" applyAlignment="1">
      <alignment horizontal="center"/>
    </xf>
    <xf numFmtId="49" fontId="23" fillId="4" borderId="97" xfId="0" applyNumberFormat="1" applyFont="1" applyFill="1" applyBorder="1" applyAlignment="1" applyProtection="1">
      <alignment horizontal="left"/>
      <protection locked="0"/>
    </xf>
    <xf numFmtId="49" fontId="23" fillId="4" borderId="98" xfId="0" applyNumberFormat="1" applyFont="1" applyFill="1" applyBorder="1" applyAlignment="1" applyProtection="1">
      <alignment horizontal="left"/>
      <protection locked="0"/>
    </xf>
    <xf numFmtId="49" fontId="23" fillId="4" borderId="99" xfId="0" applyNumberFormat="1" applyFont="1" applyFill="1" applyBorder="1" applyAlignment="1" applyProtection="1">
      <alignment horizontal="left"/>
      <protection locked="0"/>
    </xf>
    <xf numFmtId="167" fontId="60" fillId="6" borderId="0" xfId="2" applyNumberFormat="1" applyFont="1" applyFill="1" applyBorder="1" applyAlignment="1" applyProtection="1">
      <alignment horizontal="center" vertical="center" shrinkToFit="1"/>
    </xf>
    <xf numFmtId="167" fontId="60" fillId="2" borderId="0" xfId="0" applyNumberFormat="1" applyFont="1" applyFill="1" applyBorder="1" applyAlignment="1" applyProtection="1">
      <alignment horizontal="center" vertical="center" shrinkToFit="1"/>
    </xf>
    <xf numFmtId="0" fontId="20" fillId="4" borderId="2" xfId="0" applyNumberFormat="1" applyFont="1" applyFill="1" applyBorder="1" applyAlignment="1">
      <alignment horizontal="center"/>
    </xf>
    <xf numFmtId="0" fontId="9" fillId="4" borderId="3" xfId="0" applyNumberFormat="1" applyFont="1" applyFill="1" applyBorder="1" applyAlignment="1">
      <alignment horizontal="center" vertical="center"/>
    </xf>
    <xf numFmtId="0" fontId="20" fillId="4" borderId="4" xfId="0" applyNumberFormat="1" applyFont="1" applyFill="1" applyBorder="1" applyAlignment="1">
      <alignment horizontal="center" vertical="center"/>
    </xf>
    <xf numFmtId="0" fontId="20" fillId="4" borderId="100" xfId="0" applyNumberFormat="1" applyFont="1" applyFill="1" applyBorder="1" applyAlignment="1">
      <alignment horizontal="center" vertical="center"/>
    </xf>
    <xf numFmtId="166" fontId="34" fillId="2" borderId="0" xfId="0" applyFont="1" applyFill="1" applyBorder="1" applyAlignment="1" applyProtection="1">
      <alignment horizontal="center" vertical="center"/>
    </xf>
    <xf numFmtId="0" fontId="16" fillId="0" borderId="76" xfId="0" applyNumberFormat="1" applyFont="1" applyFill="1" applyBorder="1" applyAlignment="1">
      <alignment horizontal="center" vertical="center"/>
    </xf>
    <xf numFmtId="0" fontId="16" fillId="0" borderId="77" xfId="0" applyNumberFormat="1" applyFont="1" applyFill="1" applyBorder="1" applyAlignment="1">
      <alignment horizontal="center" vertical="center"/>
    </xf>
    <xf numFmtId="0" fontId="16" fillId="0" borderId="32" xfId="0" applyNumberFormat="1" applyFont="1" applyFill="1" applyBorder="1" applyAlignment="1">
      <alignment horizontal="center" vertical="center"/>
    </xf>
    <xf numFmtId="0" fontId="22" fillId="3" borderId="0" xfId="0" applyNumberFormat="1" applyFont="1" applyFill="1" applyBorder="1" applyAlignment="1">
      <alignment horizontal="center" wrapText="1"/>
    </xf>
    <xf numFmtId="0" fontId="22" fillId="3" borderId="25" xfId="0" applyNumberFormat="1" applyFont="1" applyFill="1" applyBorder="1" applyAlignment="1">
      <alignment horizontal="center" wrapText="1"/>
    </xf>
    <xf numFmtId="0" fontId="20" fillId="8" borderId="1" xfId="0" applyNumberFormat="1" applyFont="1" applyFill="1" applyBorder="1" applyAlignment="1">
      <alignment horizontal="center"/>
    </xf>
    <xf numFmtId="0" fontId="20" fillId="8" borderId="23" xfId="0" applyNumberFormat="1" applyFont="1" applyFill="1" applyBorder="1" applyAlignment="1">
      <alignment horizontal="center"/>
    </xf>
    <xf numFmtId="0" fontId="20" fillId="8" borderId="2" xfId="0" applyNumberFormat="1" applyFont="1" applyFill="1" applyBorder="1" applyAlignment="1">
      <alignment horizontal="center"/>
    </xf>
    <xf numFmtId="0" fontId="33" fillId="2" borderId="24" xfId="0" applyNumberFormat="1" applyFont="1" applyFill="1" applyBorder="1" applyAlignment="1">
      <alignment horizontal="center"/>
    </xf>
    <xf numFmtId="0" fontId="33" fillId="2" borderId="0" xfId="0" applyNumberFormat="1" applyFont="1" applyFill="1" applyBorder="1" applyAlignment="1">
      <alignment horizontal="center"/>
    </xf>
    <xf numFmtId="0" fontId="33" fillId="2" borderId="25" xfId="0" applyNumberFormat="1" applyFont="1" applyFill="1" applyBorder="1" applyAlignment="1">
      <alignment horizontal="center"/>
    </xf>
    <xf numFmtId="166" fontId="39" fillId="3" borderId="0" xfId="0" applyFont="1" applyFill="1" applyBorder="1" applyAlignment="1"/>
    <xf numFmtId="166" fontId="39" fillId="3" borderId="25" xfId="0" applyFont="1" applyFill="1" applyBorder="1" applyAlignment="1"/>
    <xf numFmtId="0" fontId="67" fillId="2" borderId="0" xfId="0" applyNumberFormat="1" applyFont="1" applyFill="1" applyBorder="1" applyAlignment="1">
      <alignment horizontal="center"/>
    </xf>
    <xf numFmtId="0" fontId="12" fillId="3" borderId="24" xfId="0" applyNumberFormat="1" applyFont="1" applyFill="1" applyBorder="1" applyAlignment="1">
      <alignment horizontal="center" vertical="center" wrapText="1"/>
    </xf>
    <xf numFmtId="0" fontId="12" fillId="3" borderId="26" xfId="0" applyNumberFormat="1" applyFont="1" applyFill="1" applyBorder="1" applyAlignment="1">
      <alignment horizontal="center" vertical="center" wrapText="1"/>
    </xf>
    <xf numFmtId="0" fontId="22" fillId="3" borderId="12" xfId="0" applyNumberFormat="1" applyFont="1" applyFill="1" applyBorder="1" applyAlignment="1">
      <alignment horizontal="center" wrapText="1"/>
    </xf>
    <xf numFmtId="0" fontId="22" fillId="3" borderId="31" xfId="0" applyNumberFormat="1" applyFont="1" applyFill="1" applyBorder="1" applyAlignment="1">
      <alignment horizontal="center" wrapText="1"/>
    </xf>
  </cellXfs>
  <cellStyles count="8">
    <cellStyle name="Comma" xfId="1" builtinId="3"/>
    <cellStyle name="Hyperlink" xfId="2" builtinId="8"/>
    <cellStyle name="Normal" xfId="0" builtinId="0"/>
    <cellStyle name="Normal 2" xfId="3"/>
    <cellStyle name="Normal 3" xfId="4"/>
    <cellStyle name="Percent" xfId="5" builtinId="5" customBuiltin="1"/>
    <cellStyle name="Style 1" xfId="6"/>
    <cellStyle name="Style 2" xfId="7"/>
  </cellStyles>
  <dxfs count="110">
    <dxf>
      <font>
        <condense val="0"/>
        <extend val="0"/>
        <color indexed="9"/>
      </font>
    </dxf>
    <dxf>
      <font>
        <condense val="0"/>
        <extend val="0"/>
        <color indexed="21"/>
      </font>
    </dxf>
    <dxf>
      <font>
        <condense val="0"/>
        <extend val="0"/>
        <color indexed="44"/>
      </font>
    </dxf>
    <dxf>
      <font>
        <b/>
        <i val="0"/>
        <color theme="9" tint="-0.24994659260841701"/>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1"/>
      </font>
    </dxf>
    <dxf>
      <font>
        <color theme="9" tint="-0.24994659260841701"/>
        <name val="Cambria"/>
        <scheme val="none"/>
      </font>
    </dxf>
    <dxf>
      <font>
        <b/>
        <i val="0"/>
        <strike val="0"/>
        <color rgb="FFFF000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18"/>
      </font>
    </dxf>
    <dxf>
      <font>
        <condense val="0"/>
        <extend val="0"/>
        <color indexed="10"/>
      </font>
    </dxf>
    <dxf>
      <font>
        <color rgb="FF00FF0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condense val="0"/>
        <extend val="0"/>
        <color indexed="10"/>
      </font>
    </dxf>
    <dxf>
      <font>
        <condense val="0"/>
        <extend val="0"/>
        <color indexed="11"/>
      </font>
    </dxf>
    <dxf>
      <font>
        <condense val="0"/>
        <extend val="0"/>
        <color indexed="12"/>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44"/>
      </font>
      <border>
        <left/>
        <right/>
        <top/>
        <bottom/>
      </border>
    </dxf>
    <dxf>
      <font>
        <sz val="11"/>
      </font>
    </dxf>
    <dxf>
      <font>
        <name val="Calibri"/>
        <scheme val="minor"/>
      </font>
    </dxf>
    <dxf>
      <numFmt numFmtId="13" formatCode="0%"/>
    </dxf>
    <dxf>
      <protection locked="0"/>
    </dxf>
    <dxf>
      <numFmt numFmtId="166" formatCode="General_)"/>
    </dxf>
    <dxf>
      <font>
        <sz val="11"/>
      </font>
    </dxf>
    <dxf>
      <font>
        <name val="Calibri"/>
        <scheme val="minor"/>
      </font>
    </dxf>
    <dxf>
      <font>
        <b/>
        <sz val="11"/>
        <name val="Calibri"/>
        <scheme val="minor"/>
      </font>
    </dxf>
    <dxf>
      <numFmt numFmtId="1" formatCode="0"/>
    </dxf>
    <dxf>
      <numFmt numFmtId="1" formatCode="0"/>
    </dxf>
    <dxf>
      <numFmt numFmtId="2" formatCode="0.00"/>
    </dxf>
    <dxf>
      <numFmt numFmtId="2" formatCode="0.00"/>
    </dxf>
    <dxf>
      <numFmt numFmtId="1" formatCode="0"/>
    </dxf>
    <dxf>
      <numFmt numFmtId="3" formatCode="#,##0"/>
    </dxf>
    <dxf>
      <numFmt numFmtId="3" formatCode="#,##0"/>
    </dxf>
    <dxf>
      <font>
        <sz val="11"/>
      </font>
    </dxf>
    <dxf>
      <font>
        <name val="Calibri"/>
        <scheme val="minor"/>
      </font>
    </dxf>
    <dxf>
      <font>
        <b/>
      </font>
    </dxf>
    <dxf>
      <numFmt numFmtId="168" formatCode="0.0"/>
    </dxf>
    <dxf>
      <font>
        <sz val="11"/>
      </font>
    </dxf>
    <dxf>
      <font>
        <name val="Calibri"/>
        <scheme val="minor"/>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[NutVal-4.1.xlsm]PivotChart1!PivotTable1</c:name>
    <c:fmtId val="0"/>
  </c:pivotSource>
  <c:chart>
    <c:autoTitleDeleted val="0"/>
    <c:pivotFmts>
      <c:pivotFmt>
        <c:idx val="0"/>
      </c:pivotFmt>
      <c:pivotFmt>
        <c:idx val="1"/>
      </c:pivotFmt>
      <c:pivotFmt>
        <c:idx val="2"/>
      </c:pivotFmt>
      <c:pivotFmt>
        <c:idx val="3"/>
      </c:pivotFmt>
      <c:pivotFmt>
        <c:idx val="4"/>
      </c:pivotFmt>
      <c:pivotFmt>
        <c:idx val="5"/>
      </c:pivotFmt>
    </c:pivotFmts>
    <c:plotArea>
      <c:layout/>
      <c:lineChart>
        <c:grouping val="standard"/>
        <c:varyColors val="0"/>
        <c:ser>
          <c:idx val="0"/>
          <c:order val="0"/>
          <c:tx>
            <c:strRef>
              <c:f>PivotChart1!$D$8:$D$9</c:f>
              <c:strCache>
                <c:ptCount val="1"/>
                <c:pt idx="0">
                  <c:v>Sum of Energy (kcal)</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PivotChart1!$D$10:$D$12</c:f>
              <c:numCache>
                <c:formatCode>General</c:formatCode>
                <c:ptCount val="3"/>
                <c:pt idx="0">
                  <c:v>1.0599276190476192</c:v>
                </c:pt>
                <c:pt idx="1">
                  <c:v>1.0372895238095239</c:v>
                </c:pt>
                <c:pt idx="2">
                  <c:v>1.0599133333333333</c:v>
                </c:pt>
              </c:numCache>
            </c:numRef>
          </c:val>
          <c:smooth val="0"/>
        </c:ser>
        <c:ser>
          <c:idx val="1"/>
          <c:order val="1"/>
          <c:tx>
            <c:strRef>
              <c:f>PivotChart1!$E$8:$E$9</c:f>
              <c:strCache>
                <c:ptCount val="1"/>
                <c:pt idx="0">
                  <c:v>Count of Protein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PivotChart1!$E$10:$E$12</c:f>
              <c:numCache>
                <c:formatCode>General</c:formatCode>
                <c:ptCount val="3"/>
                <c:pt idx="0">
                  <c:v>1</c:v>
                </c:pt>
                <c:pt idx="1">
                  <c:v>1</c:v>
                </c:pt>
                <c:pt idx="2">
                  <c:v>1</c:v>
                </c:pt>
              </c:numCache>
            </c:numRef>
          </c:val>
          <c:smooth val="0"/>
        </c:ser>
        <c:ser>
          <c:idx val="2"/>
          <c:order val="2"/>
          <c:tx>
            <c:strRef>
              <c:f>PivotChart1!$F$8:$F$9</c:f>
              <c:strCache>
                <c:ptCount val="1"/>
                <c:pt idx="0">
                  <c:v>Sum of Fat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PivotChart1!$F$10:$F$12</c:f>
              <c:numCache>
                <c:formatCode>General</c:formatCode>
                <c:ptCount val="3"/>
                <c:pt idx="0">
                  <c:v>1.111915</c:v>
                </c:pt>
                <c:pt idx="1">
                  <c:v>1.2427699999999999</c:v>
                </c:pt>
                <c:pt idx="2">
                  <c:v>1.0779999999999998</c:v>
                </c:pt>
              </c:numCache>
            </c:numRef>
          </c:val>
          <c:smooth val="0"/>
        </c:ser>
        <c:dLbls>
          <c:showLegendKey val="0"/>
          <c:showVal val="0"/>
          <c:showCatName val="0"/>
          <c:showSerName val="0"/>
          <c:showPercent val="0"/>
          <c:showBubbleSize val="0"/>
        </c:dLbls>
        <c:marker val="1"/>
        <c:smooth val="0"/>
        <c:axId val="-984180736"/>
        <c:axId val="-984166592"/>
      </c:lineChart>
      <c:catAx>
        <c:axId val="-9841807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984166592"/>
        <c:crosses val="autoZero"/>
        <c:auto val="0"/>
        <c:lblAlgn val="ctr"/>
        <c:lblOffset val="100"/>
        <c:noMultiLvlLbl val="0"/>
      </c:catAx>
      <c:valAx>
        <c:axId val="-98416659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98418073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[NutVal-4.1.xlsm]PivotChart2!PivotTable4</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s>
    <c:plotArea>
      <c:layout/>
      <c:lineChart>
        <c:grouping val="standard"/>
        <c:varyColors val="0"/>
        <c:ser>
          <c:idx val="0"/>
          <c:order val="0"/>
          <c:tx>
            <c:strRef>
              <c:f>PivotChart2!$E$11:$E$12</c:f>
              <c:strCache>
                <c:ptCount val="1"/>
                <c:pt idx="0">
                  <c:v>Sum of Thiamine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PivotChart2!$E$13:$E$19</c:f>
              <c:numCache>
                <c:formatCode>General</c:formatCode>
                <c:ptCount val="3"/>
                <c:pt idx="0">
                  <c:v>2.4585818181818189</c:v>
                </c:pt>
                <c:pt idx="1">
                  <c:v>2.2224727272727272</c:v>
                </c:pt>
                <c:pt idx="2">
                  <c:v>1.496909090909091</c:v>
                </c:pt>
              </c:numCache>
            </c:numRef>
          </c:val>
          <c:smooth val="0"/>
        </c:ser>
        <c:ser>
          <c:idx val="1"/>
          <c:order val="1"/>
          <c:tx>
            <c:strRef>
              <c:f>PivotChart2!$F$11:$F$12</c:f>
              <c:strCache>
                <c:ptCount val="1"/>
                <c:pt idx="0">
                  <c:v>Sum of Riboflavin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PivotChart2!$F$13:$F$19</c:f>
              <c:numCache>
                <c:formatCode>General</c:formatCode>
                <c:ptCount val="3"/>
                <c:pt idx="0">
                  <c:v>1.0509818181818178</c:v>
                </c:pt>
                <c:pt idx="1">
                  <c:v>1.2671272727272727</c:v>
                </c:pt>
                <c:pt idx="2">
                  <c:v>0.77104545454545448</c:v>
                </c:pt>
              </c:numCache>
            </c:numRef>
          </c:val>
          <c:smooth val="0"/>
        </c:ser>
        <c:ser>
          <c:idx val="2"/>
          <c:order val="2"/>
          <c:tx>
            <c:strRef>
              <c:f>PivotChart2!$G$11:$G$12</c:f>
              <c:strCache>
                <c:ptCount val="1"/>
                <c:pt idx="0">
                  <c:v>Sum of Niacin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PivotChart2!$G$13:$G$19</c:f>
              <c:numCache>
                <c:formatCode>General</c:formatCode>
                <c:ptCount val="3"/>
                <c:pt idx="0">
                  <c:v>2.3366326086956524</c:v>
                </c:pt>
                <c:pt idx="1">
                  <c:v>1.2269642512077295</c:v>
                </c:pt>
                <c:pt idx="2">
                  <c:v>1.1127536231884056</c:v>
                </c:pt>
              </c:numCache>
            </c:numRef>
          </c:val>
          <c:smooth val="0"/>
        </c:ser>
        <c:ser>
          <c:idx val="3"/>
          <c:order val="3"/>
          <c:tx>
            <c:strRef>
              <c:f>PivotChart2!$H$11:$H$12</c:f>
              <c:strCache>
                <c:ptCount val="1"/>
                <c:pt idx="0">
                  <c:v>Sum of Pantothenate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PivotChart2!$H$13:$H$19</c:f>
              <c:numCache>
                <c:formatCode>General</c:formatCode>
                <c:ptCount val="3"/>
                <c:pt idx="0">
                  <c:v>1.278582608695652</c:v>
                </c:pt>
                <c:pt idx="1">
                  <c:v>0.78535652173913051</c:v>
                </c:pt>
                <c:pt idx="2">
                  <c:v>1.8428260869565221</c:v>
                </c:pt>
              </c:numCache>
            </c:numRef>
          </c:val>
          <c:smooth val="0"/>
        </c:ser>
        <c:ser>
          <c:idx val="4"/>
          <c:order val="4"/>
          <c:tx>
            <c:strRef>
              <c:f>PivotChart2!$I$11:$I$12</c:f>
              <c:strCache>
                <c:ptCount val="1"/>
                <c:pt idx="0">
                  <c:v>Sum of Pyridoxine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PivotChart2!$I$13:$I$19</c:f>
              <c:numCache>
                <c:formatCode>General</c:formatCode>
                <c:ptCount val="3"/>
                <c:pt idx="0">
                  <c:v>2.3920916666666665</c:v>
                </c:pt>
                <c:pt idx="1">
                  <c:v>3.1414000000000004</c:v>
                </c:pt>
                <c:pt idx="2">
                  <c:v>1.7279166666666668</c:v>
                </c:pt>
              </c:numCache>
            </c:numRef>
          </c:val>
          <c:smooth val="0"/>
        </c:ser>
        <c:ser>
          <c:idx val="5"/>
          <c:order val="5"/>
          <c:tx>
            <c:strRef>
              <c:f>PivotChart2!$J$11:$J$12</c:f>
              <c:strCache>
                <c:ptCount val="1"/>
                <c:pt idx="0">
                  <c:v>Sum of Folate (µg DFE)</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PivotChart2!$J$13:$J$19</c:f>
              <c:numCache>
                <c:formatCode>General</c:formatCode>
                <c:ptCount val="3"/>
                <c:pt idx="0">
                  <c:v>1.8065619834710744</c:v>
                </c:pt>
                <c:pt idx="1">
                  <c:v>1.2429807162534434</c:v>
                </c:pt>
                <c:pt idx="2">
                  <c:v>1.931190082644628</c:v>
                </c:pt>
              </c:numCache>
            </c:numRef>
          </c:val>
          <c:smooth val="0"/>
        </c:ser>
        <c:ser>
          <c:idx val="6"/>
          <c:order val="6"/>
          <c:tx>
            <c:strRef>
              <c:f>PivotChart2!$K$11:$K$12</c:f>
              <c:strCache>
                <c:ptCount val="1"/>
                <c:pt idx="0">
                  <c:v>Sum of Vitamin B12 (μg)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PivotChart2!$K$13:$K$19</c:f>
              <c:numCache>
                <c:formatCode>General</c:formatCode>
                <c:ptCount val="3"/>
                <c:pt idx="0">
                  <c:v>0.54545454545454541</c:v>
                </c:pt>
                <c:pt idx="1">
                  <c:v>0.54545454545454541</c:v>
                </c:pt>
                <c:pt idx="2">
                  <c:v>0.54545454545454541</c:v>
                </c:pt>
              </c:numCache>
            </c:numRef>
          </c:val>
          <c:smooth val="0"/>
        </c:ser>
        <c:ser>
          <c:idx val="7"/>
          <c:order val="7"/>
          <c:tx>
            <c:strRef>
              <c:f>PivotChart2!$L$11:$L$12</c:f>
              <c:strCache>
                <c:ptCount val="1"/>
                <c:pt idx="0">
                  <c:v>Sum of Vitamin C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PivotChart2!$L$13:$L$19</c:f>
              <c:numCache>
                <c:formatCode>General</c:formatCode>
                <c:ptCount val="3"/>
                <c:pt idx="0">
                  <c:v>1.9114663461538459</c:v>
                </c:pt>
                <c:pt idx="1">
                  <c:v>1.5329807692307691</c:v>
                </c:pt>
                <c:pt idx="2">
                  <c:v>1.5824999999999998</c:v>
                </c:pt>
              </c:numCache>
            </c:numRef>
          </c:val>
          <c:smooth val="0"/>
        </c:ser>
        <c:dLbls>
          <c:showLegendKey val="0"/>
          <c:showVal val="0"/>
          <c:showCatName val="0"/>
          <c:showSerName val="0"/>
          <c:showPercent val="0"/>
          <c:showBubbleSize val="0"/>
        </c:dLbls>
        <c:marker val="1"/>
        <c:smooth val="0"/>
        <c:axId val="-788292480"/>
        <c:axId val="-788294112"/>
      </c:lineChart>
      <c:catAx>
        <c:axId val="-7882924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4112"/>
        <c:crosses val="autoZero"/>
        <c:auto val="0"/>
        <c:lblAlgn val="ctr"/>
        <c:lblOffset val="100"/>
        <c:noMultiLvlLbl val="0"/>
      </c:catAx>
      <c:valAx>
        <c:axId val="-78829411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248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[NutVal-4.1.xlsm]PivotChart3!PivotTable1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s>
    <c:plotArea>
      <c:layout/>
      <c:lineChart>
        <c:grouping val="standard"/>
        <c:varyColors val="0"/>
        <c:ser>
          <c:idx val="0"/>
          <c:order val="0"/>
          <c:tx>
            <c:strRef>
              <c:f>PivotChart3!$D$10:$D$11</c:f>
              <c:strCache>
                <c:ptCount val="1"/>
                <c:pt idx="0">
                  <c:v>Sum of Vitamin A (µg RAE)</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PivotChart3!$D$12:$D$17</c:f>
              <c:numCache>
                <c:formatCode>0%</c:formatCode>
                <c:ptCount val="3"/>
                <c:pt idx="0">
                  <c:v>1.5404586732186734</c:v>
                </c:pt>
                <c:pt idx="1">
                  <c:v>1.0149222276822276</c:v>
                </c:pt>
                <c:pt idx="2">
                  <c:v>1.1830860278460278</c:v>
                </c:pt>
              </c:numCache>
            </c:numRef>
          </c:val>
          <c:smooth val="0"/>
        </c:ser>
        <c:ser>
          <c:idx val="1"/>
          <c:order val="1"/>
          <c:tx>
            <c:strRef>
              <c:f>PivotChart3!$E$10:$E$11</c:f>
              <c:strCache>
                <c:ptCount val="1"/>
                <c:pt idx="0">
                  <c:v>Sum of Vitamin D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PivotChart3!$E$12:$E$17</c:f>
              <c:numCache>
                <c:formatCode>0%</c:formatCode>
                <c:ptCount val="3"/>
                <c:pt idx="0">
                  <c:v>0.95901639344262291</c:v>
                </c:pt>
                <c:pt idx="1">
                  <c:v>0.89754098360655732</c:v>
                </c:pt>
                <c:pt idx="2">
                  <c:v>1.0204918032786885</c:v>
                </c:pt>
              </c:numCache>
            </c:numRef>
          </c:val>
          <c:smooth val="0"/>
        </c:ser>
        <c:ser>
          <c:idx val="2"/>
          <c:order val="2"/>
          <c:tx>
            <c:strRef>
              <c:f>PivotChart3!$F$10:$F$11</c:f>
              <c:strCache>
                <c:ptCount val="1"/>
                <c:pt idx="0">
                  <c:v>Sum of Vitamin E (mg)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PivotChart3!$F$12:$F$17</c:f>
              <c:numCache>
                <c:formatCode>0%</c:formatCode>
                <c:ptCount val="3"/>
                <c:pt idx="0">
                  <c:v>1.47495</c:v>
                </c:pt>
                <c:pt idx="1">
                  <c:v>0.73759999999999992</c:v>
                </c:pt>
                <c:pt idx="2">
                  <c:v>0.79349999999999998</c:v>
                </c:pt>
              </c:numCache>
            </c:numRef>
          </c:val>
          <c:smooth val="0"/>
        </c:ser>
        <c:ser>
          <c:idx val="3"/>
          <c:order val="3"/>
          <c:tx>
            <c:strRef>
              <c:f>PivotChart3!$G$10:$G$11</c:f>
              <c:strCache>
                <c:ptCount val="1"/>
                <c:pt idx="0">
                  <c:v>Sum of Vitamin K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PivotChart3!$G$12:$G$17</c:f>
              <c:numCache>
                <c:formatCode>0%</c:formatCode>
                <c:ptCount val="3"/>
                <c:pt idx="0">
                  <c:v>7.0618464730290444</c:v>
                </c:pt>
                <c:pt idx="1">
                  <c:v>0.12879668049792534</c:v>
                </c:pt>
                <c:pt idx="2">
                  <c:v>0.12448132780082986</c:v>
                </c:pt>
              </c:numCache>
            </c:numRef>
          </c:val>
          <c:smooth val="0"/>
        </c:ser>
        <c:dLbls>
          <c:showLegendKey val="0"/>
          <c:showVal val="0"/>
          <c:showCatName val="0"/>
          <c:showSerName val="0"/>
          <c:showPercent val="0"/>
          <c:showBubbleSize val="0"/>
        </c:dLbls>
        <c:marker val="1"/>
        <c:smooth val="0"/>
        <c:axId val="-788290304"/>
        <c:axId val="-788297376"/>
      </c:lineChart>
      <c:catAx>
        <c:axId val="-78829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7376"/>
        <c:crosses val="autoZero"/>
        <c:auto val="0"/>
        <c:lblAlgn val="ctr"/>
        <c:lblOffset val="100"/>
        <c:noMultiLvlLbl val="0"/>
      </c:catAx>
      <c:valAx>
        <c:axId val="-788297376"/>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0304"/>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[NutVal-4.1.xlsm]PivotChart4!PivotTable1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s>
    <c:plotArea>
      <c:layout/>
      <c:lineChart>
        <c:grouping val="standard"/>
        <c:varyColors val="0"/>
        <c:ser>
          <c:idx val="0"/>
          <c:order val="0"/>
          <c:tx>
            <c:strRef>
              <c:f>PivotChart4!$D$8:$D$9</c:f>
              <c:strCache>
                <c:ptCount val="1"/>
                <c:pt idx="0">
                  <c:v>Sum of Calcium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PivotChart4!$D$10:$D$12</c:f>
              <c:numCache>
                <c:formatCode>General</c:formatCode>
                <c:ptCount val="3"/>
                <c:pt idx="0">
                  <c:v>0.60930030333670371</c:v>
                </c:pt>
                <c:pt idx="1">
                  <c:v>0.38338523761375126</c:v>
                </c:pt>
                <c:pt idx="2">
                  <c:v>0.34038220424671389</c:v>
                </c:pt>
              </c:numCache>
            </c:numRef>
          </c:val>
          <c:smooth val="0"/>
        </c:ser>
        <c:ser>
          <c:idx val="1"/>
          <c:order val="1"/>
          <c:tx>
            <c:strRef>
              <c:f>PivotChart4!$E$8:$E$9</c:f>
              <c:strCache>
                <c:ptCount val="1"/>
                <c:pt idx="0">
                  <c:v>Sum of Copper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PivotChart4!$E$10:$E$12</c:f>
              <c:numCache>
                <c:formatCode>0%</c:formatCode>
                <c:ptCount val="3"/>
                <c:pt idx="0">
                  <c:v>2.6244000000000001</c:v>
                </c:pt>
                <c:pt idx="1">
                  <c:v>2.0282909090909089</c:v>
                </c:pt>
                <c:pt idx="2">
                  <c:v>1.1728636363636364</c:v>
                </c:pt>
              </c:numCache>
            </c:numRef>
          </c:val>
          <c:smooth val="0"/>
        </c:ser>
        <c:ser>
          <c:idx val="2"/>
          <c:order val="2"/>
          <c:tx>
            <c:strRef>
              <c:f>PivotChart4!$F$8:$F$9</c:f>
              <c:strCache>
                <c:ptCount val="1"/>
                <c:pt idx="0">
                  <c:v>Sum of Iodine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PivotChart4!$F$10:$F$12</c:f>
              <c:numCache>
                <c:formatCode>0%</c:formatCode>
                <c:ptCount val="3"/>
                <c:pt idx="0">
                  <c:v>1.6231884057971016</c:v>
                </c:pt>
                <c:pt idx="1">
                  <c:v>1.6231884057971016</c:v>
                </c:pt>
                <c:pt idx="2">
                  <c:v>1.6231884057971016</c:v>
                </c:pt>
              </c:numCache>
            </c:numRef>
          </c:val>
          <c:smooth val="0"/>
        </c:ser>
        <c:ser>
          <c:idx val="3"/>
          <c:order val="3"/>
          <c:tx>
            <c:strRef>
              <c:f>PivotChart4!$G$8:$G$9</c:f>
              <c:strCache>
                <c:ptCount val="1"/>
                <c:pt idx="0">
                  <c:v>Sum of Iron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PivotChart4!$G$10:$G$12</c:f>
              <c:numCache>
                <c:formatCode>0%</c:formatCode>
                <c:ptCount val="3"/>
                <c:pt idx="0">
                  <c:v>1.0777656249999998</c:v>
                </c:pt>
                <c:pt idx="1">
                  <c:v>0.67018749999999994</c:v>
                </c:pt>
                <c:pt idx="2">
                  <c:v>0.54676562500000003</c:v>
                </c:pt>
              </c:numCache>
            </c:numRef>
          </c:val>
          <c:smooth val="0"/>
        </c:ser>
        <c:ser>
          <c:idx val="4"/>
          <c:order val="4"/>
          <c:tx>
            <c:strRef>
              <c:f>PivotChart4!$H$8:$H$9</c:f>
              <c:strCache>
                <c:ptCount val="1"/>
                <c:pt idx="0">
                  <c:v>Sum of Magnesium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PivotChart4!$H$10:$H$12</c:f>
              <c:numCache>
                <c:formatCode>0%</c:formatCode>
                <c:ptCount val="3"/>
                <c:pt idx="0">
                  <c:v>3.3890049751243785</c:v>
                </c:pt>
                <c:pt idx="1">
                  <c:v>3.2135323383084575</c:v>
                </c:pt>
                <c:pt idx="2">
                  <c:v>1.3378109452736318</c:v>
                </c:pt>
              </c:numCache>
            </c:numRef>
          </c:val>
          <c:smooth val="0"/>
        </c:ser>
        <c:ser>
          <c:idx val="5"/>
          <c:order val="5"/>
          <c:tx>
            <c:strRef>
              <c:f>PivotChart4!$I$8:$I$9</c:f>
              <c:strCache>
                <c:ptCount val="1"/>
                <c:pt idx="0">
                  <c:v>Sum of Selenium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PivotChart4!$I$10:$I$12</c:f>
              <c:numCache>
                <c:formatCode>0%</c:formatCode>
                <c:ptCount val="3"/>
                <c:pt idx="0">
                  <c:v>13.213188405797101</c:v>
                </c:pt>
                <c:pt idx="1">
                  <c:v>2.9881884057971009</c:v>
                </c:pt>
                <c:pt idx="2">
                  <c:v>0.7095652173913044</c:v>
                </c:pt>
              </c:numCache>
            </c:numRef>
          </c:val>
          <c:smooth val="0"/>
        </c:ser>
        <c:ser>
          <c:idx val="6"/>
          <c:order val="6"/>
          <c:tx>
            <c:strRef>
              <c:f>PivotChart4!$J$8:$J$9</c:f>
              <c:strCache>
                <c:ptCount val="1"/>
                <c:pt idx="0">
                  <c:v>Sum of Zinc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PivotChart4!$J$10:$J$12</c:f>
              <c:numCache>
                <c:formatCode>0%</c:formatCode>
                <c:ptCount val="3"/>
                <c:pt idx="0">
                  <c:v>1.6991209677419357</c:v>
                </c:pt>
                <c:pt idx="1">
                  <c:v>1.2597419354838708</c:v>
                </c:pt>
                <c:pt idx="2">
                  <c:v>1.1616532258064516</c:v>
                </c:pt>
              </c:numCache>
            </c:numRef>
          </c:val>
          <c:smooth val="0"/>
        </c:ser>
        <c:dLbls>
          <c:showLegendKey val="0"/>
          <c:showVal val="0"/>
          <c:showCatName val="0"/>
          <c:showSerName val="0"/>
          <c:showPercent val="0"/>
          <c:showBubbleSize val="0"/>
        </c:dLbls>
        <c:marker val="1"/>
        <c:smooth val="0"/>
        <c:axId val="-788293568"/>
        <c:axId val="-788291936"/>
      </c:lineChart>
      <c:catAx>
        <c:axId val="-78829356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1936"/>
        <c:crosses val="autoZero"/>
        <c:auto val="0"/>
        <c:lblAlgn val="ctr"/>
        <c:lblOffset val="100"/>
        <c:noMultiLvlLbl val="0"/>
      </c:catAx>
      <c:valAx>
        <c:axId val="-788291936"/>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3568"/>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Energy Supplied by Different Macronutrients</a:t>
            </a:r>
          </a:p>
        </c:rich>
      </c:tx>
      <c:layout>
        <c:manualLayout>
          <c:xMode val="edge"/>
          <c:yMode val="edge"/>
          <c:x val="0.16856485686019329"/>
          <c:y val="4.1379310344827586E-2"/>
        </c:manualLayout>
      </c:layout>
      <c:overlay val="0"/>
    </c:title>
    <c:autoTitleDeleted val="0"/>
    <c:plotArea>
      <c:layout>
        <c:manualLayout>
          <c:layoutTarget val="inner"/>
          <c:xMode val="edge"/>
          <c:yMode val="edge"/>
          <c:x val="0.33295368261199698"/>
          <c:y val="0.2329516396657314"/>
          <c:w val="0.31662870159453305"/>
          <c:h val="0.63908045977011496"/>
        </c:manualLayout>
      </c:layout>
      <c:pieChart>
        <c:varyColors val="1"/>
        <c:ser>
          <c:idx val="0"/>
          <c:order val="0"/>
          <c:tx>
            <c:v>Percentage</c:v>
          </c:tx>
          <c:dPt>
            <c:idx val="0"/>
            <c:bubble3D val="0"/>
          </c:dPt>
          <c:dPt>
            <c:idx val="1"/>
            <c:bubble3D val="0"/>
          </c:dPt>
          <c:dPt>
            <c:idx val="2"/>
            <c:bubble3D val="0"/>
          </c:dPt>
          <c:dLbls>
            <c:numFmt formatCode="0%" sourceLinked="0"/>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nl-BE"/>
              </a:p>
            </c:txPr>
            <c:dLblPos val="ctr"/>
            <c:showLegendKey val="0"/>
            <c:showVal val="0"/>
            <c:showCatName val="1"/>
            <c:showSerName val="0"/>
            <c:showPercent val="1"/>
            <c:showBubbleSize val="0"/>
            <c:showLeaderLines val="1"/>
            <c:extLst>
              <c:ext xmlns:c15="http://schemas.microsoft.com/office/drawing/2012/chart" uri="{CE6537A1-D6FC-4f65-9D91-7224C49458BB}"/>
            </c:extLst>
          </c:dLbls>
          <c:cat>
            <c:strRef>
              <c:f>'Calculation Sheet'!$A$66:$A$68</c:f>
              <c:strCache>
                <c:ptCount val="3"/>
                <c:pt idx="0">
                  <c:v>Carbohydrate</c:v>
                </c:pt>
                <c:pt idx="1">
                  <c:v>Protein</c:v>
                </c:pt>
                <c:pt idx="2">
                  <c:v>Fat</c:v>
                </c:pt>
              </c:strCache>
            </c:strRef>
          </c:cat>
          <c:val>
            <c:numRef>
              <c:f>'Calculation Sheet'!$G$52:$I$52</c:f>
              <c:numCache>
                <c:formatCode>0\.0%</c:formatCode>
                <c:ptCount val="3"/>
                <c:pt idx="0" formatCode="0%">
                  <c:v>0.67674369498725884</c:v>
                </c:pt>
                <c:pt idx="1">
                  <c:v>0.14341949674910415</c:v>
                </c:pt>
                <c:pt idx="2">
                  <c:v>0.17983680826363702</c:v>
                </c:pt>
              </c:numCache>
            </c:numRef>
          </c:val>
        </c:ser>
        <c:dLbls>
          <c:showLegendKey val="0"/>
          <c:showVal val="0"/>
          <c:showCatName val="0"/>
          <c:showSerName val="0"/>
          <c:showPercent val="0"/>
          <c:showBubbleSize val="0"/>
          <c:showLeaderLines val="1"/>
        </c:dLbls>
        <c:firstSliceAng val="130"/>
      </c:pieChart>
      <c:spPr>
        <a:noFill/>
        <a:ln w="25400">
          <a:noFill/>
        </a:ln>
      </c:spPr>
    </c:plotArea>
    <c:plotVisOnly val="0"/>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Energy and Vitamins Requirements Provided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Energy and Vitamins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'Vitamin Bar Chart'!$B$28:$N$28</c:f>
              <c:strCache>
                <c:ptCount val="13"/>
                <c:pt idx="0">
                  <c:v>Energy</c:v>
                </c:pt>
                <c:pt idx="1">
                  <c:v>Vitamin A</c:v>
                </c:pt>
                <c:pt idx="2">
                  <c:v>Vitamin B1</c:v>
                </c:pt>
                <c:pt idx="3">
                  <c:v>Vitamin B2</c:v>
                </c:pt>
                <c:pt idx="4">
                  <c:v>Vitamin B3</c:v>
                </c:pt>
                <c:pt idx="5">
                  <c:v>Vitamin B5</c:v>
                </c:pt>
                <c:pt idx="6">
                  <c:v>Vitamin B6</c:v>
                </c:pt>
                <c:pt idx="7">
                  <c:v>Vitamin B9</c:v>
                </c:pt>
                <c:pt idx="8">
                  <c:v>Vitamin B12</c:v>
                </c:pt>
                <c:pt idx="9">
                  <c:v>Vitamin C</c:v>
                </c:pt>
                <c:pt idx="10">
                  <c:v>Vitamin D </c:v>
                </c:pt>
                <c:pt idx="11">
                  <c:v>Vitamin E</c:v>
                </c:pt>
                <c:pt idx="12">
                  <c:v>Vitamin K </c:v>
                </c:pt>
              </c:strCache>
            </c:strRef>
          </c:cat>
          <c:val>
            <c:numRef>
              <c:f>'Calculation Sheet'!$G$51:$AC$51</c:f>
              <c:numCache>
                <c:formatCode>0%</c:formatCode>
                <c:ptCount val="10"/>
                <c:pt idx="0">
                  <c:v>1.0599276190476192</c:v>
                </c:pt>
                <c:pt idx="1">
                  <c:v>1.5201428571428572</c:v>
                </c:pt>
                <c:pt idx="2">
                  <c:v>1.111915</c:v>
                </c:pt>
                <c:pt idx="3">
                  <c:v>0.60930030333670371</c:v>
                </c:pt>
                <c:pt idx="4">
                  <c:v>2.6244000000000001</c:v>
                </c:pt>
                <c:pt idx="5">
                  <c:v>1.6231884057971016</c:v>
                </c:pt>
                <c:pt idx="6">
                  <c:v>1.0777656249999998</c:v>
                </c:pt>
                <c:pt idx="7">
                  <c:v>3.3890049751243785</c:v>
                </c:pt>
                <c:pt idx="8">
                  <c:v>13.213188405797101</c:v>
                </c:pt>
                <c:pt idx="9">
                  <c:v>1.6991209677419357</c:v>
                </c:pt>
              </c:numCache>
            </c:numRef>
          </c:val>
        </c:ser>
        <c:dLbls>
          <c:showLegendKey val="0"/>
          <c:showVal val="0"/>
          <c:showCatName val="0"/>
          <c:showSerName val="0"/>
          <c:showPercent val="0"/>
          <c:showBubbleSize val="0"/>
        </c:dLbls>
        <c:gapWidth val="150"/>
        <c:axId val="-788293024"/>
        <c:axId val="-788299552"/>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cat>
          <c:val>
            <c:numLit>
              <c:formatCode>General</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Lit>
          </c:val>
          <c:smooth val="0"/>
        </c:ser>
        <c:dLbls>
          <c:showLegendKey val="0"/>
          <c:showVal val="0"/>
          <c:showCatName val="0"/>
          <c:showSerName val="0"/>
          <c:showPercent val="0"/>
          <c:showBubbleSize val="0"/>
        </c:dLbls>
        <c:marker val="1"/>
        <c:smooth val="0"/>
        <c:axId val="-788291392"/>
        <c:axId val="-788285952"/>
      </c:lineChart>
      <c:catAx>
        <c:axId val="-78829302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788299552"/>
        <c:crosses val="autoZero"/>
        <c:auto val="1"/>
        <c:lblAlgn val="ctr"/>
        <c:lblOffset val="100"/>
        <c:tickLblSkip val="1"/>
        <c:tickMarkSkip val="1"/>
        <c:noMultiLvlLbl val="0"/>
      </c:catAx>
      <c:valAx>
        <c:axId val="-788299552"/>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3024"/>
        <c:crosses val="autoZero"/>
        <c:crossBetween val="between"/>
      </c:valAx>
      <c:catAx>
        <c:axId val="-788291392"/>
        <c:scaling>
          <c:orientation val="minMax"/>
        </c:scaling>
        <c:delete val="1"/>
        <c:axPos val="b"/>
        <c:numFmt formatCode="General" sourceLinked="1"/>
        <c:majorTickMark val="out"/>
        <c:minorTickMark val="none"/>
        <c:tickLblPos val="nextTo"/>
        <c:crossAx val="-788285952"/>
        <c:crosses val="autoZero"/>
        <c:auto val="0"/>
        <c:lblAlgn val="ctr"/>
        <c:lblOffset val="100"/>
        <c:noMultiLvlLbl val="0"/>
      </c:catAx>
      <c:valAx>
        <c:axId val="-788285952"/>
        <c:scaling>
          <c:orientation val="minMax"/>
        </c:scaling>
        <c:delete val="1"/>
        <c:axPos val="r"/>
        <c:numFmt formatCode="General" sourceLinked="1"/>
        <c:majorTickMark val="out"/>
        <c:minorTickMark val="none"/>
        <c:tickLblPos val="nextTo"/>
        <c:crossAx val="-788291392"/>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Vitamin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overlay val="1"/>
    </c:title>
    <c:autoTitleDeleted val="0"/>
    <c:plotArea>
      <c:layout>
        <c:manualLayout>
          <c:layoutTarget val="inner"/>
          <c:xMode val="edge"/>
          <c:yMode val="edge"/>
          <c:x val="0.34096645972138095"/>
          <c:y val="0.25526195432467491"/>
          <c:w val="0.30599848139711466"/>
          <c:h val="0.61762452107279697"/>
        </c:manualLayout>
      </c:layout>
      <c:radarChart>
        <c:radarStyle val="filled"/>
        <c:varyColors val="0"/>
        <c:ser>
          <c:idx val="0"/>
          <c:order val="0"/>
          <c:tx>
            <c:v>Percentage</c:v>
          </c:tx>
          <c:cat>
            <c:strRef>
              <c:f>'Vitamin Radar Chart'!$B$28:$M$28</c:f>
              <c:strCache>
                <c:ptCount val="12"/>
                <c:pt idx="0">
                  <c:v>Vitamin A</c:v>
                </c:pt>
                <c:pt idx="1">
                  <c:v>Vitamin B1</c:v>
                </c:pt>
                <c:pt idx="2">
                  <c:v>Vitamin B2</c:v>
                </c:pt>
                <c:pt idx="3">
                  <c:v>Vitamin B3</c:v>
                </c:pt>
                <c:pt idx="4">
                  <c:v>Vitamin B5</c:v>
                </c:pt>
                <c:pt idx="5">
                  <c:v>Vitamin B6</c:v>
                </c:pt>
                <c:pt idx="6">
                  <c:v>Vitamin B9</c:v>
                </c:pt>
                <c:pt idx="7">
                  <c:v>Vitamin B12</c:v>
                </c:pt>
                <c:pt idx="8">
                  <c:v>Vitamin C</c:v>
                </c:pt>
                <c:pt idx="9">
                  <c:v>Vitamin D </c:v>
                </c:pt>
                <c:pt idx="10">
                  <c:v>Vitamin E</c:v>
                </c:pt>
                <c:pt idx="11">
                  <c:v>Vitamin K </c:v>
                </c:pt>
              </c:strCache>
            </c:strRef>
          </c:cat>
          <c:val>
            <c:numRef>
              <c:f>'Calculation Sheet'!$H$51:$AC$51</c:f>
              <c:numCache>
                <c:formatCode>0%</c:formatCode>
                <c:ptCount val="9"/>
                <c:pt idx="0">
                  <c:v>1.5201428571428572</c:v>
                </c:pt>
                <c:pt idx="1">
                  <c:v>1.111915</c:v>
                </c:pt>
                <c:pt idx="2">
                  <c:v>0.60930030333670371</c:v>
                </c:pt>
                <c:pt idx="3">
                  <c:v>2.6244000000000001</c:v>
                </c:pt>
                <c:pt idx="4">
                  <c:v>1.6231884057971016</c:v>
                </c:pt>
                <c:pt idx="5">
                  <c:v>1.0777656249999998</c:v>
                </c:pt>
                <c:pt idx="6">
                  <c:v>3.3890049751243785</c:v>
                </c:pt>
                <c:pt idx="7">
                  <c:v>13.213188405797101</c:v>
                </c:pt>
                <c:pt idx="8">
                  <c:v>1.6991209677419357</c:v>
                </c:pt>
              </c:numCache>
            </c:numRef>
          </c:val>
        </c:ser>
        <c:dLbls>
          <c:showLegendKey val="0"/>
          <c:showVal val="0"/>
          <c:showCatName val="0"/>
          <c:showSerName val="0"/>
          <c:showPercent val="0"/>
          <c:showBubbleSize val="0"/>
        </c:dLbls>
        <c:axId val="-788289216"/>
        <c:axId val="-788284864"/>
      </c:radarChart>
      <c:catAx>
        <c:axId val="-788289216"/>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4864"/>
        <c:crosses val="autoZero"/>
        <c:auto val="0"/>
        <c:lblAlgn val="ctr"/>
        <c:lblOffset val="100"/>
        <c:noMultiLvlLbl val="0"/>
      </c:catAx>
      <c:valAx>
        <c:axId val="-78828486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9216"/>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Macronutrient and Mineral Requirements Provided 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Macronutrients and Minerals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'Mineral Bar Chart'!$B$28:$K$28</c:f>
              <c:strCache>
                <c:ptCount val="10"/>
                <c:pt idx="0">
                  <c:v>Energy</c:v>
                </c:pt>
                <c:pt idx="1">
                  <c:v>Protein</c:v>
                </c:pt>
                <c:pt idx="2">
                  <c:v>Fat</c:v>
                </c:pt>
                <c:pt idx="3">
                  <c:v>Calcium</c:v>
                </c:pt>
                <c:pt idx="4">
                  <c:v>Copper</c:v>
                </c:pt>
                <c:pt idx="5">
                  <c:v>Iodine</c:v>
                </c:pt>
                <c:pt idx="6">
                  <c:v>Iron</c:v>
                </c:pt>
                <c:pt idx="7">
                  <c:v>Magnesium</c:v>
                </c:pt>
                <c:pt idx="8">
                  <c:v>Selenium</c:v>
                </c:pt>
                <c:pt idx="9">
                  <c:v>Zinc</c:v>
                </c:pt>
              </c:strCache>
            </c:strRef>
          </c:cat>
          <c:val>
            <c:numRef>
              <c:f>'Calculation Sheet'!$G$51:$P$51</c:f>
              <c:numCache>
                <c:formatCode>0%</c:formatCode>
                <c:ptCount val="10"/>
                <c:pt idx="0">
                  <c:v>1.0599276190476192</c:v>
                </c:pt>
                <c:pt idx="1">
                  <c:v>1.5201428571428572</c:v>
                </c:pt>
                <c:pt idx="2">
                  <c:v>1.111915</c:v>
                </c:pt>
                <c:pt idx="3">
                  <c:v>0.60930030333670371</c:v>
                </c:pt>
                <c:pt idx="4">
                  <c:v>2.6244000000000001</c:v>
                </c:pt>
                <c:pt idx="5">
                  <c:v>1.6231884057971016</c:v>
                </c:pt>
                <c:pt idx="6">
                  <c:v>1.0777656249999998</c:v>
                </c:pt>
                <c:pt idx="7">
                  <c:v>3.3890049751243785</c:v>
                </c:pt>
                <c:pt idx="8">
                  <c:v>13.213188405797101</c:v>
                </c:pt>
                <c:pt idx="9">
                  <c:v>1.6991209677419357</c:v>
                </c:pt>
              </c:numCache>
            </c:numRef>
          </c:val>
        </c:ser>
        <c:dLbls>
          <c:showLegendKey val="0"/>
          <c:showVal val="0"/>
          <c:showCatName val="0"/>
          <c:showSerName val="0"/>
          <c:showPercent val="0"/>
          <c:showBubbleSize val="0"/>
        </c:dLbls>
        <c:gapWidth val="150"/>
        <c:axId val="-788285408"/>
        <c:axId val="-788299008"/>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0"/>
              <c:pt idx="0">
                <c:v>0</c:v>
              </c:pt>
              <c:pt idx="1">
                <c:v>0</c:v>
              </c:pt>
              <c:pt idx="2">
                <c:v>0</c:v>
              </c:pt>
              <c:pt idx="3">
                <c:v>0</c:v>
              </c:pt>
              <c:pt idx="4">
                <c:v>0</c:v>
              </c:pt>
              <c:pt idx="5">
                <c:v>0</c:v>
              </c:pt>
              <c:pt idx="6">
                <c:v>0</c:v>
              </c:pt>
              <c:pt idx="7">
                <c:v>0</c:v>
              </c:pt>
              <c:pt idx="8">
                <c:v>0</c:v>
              </c:pt>
              <c:pt idx="9">
                <c:v>0</c:v>
              </c:pt>
            </c:numLit>
          </c:cat>
          <c:val>
            <c:numLit>
              <c:formatCode>General</c:formatCode>
              <c:ptCount val="10"/>
              <c:pt idx="0">
                <c:v>1</c:v>
              </c:pt>
              <c:pt idx="1">
                <c:v>1</c:v>
              </c:pt>
              <c:pt idx="2">
                <c:v>1</c:v>
              </c:pt>
              <c:pt idx="3">
                <c:v>1</c:v>
              </c:pt>
              <c:pt idx="4">
                <c:v>1</c:v>
              </c:pt>
              <c:pt idx="5">
                <c:v>1</c:v>
              </c:pt>
              <c:pt idx="6">
                <c:v>1</c:v>
              </c:pt>
              <c:pt idx="7">
                <c:v>1</c:v>
              </c:pt>
              <c:pt idx="8">
                <c:v>1</c:v>
              </c:pt>
              <c:pt idx="9">
                <c:v>1</c:v>
              </c:pt>
            </c:numLit>
          </c:val>
          <c:smooth val="0"/>
        </c:ser>
        <c:dLbls>
          <c:showLegendKey val="0"/>
          <c:showVal val="0"/>
          <c:showCatName val="0"/>
          <c:showSerName val="0"/>
          <c:showPercent val="0"/>
          <c:showBubbleSize val="0"/>
        </c:dLbls>
        <c:marker val="1"/>
        <c:smooth val="0"/>
        <c:axId val="-788298464"/>
        <c:axId val="-788297920"/>
      </c:lineChart>
      <c:catAx>
        <c:axId val="-7882854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788299008"/>
        <c:crosses val="autoZero"/>
        <c:auto val="1"/>
        <c:lblAlgn val="ctr"/>
        <c:lblOffset val="100"/>
        <c:tickLblSkip val="1"/>
        <c:tickMarkSkip val="1"/>
        <c:noMultiLvlLbl val="0"/>
      </c:catAx>
      <c:valAx>
        <c:axId val="-788299008"/>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5408"/>
        <c:crosses val="autoZero"/>
        <c:crossBetween val="between"/>
      </c:valAx>
      <c:catAx>
        <c:axId val="-788298464"/>
        <c:scaling>
          <c:orientation val="minMax"/>
        </c:scaling>
        <c:delete val="1"/>
        <c:axPos val="b"/>
        <c:numFmt formatCode="General" sourceLinked="1"/>
        <c:majorTickMark val="out"/>
        <c:minorTickMark val="none"/>
        <c:tickLblPos val="nextTo"/>
        <c:crossAx val="-788297920"/>
        <c:crosses val="autoZero"/>
        <c:auto val="0"/>
        <c:lblAlgn val="ctr"/>
        <c:lblOffset val="100"/>
        <c:noMultiLvlLbl val="0"/>
      </c:catAx>
      <c:valAx>
        <c:axId val="-788297920"/>
        <c:scaling>
          <c:orientation val="minMax"/>
        </c:scaling>
        <c:delete val="1"/>
        <c:axPos val="r"/>
        <c:numFmt formatCode="General" sourceLinked="1"/>
        <c:majorTickMark val="out"/>
        <c:minorTickMark val="none"/>
        <c:tickLblPos val="nextTo"/>
        <c:crossAx val="-788298464"/>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Macronutrient and Mineral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layout>
        <c:manualLayout>
          <c:xMode val="edge"/>
          <c:yMode val="edge"/>
          <c:x val="0.15856645867379784"/>
          <c:y val="2.7586206896551724E-2"/>
        </c:manualLayout>
      </c:layout>
      <c:overlay val="1"/>
    </c:title>
    <c:autoTitleDeleted val="0"/>
    <c:plotArea>
      <c:layout>
        <c:manualLayout>
          <c:layoutTarget val="inner"/>
          <c:xMode val="edge"/>
          <c:yMode val="edge"/>
          <c:x val="0.36029080989429363"/>
          <c:y val="0.29062998159712794"/>
          <c:w val="0.3171228089933335"/>
          <c:h val="0.61164606148369383"/>
        </c:manualLayout>
      </c:layout>
      <c:radarChart>
        <c:radarStyle val="filled"/>
        <c:varyColors val="0"/>
        <c:ser>
          <c:idx val="0"/>
          <c:order val="0"/>
          <c:tx>
            <c:v>Percentage</c:v>
          </c:tx>
          <c:cat>
            <c:strRef>
              <c:f>'Mineral Radar Chart'!$B$28:$J$28</c:f>
              <c:strCache>
                <c:ptCount val="9"/>
                <c:pt idx="0">
                  <c:v>Protein</c:v>
                </c:pt>
                <c:pt idx="1">
                  <c:v>Fat</c:v>
                </c:pt>
                <c:pt idx="2">
                  <c:v>Calcium</c:v>
                </c:pt>
                <c:pt idx="3">
                  <c:v>Copper</c:v>
                </c:pt>
                <c:pt idx="4">
                  <c:v>Iodine</c:v>
                </c:pt>
                <c:pt idx="5">
                  <c:v>Iron</c:v>
                </c:pt>
                <c:pt idx="6">
                  <c:v>Magnesium</c:v>
                </c:pt>
                <c:pt idx="7">
                  <c:v>Selenium</c:v>
                </c:pt>
                <c:pt idx="8">
                  <c:v>Zinc</c:v>
                </c:pt>
              </c:strCache>
            </c:strRef>
          </c:cat>
          <c:val>
            <c:numRef>
              <c:f>'Calculation Sheet'!$H$51:$AC$51</c:f>
              <c:numCache>
                <c:formatCode>0%</c:formatCode>
                <c:ptCount val="9"/>
                <c:pt idx="0">
                  <c:v>1.5201428571428572</c:v>
                </c:pt>
                <c:pt idx="1">
                  <c:v>1.111915</c:v>
                </c:pt>
                <c:pt idx="2">
                  <c:v>0.60930030333670371</c:v>
                </c:pt>
                <c:pt idx="3">
                  <c:v>2.6244000000000001</c:v>
                </c:pt>
                <c:pt idx="4">
                  <c:v>1.6231884057971016</c:v>
                </c:pt>
                <c:pt idx="5">
                  <c:v>1.0777656249999998</c:v>
                </c:pt>
                <c:pt idx="6">
                  <c:v>3.3890049751243785</c:v>
                </c:pt>
                <c:pt idx="7">
                  <c:v>13.213188405797101</c:v>
                </c:pt>
                <c:pt idx="8">
                  <c:v>1.6991209677419357</c:v>
                </c:pt>
              </c:numCache>
            </c:numRef>
          </c:val>
        </c:ser>
        <c:dLbls>
          <c:showLegendKey val="0"/>
          <c:showVal val="0"/>
          <c:showCatName val="0"/>
          <c:showSerName val="0"/>
          <c:showPercent val="0"/>
          <c:showBubbleSize val="0"/>
        </c:dLbls>
        <c:axId val="-787270240"/>
        <c:axId val="-787272960"/>
      </c:radarChart>
      <c:catAx>
        <c:axId val="-787270240"/>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7272960"/>
        <c:crosses val="autoZero"/>
        <c:auto val="0"/>
        <c:lblAlgn val="ctr"/>
        <c:lblOffset val="100"/>
        <c:noMultiLvlLbl val="0"/>
      </c:catAx>
      <c:valAx>
        <c:axId val="-787272960"/>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7270240"/>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15" dropStyle="combo" dx="22" fmlaLink="FilterValue" fmlaRange="FilterCriteria" sel="1" val="0"/>
</file>

<file path=xl/ctrlProps/ctrlProp32.xml><?xml version="1.0" encoding="utf-8"?>
<formControlPr xmlns="http://schemas.microsoft.com/office/spreadsheetml/2009/9/main" objectType="Drop" dropLines="24" dropStyle="combo" dx="22" fmlaLink="SortValue" fmlaRange="SortCriteria"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3" dropStyle="combo" dx="22" fmlaLink="GroupSelection" fmlaRange="$A$70:$A$82" sel="1" val="0"/>
</file>

<file path=xl/ctrlProps/ctrlProp39.xml><?xml version="1.0" encoding="utf-8"?>
<formControlPr xmlns="http://schemas.microsoft.com/office/spreadsheetml/2009/9/main" objectType="Spin" dx="15" fmlaLink="$F$8" max="30000" page="10" val="450"/>
</file>

<file path=xl/ctrlProps/ctrlProp40.xml><?xml version="1.0" encoding="utf-8"?>
<formControlPr xmlns="http://schemas.microsoft.com/office/spreadsheetml/2009/9/main" objectType="Spin" dx="15" fmlaLink="$F$9" max="30000" page="10" val="60"/>
</file>

<file path=xl/ctrlProps/ctrlProp41.xml><?xml version="1.0" encoding="utf-8"?>
<formControlPr xmlns="http://schemas.microsoft.com/office/spreadsheetml/2009/9/main" objectType="Spin" dx="15" fmlaLink="$F$10" max="30000" page="10" val="30"/>
</file>

<file path=xl/ctrlProps/ctrlProp42.xml><?xml version="1.0" encoding="utf-8"?>
<formControlPr xmlns="http://schemas.microsoft.com/office/spreadsheetml/2009/9/main" objectType="Spin" dx="15" fmlaLink="$F$11" max="30000" page="10" val="60"/>
</file>

<file path=xl/ctrlProps/ctrlProp43.xml><?xml version="1.0" encoding="utf-8"?>
<formControlPr xmlns="http://schemas.microsoft.com/office/spreadsheetml/2009/9/main" objectType="Spin" dx="15" fmlaLink="$F$12" max="30000" page="10" val="5"/>
</file>

<file path=xl/ctrlProps/ctrlProp44.xml><?xml version="1.0" encoding="utf-8"?>
<formControlPr xmlns="http://schemas.microsoft.com/office/spreadsheetml/2009/9/main" objectType="Spin" dx="15" fmlaLink="$F$13" max="30000" page="10" val="5"/>
</file>

<file path=xl/ctrlProps/ctrlProp45.xml><?xml version="1.0" encoding="utf-8"?>
<formControlPr xmlns="http://schemas.microsoft.com/office/spreadsheetml/2009/9/main" objectType="Spin" dx="15" fmlaLink="$F$14" max="30000" page="10" val="50"/>
</file>

<file path=xl/ctrlProps/ctrlProp46.xml><?xml version="1.0" encoding="utf-8"?>
<formControlPr xmlns="http://schemas.microsoft.com/office/spreadsheetml/2009/9/main" objectType="Spin" dx="15" fmlaLink="$F$16" max="30000" page="10" val="0"/>
</file>

<file path=xl/ctrlProps/ctrlProp47.xml><?xml version="1.0" encoding="utf-8"?>
<formControlPr xmlns="http://schemas.microsoft.com/office/spreadsheetml/2009/9/main" objectType="Spin" dx="15" fmlaLink="$F$15" max="30000" page="10" val="0"/>
</file>

<file path=xl/ctrlProps/ctrlProp48.xml><?xml version="1.0" encoding="utf-8"?>
<formControlPr xmlns="http://schemas.microsoft.com/office/spreadsheetml/2009/9/main" objectType="Spin" dx="15" fmlaLink="GREnergyTarget" inc="5" max="30000" page="10" val="2100"/>
</file>

<file path=xl/ctrlProps/ctrlProp49.xml><?xml version="1.0" encoding="utf-8"?>
<formControlPr xmlns="http://schemas.microsoft.com/office/spreadsheetml/2009/9/main" objectType="Spin" dx="15" fmlaLink="$F$17" max="30000" page="10" val="0"/>
</file>

<file path=xl/ctrlProps/ctrlProp50.xml><?xml version="1.0" encoding="utf-8"?>
<formControlPr xmlns="http://schemas.microsoft.com/office/spreadsheetml/2009/9/main" objectType="Spin" dx="15" fmlaLink="$F$18" max="30000" page="10" val="0"/>
</file>

<file path=xl/ctrlProps/ctrlProp51.xml><?xml version="1.0" encoding="utf-8"?>
<formControlPr xmlns="http://schemas.microsoft.com/office/spreadsheetml/2009/9/main" objectType="Spin" dx="15" fmlaLink="$F$19" max="30000" page="10" val="0"/>
</file>

<file path=xl/ctrlProps/ctrlProp52.xml><?xml version="1.0" encoding="utf-8"?>
<formControlPr xmlns="http://schemas.microsoft.com/office/spreadsheetml/2009/9/main" objectType="Spin" dx="15" fmlaLink="$F$20" max="30000" page="10" val="0"/>
</file>

<file path=xl/ctrlProps/ctrlProp53.xml><?xml version="1.0" encoding="utf-8"?>
<formControlPr xmlns="http://schemas.microsoft.com/office/spreadsheetml/2009/9/main" objectType="Spin" dx="15" fmlaLink="$F$21" max="30000" page="10" val="0"/>
</file>

<file path=xl/ctrlProps/ctrlProp54.xml><?xml version="1.0" encoding="utf-8"?>
<formControlPr xmlns="http://schemas.microsoft.com/office/spreadsheetml/2009/9/main" objectType="Spin" dx="15" fmlaLink="$F$22" max="30000" page="10" val="0"/>
</file>

<file path=xl/ctrlProps/ctrlProp55.xml><?xml version="1.0" encoding="utf-8"?>
<formControlPr xmlns="http://schemas.microsoft.com/office/spreadsheetml/2009/9/main" objectType="Spin" dx="15" fmlaLink="$F$23" max="30000" page="10" val="0"/>
</file>

<file path=xl/ctrlProps/ctrlProp56.xml><?xml version="1.0" encoding="utf-8"?>
<formControlPr xmlns="http://schemas.microsoft.com/office/spreadsheetml/2009/9/main" objectType="Spin" dx="15" fmlaLink="$F$24" max="30000" page="10" val="0"/>
</file>

<file path=xl/ctrlProps/ctrlProp57.xml><?xml version="1.0" encoding="utf-8"?>
<formControlPr xmlns="http://schemas.microsoft.com/office/spreadsheetml/2009/9/main" objectType="Spin" dx="15" fmlaLink="$F$25" max="30000" page="10" val="0"/>
</file>

<file path=xl/ctrlProps/ctrlProp58.xml><?xml version="1.0" encoding="utf-8"?>
<formControlPr xmlns="http://schemas.microsoft.com/office/spreadsheetml/2009/9/main" objectType="Spin" dx="15" fmlaLink="$F$26" max="30000" page="10" val="0"/>
</file>

<file path=xl/ctrlProps/ctrlProp59.xml><?xml version="1.0" encoding="utf-8"?>
<formControlPr xmlns="http://schemas.microsoft.com/office/spreadsheetml/2009/9/main" objectType="Spin" dx="15" fmlaLink="$F$27" max="30000" page="10" val="0"/>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mailto:support@nutval.net"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1</xdr:col>
      <xdr:colOff>1295400</xdr:colOff>
      <xdr:row>1</xdr:row>
      <xdr:rowOff>38100</xdr:rowOff>
    </xdr:from>
    <xdr:to>
      <xdr:col>2</xdr:col>
      <xdr:colOff>438150</xdr:colOff>
      <xdr:row>3</xdr:row>
      <xdr:rowOff>85725</xdr:rowOff>
    </xdr:to>
    <xdr:grpSp>
      <xdr:nvGrpSpPr>
        <xdr:cNvPr id="9195710" name="Group 21"/>
        <xdr:cNvGrpSpPr>
          <a:grpSpLocks/>
        </xdr:cNvGrpSpPr>
      </xdr:nvGrpSpPr>
      <xdr:grpSpPr bwMode="auto">
        <a:xfrm>
          <a:off x="1895475" y="161925"/>
          <a:ext cx="542925" cy="581025"/>
          <a:chOff x="973" y="2066"/>
          <a:chExt cx="586" cy="644"/>
        </a:xfrm>
      </xdr:grpSpPr>
      <xdr:sp macro="" textlink="">
        <xdr:nvSpPr>
          <xdr:cNvPr id="2070" name="Rectangle 22"/>
          <xdr:cNvSpPr>
            <a:spLocks noChangeArrowheads="1"/>
          </xdr:cNvSpPr>
        </xdr:nvSpPr>
        <xdr:spPr bwMode="auto">
          <a:xfrm>
            <a:off x="1158" y="2066"/>
            <a:ext cx="185" cy="1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a:lstStyle/>
          <a:p>
            <a:pPr algn="l" rtl="0">
              <a:lnSpc>
                <a:spcPts val="700"/>
              </a:lnSpc>
              <a:defRPr sz="1000"/>
            </a:pPr>
            <a:endParaRPr lang="en-GB" sz="700" b="0" i="0" u="none" strike="noStrike" baseline="0">
              <a:solidFill>
                <a:srgbClr val="000000"/>
              </a:solidFill>
              <a:latin typeface="Times New Roman"/>
              <a:cs typeface="Times New Roman"/>
            </a:endParaRPr>
          </a:p>
          <a:p>
            <a:pPr algn="l" rtl="0">
              <a:lnSpc>
                <a:spcPts val="1100"/>
              </a:lnSpc>
              <a:defRPr sz="1000"/>
            </a:pPr>
            <a:endParaRPr lang="en-GB"/>
          </a:p>
        </xdr:txBody>
      </xdr:sp>
      <xdr:pic>
        <xdr:nvPicPr>
          <xdr:cNvPr id="9195714"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3" y="2187"/>
            <a:ext cx="586" cy="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absolute">
    <xdr:from>
      <xdr:col>5</xdr:col>
      <xdr:colOff>114300</xdr:colOff>
      <xdr:row>2</xdr:row>
      <xdr:rowOff>28575</xdr:rowOff>
    </xdr:from>
    <xdr:to>
      <xdr:col>6</xdr:col>
      <xdr:colOff>28575</xdr:colOff>
      <xdr:row>3</xdr:row>
      <xdr:rowOff>76200</xdr:rowOff>
    </xdr:to>
    <xdr:pic>
      <xdr:nvPicPr>
        <xdr:cNvPr id="9195711" name="Picture 24" descr="HCR_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76825" y="247650"/>
          <a:ext cx="5810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66675</xdr:colOff>
          <xdr:row>15</xdr:row>
          <xdr:rowOff>9525</xdr:rowOff>
        </xdr:from>
        <xdr:to>
          <xdr:col>7</xdr:col>
          <xdr:colOff>962025</xdr:colOff>
          <xdr:row>16</xdr:row>
          <xdr:rowOff>38100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700" b="1" i="0" u="none" strike="noStrike" baseline="0">
                  <a:solidFill>
                    <a:srgbClr val="000080"/>
                  </a:solidFill>
                  <a:latin typeface="Arial"/>
                  <a:cs typeface="Arial"/>
                </a:rPr>
                <a:t>Full Screen View</a:t>
              </a:r>
            </a:p>
          </xdr:txBody>
        </xdr:sp>
        <xdr:clientData fPrintsWithSheet="0"/>
      </xdr:twoCellAnchor>
    </mc:Choice>
    <mc:Fallback/>
  </mc:AlternateContent>
  <xdr:twoCellAnchor>
    <xdr:from>
      <xdr:col>0</xdr:col>
      <xdr:colOff>0</xdr:colOff>
      <xdr:row>0</xdr:row>
      <xdr:rowOff>9525</xdr:rowOff>
    </xdr:from>
    <xdr:to>
      <xdr:col>1</xdr:col>
      <xdr:colOff>247650</xdr:colOff>
      <xdr:row>1</xdr:row>
      <xdr:rowOff>142875</xdr:rowOff>
    </xdr:to>
    <xdr:sp macro="" textlink="">
      <xdr:nvSpPr>
        <xdr:cNvPr id="9195712" name="Rectangle 49"/>
        <xdr:cNvSpPr>
          <a:spLocks noChangeArrowheads="1"/>
        </xdr:cNvSpPr>
      </xdr:nvSpPr>
      <xdr:spPr bwMode="auto">
        <a:xfrm>
          <a:off x="0" y="9525"/>
          <a:ext cx="847725" cy="2095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1</xdr:col>
          <xdr:colOff>47625</xdr:colOff>
          <xdr:row>10</xdr:row>
          <xdr:rowOff>104775</xdr:rowOff>
        </xdr:from>
        <xdr:to>
          <xdr:col>1</xdr:col>
          <xdr:colOff>1123950</xdr:colOff>
          <xdr:row>12</xdr:row>
          <xdr:rowOff>38100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Food </a:t>
              </a:r>
            </a:p>
            <a:p>
              <a:pPr algn="ctr" rtl="0">
                <a:defRPr sz="1000"/>
              </a:pPr>
              <a:r>
                <a:rPr lang="nl-BE" sz="1100" b="1" i="0" u="none" strike="noStrike" baseline="0">
                  <a:solidFill>
                    <a:srgbClr val="000080"/>
                  </a:solidFill>
                  <a:latin typeface="Calibri"/>
                  <a:cs typeface="Calibri"/>
                </a:rPr>
                <a:t>Database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1362075</xdr:colOff>
          <xdr:row>10</xdr:row>
          <xdr:rowOff>104775</xdr:rowOff>
        </xdr:from>
        <xdr:to>
          <xdr:col>3</xdr:col>
          <xdr:colOff>314325</xdr:colOff>
          <xdr:row>12</xdr:row>
          <xdr:rowOff>38100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104775</xdr:rowOff>
        </xdr:from>
        <xdr:to>
          <xdr:col>7</xdr:col>
          <xdr:colOff>1085850</xdr:colOff>
          <xdr:row>12</xdr:row>
          <xdr:rowOff>38100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On-Site </a:t>
              </a:r>
            </a:p>
            <a:p>
              <a:pPr algn="ctr" rtl="0">
                <a:defRPr sz="1000"/>
              </a:pPr>
              <a:r>
                <a:rPr lang="nl-BE" sz="1100" b="1" i="0" u="none" strike="noStrike" baseline="0">
                  <a:solidFill>
                    <a:srgbClr val="000080"/>
                  </a:solidFill>
                  <a:latin typeface="Calibri"/>
                  <a:cs typeface="Calibri"/>
                </a:rPr>
                <a:t>Distribution </a:t>
              </a:r>
            </a:p>
            <a:p>
              <a:pPr algn="ctr" rtl="0">
                <a:defRPr sz="1000"/>
              </a:pPr>
              <a:r>
                <a:rPr lang="nl-BE" sz="1100" b="1" i="0" u="none" strike="noStrike" baseline="0">
                  <a:solidFill>
                    <a:srgbClr val="000080"/>
                  </a:solidFill>
                  <a:latin typeface="Calibri"/>
                  <a:cs typeface="Calibr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552450</xdr:colOff>
          <xdr:row>10</xdr:row>
          <xdr:rowOff>104775</xdr:rowOff>
        </xdr:from>
        <xdr:to>
          <xdr:col>4</xdr:col>
          <xdr:colOff>123825</xdr:colOff>
          <xdr:row>12</xdr:row>
          <xdr:rowOff>9525</xdr:rowOff>
        </xdr:to>
        <xdr:sp macro="" textlink="">
          <xdr:nvSpPr>
            <xdr:cNvPr id="4540021" name="Button 2677" hidden="1">
              <a:extLst>
                <a:ext uri="{63B3BB69-23CF-44E3-9099-C40C66FF867C}">
                  <a14:compatExt spid="_x0000_s45400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10</xdr:row>
          <xdr:rowOff>104775</xdr:rowOff>
        </xdr:from>
        <xdr:to>
          <xdr:col>6</xdr:col>
          <xdr:colOff>38100</xdr:colOff>
          <xdr:row>12</xdr:row>
          <xdr:rowOff>9525</xdr:rowOff>
        </xdr:to>
        <xdr:sp macro="" textlink="">
          <xdr:nvSpPr>
            <xdr:cNvPr id="4540023" name="Button13" hidden="1">
              <a:extLst>
                <a:ext uri="{63B3BB69-23CF-44E3-9099-C40C66FF867C}">
                  <a14:compatExt spid="_x0000_s45400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Tracker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76200</xdr:rowOff>
    </xdr:to>
    <xdr:sp macro="" textlink="">
      <xdr:nvSpPr>
        <xdr:cNvPr id="9196658" name="Rectangle 6"/>
        <xdr:cNvSpPr>
          <a:spLocks noChangeArrowheads="1"/>
        </xdr:cNvSpPr>
      </xdr:nvSpPr>
      <xdr:spPr bwMode="auto">
        <a:xfrm>
          <a:off x="0" y="0"/>
          <a:ext cx="838200" cy="2667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0</xdr:rowOff>
    </xdr:from>
    <xdr:to>
      <xdr:col>2</xdr:col>
      <xdr:colOff>342900</xdr:colOff>
      <xdr:row>74</xdr:row>
      <xdr:rowOff>180975</xdr:rowOff>
    </xdr:to>
    <xdr:sp macro="" textlink="">
      <xdr:nvSpPr>
        <xdr:cNvPr id="9196659" name="Rectangle 8"/>
        <xdr:cNvSpPr>
          <a:spLocks noChangeArrowheads="1"/>
        </xdr:cNvSpPr>
      </xdr:nvSpPr>
      <xdr:spPr bwMode="auto">
        <a:xfrm>
          <a:off x="381000" y="190500"/>
          <a:ext cx="7210425" cy="41767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1</xdr:col>
      <xdr:colOff>819150</xdr:colOff>
      <xdr:row>73</xdr:row>
      <xdr:rowOff>409575</xdr:rowOff>
    </xdr:from>
    <xdr:to>
      <xdr:col>1</xdr:col>
      <xdr:colOff>2343150</xdr:colOff>
      <xdr:row>73</xdr:row>
      <xdr:rowOff>628649</xdr:rowOff>
    </xdr:to>
    <xdr:sp macro="" textlink="">
      <xdr:nvSpPr>
        <xdr:cNvPr id="2" name="TextBox 1">
          <a:hlinkClick xmlns:r="http://schemas.openxmlformats.org/officeDocument/2006/relationships" r:id="rId1"/>
        </xdr:cNvPr>
        <xdr:cNvSpPr txBox="1"/>
      </xdr:nvSpPr>
      <xdr:spPr>
        <a:xfrm>
          <a:off x="1581150" y="18183225"/>
          <a:ext cx="1524000"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GB" sz="1100" b="1">
              <a:latin typeface="Arial" pitchFamily="34" charset="0"/>
              <a:cs typeface="Arial" pitchFamily="34" charset="0"/>
            </a:rPr>
            <a:t>support@nutval.net</a:t>
          </a:r>
        </a:p>
      </xdr:txBody>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114300</xdr:rowOff>
        </xdr:from>
        <xdr:to>
          <xdr:col>1</xdr:col>
          <xdr:colOff>1038225</xdr:colOff>
          <xdr:row>1</xdr:row>
          <xdr:rowOff>485775</xdr:rowOff>
        </xdr:to>
        <xdr:sp macro="" textlink="">
          <xdr:nvSpPr>
            <xdr:cNvPr id="1881216" name="Button 1152" hidden="1">
              <a:extLst>
                <a:ext uri="{63B3BB69-23CF-44E3-9099-C40C66FF867C}">
                  <a14:compatExt spid="_x0000_s18812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5429250</xdr:colOff>
          <xdr:row>1</xdr:row>
          <xdr:rowOff>114300</xdr:rowOff>
        </xdr:from>
        <xdr:to>
          <xdr:col>2</xdr:col>
          <xdr:colOff>228600</xdr:colOff>
          <xdr:row>1</xdr:row>
          <xdr:rowOff>504825</xdr:rowOff>
        </xdr:to>
        <xdr:sp macro="" textlink="">
          <xdr:nvSpPr>
            <xdr:cNvPr id="1881217" name="Button 1153" hidden="1">
              <a:extLst>
                <a:ext uri="{63B3BB69-23CF-44E3-9099-C40C66FF867C}">
                  <a14:compatExt spid="_x0000_s18812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7644" name="Rectangle 1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9525</xdr:rowOff>
    </xdr:from>
    <xdr:to>
      <xdr:col>2</xdr:col>
      <xdr:colOff>314325</xdr:colOff>
      <xdr:row>4</xdr:row>
      <xdr:rowOff>123825</xdr:rowOff>
    </xdr:to>
    <xdr:sp macro="" textlink="">
      <xdr:nvSpPr>
        <xdr:cNvPr id="9197645" name="Rectangle 16"/>
        <xdr:cNvSpPr>
          <a:spLocks noChangeArrowheads="1"/>
        </xdr:cNvSpPr>
      </xdr:nvSpPr>
      <xdr:spPr bwMode="auto">
        <a:xfrm>
          <a:off x="371475" y="200025"/>
          <a:ext cx="7191375" cy="20288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882160" name="Button 1072" hidden="1">
              <a:extLst>
                <a:ext uri="{63B3BB69-23CF-44E3-9099-C40C66FF867C}">
                  <a14:compatExt spid="_x0000_s18821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8706" name="Rectangle 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19050</xdr:rowOff>
    </xdr:from>
    <xdr:to>
      <xdr:col>2</xdr:col>
      <xdr:colOff>323850</xdr:colOff>
      <xdr:row>4</xdr:row>
      <xdr:rowOff>76200</xdr:rowOff>
    </xdr:to>
    <xdr:sp macro="" textlink="">
      <xdr:nvSpPr>
        <xdr:cNvPr id="9198707" name="Rectangle 5"/>
        <xdr:cNvSpPr>
          <a:spLocks noChangeArrowheads="1"/>
        </xdr:cNvSpPr>
      </xdr:nvSpPr>
      <xdr:spPr bwMode="auto">
        <a:xfrm>
          <a:off x="371475" y="209550"/>
          <a:ext cx="7200900" cy="19335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85725</xdr:colOff>
      <xdr:row>1</xdr:row>
      <xdr:rowOff>0</xdr:rowOff>
    </xdr:to>
    <xdr:sp macro="" textlink="">
      <xdr:nvSpPr>
        <xdr:cNvPr id="9198708" name="Rectangle 6"/>
        <xdr:cNvSpPr>
          <a:spLocks noChangeArrowheads="1"/>
        </xdr:cNvSpPr>
      </xdr:nvSpPr>
      <xdr:spPr bwMode="auto">
        <a:xfrm>
          <a:off x="0" y="0"/>
          <a:ext cx="838200" cy="1905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485775</xdr:colOff>
          <xdr:row>1</xdr:row>
          <xdr:rowOff>133350</xdr:rowOff>
        </xdr:from>
        <xdr:to>
          <xdr:col>1</xdr:col>
          <xdr:colOff>1028700</xdr:colOff>
          <xdr:row>1</xdr:row>
          <xdr:rowOff>504825</xdr:rowOff>
        </xdr:to>
        <xdr:sp macro="" textlink="">
          <xdr:nvSpPr>
            <xdr:cNvPr id="1883200" name="Button 1088" hidden="1">
              <a:extLst>
                <a:ext uri="{63B3BB69-23CF-44E3-9099-C40C66FF867C}">
                  <a14:compatExt spid="_x0000_s18832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9768" name="Rectangle 3"/>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323850</xdr:colOff>
      <xdr:row>12</xdr:row>
      <xdr:rowOff>19050</xdr:rowOff>
    </xdr:to>
    <xdr:sp macro="" textlink="">
      <xdr:nvSpPr>
        <xdr:cNvPr id="9199769" name="Rectangle 4"/>
        <xdr:cNvSpPr>
          <a:spLocks noChangeArrowheads="1"/>
        </xdr:cNvSpPr>
      </xdr:nvSpPr>
      <xdr:spPr bwMode="auto">
        <a:xfrm>
          <a:off x="361950" y="200025"/>
          <a:ext cx="7210425" cy="7134225"/>
        </a:xfrm>
        <a:prstGeom prst="rect">
          <a:avLst/>
        </a:prstGeom>
        <a:noFill/>
        <a:ln w="12700">
          <a:solidFill>
            <a:srgbClr val="000000"/>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123825</xdr:rowOff>
        </xdr:from>
        <xdr:to>
          <xdr:col>1</xdr:col>
          <xdr:colOff>1019175</xdr:colOff>
          <xdr:row>1</xdr:row>
          <xdr:rowOff>495300</xdr:rowOff>
        </xdr:to>
        <xdr:sp macro="" textlink="">
          <xdr:nvSpPr>
            <xdr:cNvPr id="1890352" name="Button 1072" hidden="1">
              <a:extLst>
                <a:ext uri="{63B3BB69-23CF-44E3-9099-C40C66FF867C}">
                  <a14:compatExt spid="_x0000_s18903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5410200</xdr:colOff>
          <xdr:row>1</xdr:row>
          <xdr:rowOff>123825</xdr:rowOff>
        </xdr:from>
        <xdr:to>
          <xdr:col>2</xdr:col>
          <xdr:colOff>209550</xdr:colOff>
          <xdr:row>1</xdr:row>
          <xdr:rowOff>514350</xdr:rowOff>
        </xdr:to>
        <xdr:sp macro="" textlink="">
          <xdr:nvSpPr>
            <xdr:cNvPr id="1890353" name="Button 1073" hidden="1">
              <a:extLst>
                <a:ext uri="{63B3BB69-23CF-44E3-9099-C40C66FF867C}">
                  <a14:compatExt spid="_x0000_s189035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485775</xdr:colOff>
          <xdr:row>3</xdr:row>
          <xdr:rowOff>981075</xdr:rowOff>
        </xdr:from>
        <xdr:to>
          <xdr:col>1</xdr:col>
          <xdr:colOff>2647950</xdr:colOff>
          <xdr:row>3</xdr:row>
          <xdr:rowOff>1200150</xdr:rowOff>
        </xdr:to>
        <xdr:sp macro="" textlink="">
          <xdr:nvSpPr>
            <xdr:cNvPr id="1890487" name="Button 1207" hidden="1">
              <a:extLst>
                <a:ext uri="{63B3BB69-23CF-44E3-9099-C40C66FF867C}">
                  <a14:compatExt spid="_x0000_s18904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What do the different colours show?</a:t>
              </a:r>
            </a:p>
            <a:p>
              <a:pPr algn="ctr" rtl="0">
                <a:defRPr sz="1000"/>
              </a:pPr>
              <a:endParaRPr lang="nl-BE" sz="900" b="0" i="0" u="none" strike="noStrike" baseline="0">
                <a:solidFill>
                  <a:srgbClr val="000080"/>
                </a:solidFill>
                <a:latin typeface="Helv"/>
              </a:endParaRPr>
            </a:p>
            <a:p>
              <a:pPr algn="ctr" rtl="0">
                <a:defRPr sz="1000"/>
              </a:pPr>
              <a:r>
                <a:rPr lang="nl-BE" sz="900" b="0" i="0" u="none" strike="noStrike" baseline="0">
                  <a:solidFill>
                    <a:srgbClr val="000080"/>
                  </a:solidFill>
                  <a:latin typeface="Helv"/>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3467100</xdr:colOff>
          <xdr:row>3</xdr:row>
          <xdr:rowOff>981075</xdr:rowOff>
        </xdr:from>
        <xdr:to>
          <xdr:col>1</xdr:col>
          <xdr:colOff>5629275</xdr:colOff>
          <xdr:row>3</xdr:row>
          <xdr:rowOff>1200150</xdr:rowOff>
        </xdr:to>
        <xdr:sp macro="" textlink="">
          <xdr:nvSpPr>
            <xdr:cNvPr id="1890500" name="Button 1220" hidden="1">
              <a:extLst>
                <a:ext uri="{63B3BB69-23CF-44E3-9099-C40C66FF867C}">
                  <a14:compatExt spid="_x0000_s18905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Where do the standards come from?</a:t>
              </a:r>
            </a:p>
            <a:p>
              <a:pPr algn="ctr" rtl="0">
                <a:defRPr sz="1000"/>
              </a:pPr>
              <a:endParaRPr lang="nl-BE" sz="900" b="0" i="0" u="none" strike="noStrike" baseline="0">
                <a:solidFill>
                  <a:srgbClr val="000080"/>
                </a:solidFill>
                <a:latin typeface="Helv"/>
              </a:endParaRPr>
            </a:p>
          </xdr:txBody>
        </xdr:sp>
        <xdr:clientData fPrintsWithSheet="0"/>
      </xdr:twoCellAnchor>
    </mc:Choice>
    <mc:Fallback/>
  </mc:AlternateContent>
  <xdr:twoCellAnchor editAs="absolute">
    <xdr:from>
      <xdr:col>1</xdr:col>
      <xdr:colOff>447675</xdr:colOff>
      <xdr:row>2</xdr:row>
      <xdr:rowOff>95251</xdr:rowOff>
    </xdr:from>
    <xdr:to>
      <xdr:col>1</xdr:col>
      <xdr:colOff>6173693</xdr:colOff>
      <xdr:row>6</xdr:row>
      <xdr:rowOff>838201</xdr:rowOff>
    </xdr:to>
    <xdr:sp macro="[0]!Quick_Referencehelp1" textlink="">
      <xdr:nvSpPr>
        <xdr:cNvPr id="12" name="Quick_Reference1" hidden="1"/>
        <xdr:cNvSpPr txBox="1">
          <a:spLocks noChangeArrowheads="1"/>
        </xdr:cNvSpPr>
      </xdr:nvSpPr>
      <xdr:spPr bwMode="auto">
        <a:xfrm>
          <a:off x="1200150" y="857251"/>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Colour Coding</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1"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1"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children 6-59 months old the minimum is 30%, and for pregnant or lactating women the minimum is 20%.  The acceptable ranges are indicated by </a:t>
          </a:r>
          <a:r>
            <a:rPr lang="en-GB" sz="1000" b="1"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1" i="0" u="none" strike="noStrike">
              <a:solidFill>
                <a:srgbClr val="000080"/>
              </a:solidFill>
              <a:effectLst/>
              <a:latin typeface="Arial"/>
            </a:rPr>
            <a:t>blue</a:t>
          </a:r>
          <a:r>
            <a:rPr lang="en-GB" sz="1000" b="0" i="0" u="none" strike="noStrike">
              <a:solidFill>
                <a:srgbClr val="000080"/>
              </a:solidFill>
              <a:effectLst/>
              <a:latin typeface="Arial"/>
            </a:rPr>
            <a:t>.</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1"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Tolerable Intake Level (UL) the percentage is shown in </a:t>
          </a:r>
          <a:r>
            <a:rPr lang="en-GB" sz="1000" b="1"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1" i="0" u="none" strike="noStrike">
              <a:solidFill>
                <a:schemeClr val="accent6">
                  <a:lumMod val="75000"/>
                </a:schemeClr>
              </a:solidFill>
              <a:effectLst/>
              <a:latin typeface="Arial"/>
            </a:rPr>
            <a:t>orange</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twoCellAnchor editAs="absolute">
    <xdr:from>
      <xdr:col>1</xdr:col>
      <xdr:colOff>352425</xdr:colOff>
      <xdr:row>1</xdr:row>
      <xdr:rowOff>542924</xdr:rowOff>
    </xdr:from>
    <xdr:to>
      <xdr:col>1</xdr:col>
      <xdr:colOff>6078443</xdr:colOff>
      <xdr:row>8</xdr:row>
      <xdr:rowOff>657225</xdr:rowOff>
    </xdr:to>
    <xdr:sp macro="[0]!Quick_Referencehelp3" textlink="">
      <xdr:nvSpPr>
        <xdr:cNvPr id="16" name="Quick_Reference3" hidden="1"/>
        <xdr:cNvSpPr txBox="1">
          <a:spLocks noChangeArrowheads="1"/>
        </xdr:cNvSpPr>
      </xdr:nvSpPr>
      <xdr:spPr bwMode="auto">
        <a:xfrm>
          <a:off x="1104900" y="733424"/>
          <a:ext cx="5726018" cy="5076826"/>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anchorCtr="0"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References and standards for nutrient content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planning figure for the </a:t>
          </a:r>
          <a:r>
            <a:rPr lang="en-GB" sz="1000" b="0" i="1" u="none" strike="noStrike">
              <a:effectLst/>
              <a:latin typeface="Arial" panose="020B0604020202020204" pitchFamily="34" charset="0"/>
              <a:ea typeface="+mn-ea"/>
              <a:cs typeface="Arial" panose="020B0604020202020204" pitchFamily="34" charset="0"/>
            </a:rPr>
            <a:t>energy requirement</a:t>
          </a:r>
          <a:r>
            <a:rPr lang="en-GB" sz="1000" b="0" i="0" u="none" strike="noStrike">
              <a:effectLst/>
              <a:latin typeface="Arial" panose="020B0604020202020204" pitchFamily="34" charset="0"/>
              <a:ea typeface="+mn-ea"/>
              <a:cs typeface="Arial" panose="020B0604020202020204" pitchFamily="34" charset="0"/>
            </a:rPr>
            <a:t> of </a:t>
          </a:r>
          <a:r>
            <a:rPr lang="en-GB" sz="1000" b="0" i="1" u="none" strike="noStrike">
              <a:effectLst/>
              <a:latin typeface="Arial" panose="020B0604020202020204" pitchFamily="34" charset="0"/>
              <a:ea typeface="+mn-ea"/>
              <a:cs typeface="Arial" panose="020B0604020202020204" pitchFamily="34" charset="0"/>
            </a:rPr>
            <a:t>emergency affected populations</a:t>
          </a:r>
          <a:r>
            <a:rPr lang="en-GB" sz="1000" b="0" i="0" u="none" strike="noStrike">
              <a:effectLst/>
              <a:latin typeface="Arial" panose="020B0604020202020204" pitchFamily="34" charset="0"/>
              <a:ea typeface="+mn-ea"/>
              <a:cs typeface="Arial" panose="020B0604020202020204" pitchFamily="34" charset="0"/>
            </a:rPr>
            <a:t> (2,100 Kcal) is taken from the 'Management of Nutrition in Major Emergencies' (WHO, 2000).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energy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calculated based on the requirements given in: Human Energy Requirements, Report of a Joint FAO/WHO/UNU Expert Consultation, Rome, 17–24 October 2001. Where the population sub-groups in the report differ from those used in NutVal, weighted averages were calculated.  </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requirements for protein and fat </a:t>
          </a:r>
          <a:r>
            <a:rPr lang="en-GB" sz="1000" b="0" i="0" u="none" strike="noStrike">
              <a:effectLst/>
              <a:latin typeface="Arial" panose="020B0604020202020204" pitchFamily="34" charset="0"/>
              <a:ea typeface="+mn-ea"/>
              <a:cs typeface="Arial" panose="020B0604020202020204" pitchFamily="34" charset="0"/>
            </a:rPr>
            <a:t>are taken from: 'Food and Nutrition Needs in Emergencies' (UNHCR/UNICEF/WFP/WHO, 2002).  These figures specifiy the need to: (1) supply a minimum of 10% and a maxiumum of 15% of dietary energy intake as protein; (2) supply </a:t>
          </a:r>
          <a:r>
            <a:rPr lang="en-GB" sz="1000" b="0" i="0">
              <a:effectLst/>
              <a:latin typeface="Arial" panose="020B0604020202020204" pitchFamily="34" charset="0"/>
              <a:ea typeface="+mn-ea"/>
              <a:cs typeface="Arial" panose="020B0604020202020204" pitchFamily="34" charset="0"/>
            </a:rPr>
            <a:t>at least  30% of dietary energy as fat for children 6-23 months, 20% for pregnant and lactating women and </a:t>
          </a:r>
          <a:r>
            <a:rPr lang="en-GB" sz="1000" b="0" i="0" u="none" strike="noStrike">
              <a:effectLst/>
              <a:latin typeface="Arial" panose="020B0604020202020204" pitchFamily="34" charset="0"/>
              <a:ea typeface="+mn-ea"/>
              <a:cs typeface="Arial" panose="020B0604020202020204" pitchFamily="34" charset="0"/>
            </a:rPr>
            <a:t>17% for other groups.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 for the Whole Population </a:t>
          </a:r>
          <a:r>
            <a:rPr lang="en-GB" sz="1000" b="0" i="0" u="none" strike="noStrike">
              <a:effectLst/>
              <a:latin typeface="Arial" panose="020B0604020202020204" pitchFamily="34" charset="0"/>
              <a:ea typeface="+mn-ea"/>
              <a:cs typeface="Arial" panose="020B0604020202020204" pitchFamily="34" charset="0"/>
            </a:rPr>
            <a:t>planning figure were calculated based on the requirements detailed in: Vitamin and Mineral Requirements in Human Nutrition, Second edition, WHO/FAO (2004), except for copper, which was taken from Trace Elelemts in Human Nutrition and Health, WHO, 1996. The figures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a:t>
          </a:r>
          <a:r>
            <a:rPr lang="en-GB" sz="1000" b="0" i="1" u="none" strike="noStrike">
              <a:effectLst/>
              <a:latin typeface="Arial" panose="020B0604020202020204" pitchFamily="34" charset="0"/>
              <a:ea typeface="+mn-ea"/>
              <a:cs typeface="Arial" panose="020B0604020202020204" pitchFamily="34" charset="0"/>
            </a:rPr>
            <a:t>Food and Nutrition Bulletin </a:t>
          </a:r>
          <a:r>
            <a:rPr lang="en-GB" sz="1000" b="0" i="0" u="none" strike="noStrike">
              <a:effectLst/>
              <a:latin typeface="Arial" panose="020B0604020202020204" pitchFamily="34" charset="0"/>
              <a:ea typeface="+mn-ea"/>
              <a:cs typeface="Arial" panose="020B0604020202020204" pitchFamily="34" charset="0"/>
            </a:rPr>
            <a:t>34,</a:t>
          </a:r>
          <a:r>
            <a:rPr lang="en-GB" sz="1000" b="0" i="0" u="none" strike="noStrike" baseline="0">
              <a:effectLst/>
              <a:latin typeface="Arial" panose="020B0604020202020204" pitchFamily="34" charset="0"/>
              <a:ea typeface="+mn-ea"/>
              <a:cs typeface="Arial" panose="020B0604020202020204" pitchFamily="34" charset="0"/>
            </a:rPr>
            <a:t> </a:t>
          </a:r>
          <a:r>
            <a:rPr lang="en-GB" sz="1000" b="0" i="0" u="none" strike="noStrike">
              <a:effectLst/>
              <a:latin typeface="Arial" panose="020B0604020202020204" pitchFamily="34" charset="0"/>
              <a:ea typeface="+mn-ea"/>
              <a:cs typeface="Arial" panose="020B0604020202020204" pitchFamily="34" charset="0"/>
            </a:rPr>
            <a:t>45-51</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also calculated using the requirements from WHO/FAO</a:t>
          </a:r>
          <a:r>
            <a:rPr lang="en-GB" sz="1000" b="0" i="0" u="none" strike="noStrike" baseline="0">
              <a:effectLst/>
              <a:latin typeface="Arial" panose="020B0604020202020204" pitchFamily="34" charset="0"/>
              <a:ea typeface="+mn-ea"/>
              <a:cs typeface="Arial" panose="020B0604020202020204" pitchFamily="34" charset="0"/>
            </a:rPr>
            <a:t> (2004) and WHO (1996). Where the population sub-groups in the FAO report differ from those used in NutVal, weighted averages were calculated.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baseline="0">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baseline="0">
              <a:effectLst/>
              <a:latin typeface="Arial" panose="020B0604020202020204" pitchFamily="34" charset="0"/>
              <a:ea typeface="+mn-ea"/>
              <a:cs typeface="Arial" panose="020B0604020202020204" pitchFamily="34" charset="0"/>
            </a:rPr>
            <a:t>Upper Tolerable Limits </a:t>
          </a:r>
          <a:r>
            <a:rPr lang="en-GB" sz="1000" b="0" i="0" u="none" strike="noStrike" baseline="0">
              <a:effectLst/>
              <a:latin typeface="Arial" panose="020B0604020202020204" pitchFamily="34" charset="0"/>
              <a:ea typeface="+mn-ea"/>
              <a:cs typeface="Arial" panose="020B0604020202020204" pitchFamily="34" charset="0"/>
            </a:rPr>
            <a:t>(UL) for micronutrient intakes are included for all the minerals (except Magnesium) and for vitamins A, B3, B6, folic acid, D, E and K. Values are taken from the Institute for Medicine, USA,  FAO/WHO (2204), and WHO (1996).</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xdr:colOff>
      <xdr:row>1</xdr:row>
      <xdr:rowOff>371475</xdr:rowOff>
    </xdr:to>
    <xdr:sp macro="" textlink="">
      <xdr:nvSpPr>
        <xdr:cNvPr id="9201058" name="Rectangle 14"/>
        <xdr:cNvSpPr>
          <a:spLocks noChangeArrowheads="1"/>
        </xdr:cNvSpPr>
      </xdr:nvSpPr>
      <xdr:spPr bwMode="auto">
        <a:xfrm>
          <a:off x="0" y="0"/>
          <a:ext cx="790575" cy="5619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15</xdr:row>
      <xdr:rowOff>57150</xdr:rowOff>
    </xdr:from>
    <xdr:to>
      <xdr:col>0</xdr:col>
      <xdr:colOff>628650</xdr:colOff>
      <xdr:row>15</xdr:row>
      <xdr:rowOff>133350</xdr:rowOff>
    </xdr:to>
    <xdr:sp macro="" textlink="">
      <xdr:nvSpPr>
        <xdr:cNvPr id="9201059" name="Oval 15"/>
        <xdr:cNvSpPr>
          <a:spLocks noChangeArrowheads="1"/>
        </xdr:cNvSpPr>
      </xdr:nvSpPr>
      <xdr:spPr bwMode="auto">
        <a:xfrm>
          <a:off x="552450" y="48958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14</xdr:row>
      <xdr:rowOff>66675</xdr:rowOff>
    </xdr:from>
    <xdr:to>
      <xdr:col>0</xdr:col>
      <xdr:colOff>628650</xdr:colOff>
      <xdr:row>14</xdr:row>
      <xdr:rowOff>142875</xdr:rowOff>
    </xdr:to>
    <xdr:sp macro="" textlink="">
      <xdr:nvSpPr>
        <xdr:cNvPr id="9201060" name="Oval 19"/>
        <xdr:cNvSpPr>
          <a:spLocks noChangeArrowheads="1"/>
        </xdr:cNvSpPr>
      </xdr:nvSpPr>
      <xdr:spPr bwMode="auto">
        <a:xfrm>
          <a:off x="552450" y="4362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17</xdr:row>
      <xdr:rowOff>47625</xdr:rowOff>
    </xdr:from>
    <xdr:to>
      <xdr:col>0</xdr:col>
      <xdr:colOff>628650</xdr:colOff>
      <xdr:row>17</xdr:row>
      <xdr:rowOff>123825</xdr:rowOff>
    </xdr:to>
    <xdr:sp macro="" textlink="">
      <xdr:nvSpPr>
        <xdr:cNvPr id="9201061" name="Oval 22"/>
        <xdr:cNvSpPr>
          <a:spLocks noChangeArrowheads="1"/>
        </xdr:cNvSpPr>
      </xdr:nvSpPr>
      <xdr:spPr bwMode="auto">
        <a:xfrm>
          <a:off x="552450" y="56483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18</xdr:row>
      <xdr:rowOff>66675</xdr:rowOff>
    </xdr:from>
    <xdr:to>
      <xdr:col>0</xdr:col>
      <xdr:colOff>628650</xdr:colOff>
      <xdr:row>18</xdr:row>
      <xdr:rowOff>142875</xdr:rowOff>
    </xdr:to>
    <xdr:sp macro="" textlink="">
      <xdr:nvSpPr>
        <xdr:cNvPr id="9201062" name="Oval 25"/>
        <xdr:cNvSpPr>
          <a:spLocks noChangeArrowheads="1"/>
        </xdr:cNvSpPr>
      </xdr:nvSpPr>
      <xdr:spPr bwMode="auto">
        <a:xfrm>
          <a:off x="552450" y="60674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20</xdr:row>
      <xdr:rowOff>57150</xdr:rowOff>
    </xdr:from>
    <xdr:to>
      <xdr:col>0</xdr:col>
      <xdr:colOff>628650</xdr:colOff>
      <xdr:row>20</xdr:row>
      <xdr:rowOff>133350</xdr:rowOff>
    </xdr:to>
    <xdr:sp macro="" textlink="">
      <xdr:nvSpPr>
        <xdr:cNvPr id="9201063" name="Oval 27"/>
        <xdr:cNvSpPr>
          <a:spLocks noChangeArrowheads="1"/>
        </xdr:cNvSpPr>
      </xdr:nvSpPr>
      <xdr:spPr bwMode="auto">
        <a:xfrm>
          <a:off x="552450" y="7200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21</xdr:row>
      <xdr:rowOff>47625</xdr:rowOff>
    </xdr:from>
    <xdr:to>
      <xdr:col>0</xdr:col>
      <xdr:colOff>628650</xdr:colOff>
      <xdr:row>21</xdr:row>
      <xdr:rowOff>123825</xdr:rowOff>
    </xdr:to>
    <xdr:sp macro="" textlink="">
      <xdr:nvSpPr>
        <xdr:cNvPr id="9201064" name="Oval 29"/>
        <xdr:cNvSpPr>
          <a:spLocks noChangeArrowheads="1"/>
        </xdr:cNvSpPr>
      </xdr:nvSpPr>
      <xdr:spPr bwMode="auto">
        <a:xfrm>
          <a:off x="552450" y="7581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428625</xdr:colOff>
      <xdr:row>0</xdr:row>
      <xdr:rowOff>190500</xdr:rowOff>
    </xdr:from>
    <xdr:to>
      <xdr:col>2</xdr:col>
      <xdr:colOff>314325</xdr:colOff>
      <xdr:row>22</xdr:row>
      <xdr:rowOff>114300</xdr:rowOff>
    </xdr:to>
    <xdr:sp macro="" textlink="">
      <xdr:nvSpPr>
        <xdr:cNvPr id="9201065" name="Rectangle 30"/>
        <xdr:cNvSpPr>
          <a:spLocks noChangeArrowheads="1"/>
        </xdr:cNvSpPr>
      </xdr:nvSpPr>
      <xdr:spPr bwMode="auto">
        <a:xfrm>
          <a:off x="428625" y="190500"/>
          <a:ext cx="7134225" cy="80010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552450</xdr:colOff>
      <xdr:row>4</xdr:row>
      <xdr:rowOff>66675</xdr:rowOff>
    </xdr:from>
    <xdr:to>
      <xdr:col>0</xdr:col>
      <xdr:colOff>628650</xdr:colOff>
      <xdr:row>4</xdr:row>
      <xdr:rowOff>142875</xdr:rowOff>
    </xdr:to>
    <xdr:sp macro="" textlink="">
      <xdr:nvSpPr>
        <xdr:cNvPr id="9201066" name="Oval 15"/>
        <xdr:cNvSpPr>
          <a:spLocks noChangeArrowheads="1"/>
        </xdr:cNvSpPr>
      </xdr:nvSpPr>
      <xdr:spPr bwMode="auto">
        <a:xfrm>
          <a:off x="552450" y="12096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609600</xdr:colOff>
          <xdr:row>1</xdr:row>
          <xdr:rowOff>123825</xdr:rowOff>
        </xdr:from>
        <xdr:to>
          <xdr:col>1</xdr:col>
          <xdr:colOff>1152525</xdr:colOff>
          <xdr:row>1</xdr:row>
          <xdr:rowOff>504825</xdr:rowOff>
        </xdr:to>
        <xdr:sp macro="" textlink="">
          <xdr:nvSpPr>
            <xdr:cNvPr id="1885265" name="Button 1105" hidden="1">
              <a:extLst>
                <a:ext uri="{63B3BB69-23CF-44E3-9099-C40C66FF867C}">
                  <a14:compatExt spid="_x0000_s18852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5286375</xdr:colOff>
          <xdr:row>1</xdr:row>
          <xdr:rowOff>123825</xdr:rowOff>
        </xdr:from>
        <xdr:to>
          <xdr:col>2</xdr:col>
          <xdr:colOff>85725</xdr:colOff>
          <xdr:row>1</xdr:row>
          <xdr:rowOff>514350</xdr:rowOff>
        </xdr:to>
        <xdr:sp macro="" textlink="">
          <xdr:nvSpPr>
            <xdr:cNvPr id="1885266" name="Button 1106" hidden="1">
              <a:extLst>
                <a:ext uri="{63B3BB69-23CF-44E3-9099-C40C66FF867C}">
                  <a14:compatExt spid="_x0000_s188526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twoCellAnchor>
    <xdr:from>
      <xdr:col>0</xdr:col>
      <xdr:colOff>552450</xdr:colOff>
      <xdr:row>16</xdr:row>
      <xdr:rowOff>76200</xdr:rowOff>
    </xdr:from>
    <xdr:to>
      <xdr:col>0</xdr:col>
      <xdr:colOff>628650</xdr:colOff>
      <xdr:row>16</xdr:row>
      <xdr:rowOff>152400</xdr:rowOff>
    </xdr:to>
    <xdr:sp macro="" textlink="">
      <xdr:nvSpPr>
        <xdr:cNvPr id="9201067" name="Oval 15"/>
        <xdr:cNvSpPr>
          <a:spLocks noChangeArrowheads="1"/>
        </xdr:cNvSpPr>
      </xdr:nvSpPr>
      <xdr:spPr bwMode="auto">
        <a:xfrm>
          <a:off x="552450" y="5295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561975</xdr:colOff>
      <xdr:row>19</xdr:row>
      <xdr:rowOff>76200</xdr:rowOff>
    </xdr:from>
    <xdr:to>
      <xdr:col>0</xdr:col>
      <xdr:colOff>638175</xdr:colOff>
      <xdr:row>19</xdr:row>
      <xdr:rowOff>152400</xdr:rowOff>
    </xdr:to>
    <xdr:sp macro="" textlink="">
      <xdr:nvSpPr>
        <xdr:cNvPr id="9201068" name="Oval 25"/>
        <xdr:cNvSpPr>
          <a:spLocks noChangeArrowheads="1"/>
        </xdr:cNvSpPr>
      </xdr:nvSpPr>
      <xdr:spPr bwMode="auto">
        <a:xfrm>
          <a:off x="561975" y="6648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247650</xdr:colOff>
      <xdr:row>1</xdr:row>
      <xdr:rowOff>66675</xdr:rowOff>
    </xdr:to>
    <xdr:sp macro="" textlink="">
      <xdr:nvSpPr>
        <xdr:cNvPr id="9201740" name="Rectangle 5"/>
        <xdr:cNvSpPr>
          <a:spLocks noChangeArrowheads="1"/>
        </xdr:cNvSpPr>
      </xdr:nvSpPr>
      <xdr:spPr bwMode="auto">
        <a:xfrm>
          <a:off x="0" y="0"/>
          <a:ext cx="1000125" cy="2571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19050</xdr:rowOff>
    </xdr:from>
    <xdr:to>
      <xdr:col>2</xdr:col>
      <xdr:colOff>333375</xdr:colOff>
      <xdr:row>7</xdr:row>
      <xdr:rowOff>133350</xdr:rowOff>
    </xdr:to>
    <xdr:sp macro="" textlink="">
      <xdr:nvSpPr>
        <xdr:cNvPr id="9201741" name="Rectangle 6"/>
        <xdr:cNvSpPr>
          <a:spLocks noChangeArrowheads="1"/>
        </xdr:cNvSpPr>
      </xdr:nvSpPr>
      <xdr:spPr bwMode="auto">
        <a:xfrm>
          <a:off x="381000" y="209550"/>
          <a:ext cx="7200900" cy="35814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133350</xdr:rowOff>
        </xdr:from>
        <xdr:to>
          <xdr:col>1</xdr:col>
          <xdr:colOff>1038225</xdr:colOff>
          <xdr:row>1</xdr:row>
          <xdr:rowOff>504825</xdr:rowOff>
        </xdr:to>
        <xdr:sp macro="" textlink="">
          <xdr:nvSpPr>
            <xdr:cNvPr id="1892397" name="Button 1069" hidden="1">
              <a:extLst>
                <a:ext uri="{63B3BB69-23CF-44E3-9099-C40C66FF867C}">
                  <a14:compatExt spid="_x0000_s18923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238125</xdr:colOff>
          <xdr:row>1</xdr:row>
          <xdr:rowOff>400050</xdr:rowOff>
        </xdr:from>
        <xdr:to>
          <xdr:col>11</xdr:col>
          <xdr:colOff>9525</xdr:colOff>
          <xdr:row>3</xdr:row>
          <xdr:rowOff>95250</xdr:rowOff>
        </xdr:to>
        <xdr:sp macro="" textlink="">
          <xdr:nvSpPr>
            <xdr:cNvPr id="1892400" name="Button 1072" hidden="1">
              <a:extLst>
                <a:ext uri="{63B3BB69-23CF-44E3-9099-C40C66FF867C}">
                  <a14:compatExt spid="_x0000_s18924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and Nutrient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5362575</xdr:colOff>
          <xdr:row>1</xdr:row>
          <xdr:rowOff>114300</xdr:rowOff>
        </xdr:from>
        <xdr:to>
          <xdr:col>2</xdr:col>
          <xdr:colOff>161925</xdr:colOff>
          <xdr:row>1</xdr:row>
          <xdr:rowOff>504825</xdr:rowOff>
        </xdr:to>
        <xdr:sp macro="" textlink="">
          <xdr:nvSpPr>
            <xdr:cNvPr id="1892401" name="Button 1073" hidden="1">
              <a:extLst>
                <a:ext uri="{63B3BB69-23CF-44E3-9099-C40C66FF867C}">
                  <a14:compatExt spid="_x0000_s189240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OSDM</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291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291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10</xdr:row>
      <xdr:rowOff>133350</xdr:rowOff>
    </xdr:to>
    <xdr:sp macro="" textlink="">
      <xdr:nvSpPr>
        <xdr:cNvPr id="9202918" name="Rectangle 5"/>
        <xdr:cNvSpPr>
          <a:spLocks noChangeArrowheads="1"/>
        </xdr:cNvSpPr>
      </xdr:nvSpPr>
      <xdr:spPr bwMode="auto">
        <a:xfrm>
          <a:off x="381000" y="219075"/>
          <a:ext cx="7200900" cy="47625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1894464" name="Button 1088" hidden="1">
              <a:extLst>
                <a:ext uri="{63B3BB69-23CF-44E3-9099-C40C66FF867C}">
                  <a14:compatExt spid="_x0000_s189446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1894465" name="Button 1089" hidden="1">
              <a:extLst>
                <a:ext uri="{63B3BB69-23CF-44E3-9099-C40C66FF867C}">
                  <a14:compatExt spid="_x0000_s18944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Tracking Table</a:t>
              </a:r>
            </a:p>
          </xdr:txBody>
        </xdr:sp>
        <xdr:clientData fPrintsWithSheet="0"/>
      </xdr:twoCellAnchor>
    </mc:Choice>
    <mc:Fallback/>
  </mc:AlternateContent>
  <xdr:twoCellAnchor>
    <xdr:from>
      <xdr:col>1</xdr:col>
      <xdr:colOff>76200</xdr:colOff>
      <xdr:row>5</xdr:row>
      <xdr:rowOff>323850</xdr:rowOff>
    </xdr:from>
    <xdr:to>
      <xdr:col>1</xdr:col>
      <xdr:colOff>152400</xdr:colOff>
      <xdr:row>5</xdr:row>
      <xdr:rowOff>400050</xdr:rowOff>
    </xdr:to>
    <xdr:sp macro="" textlink="">
      <xdr:nvSpPr>
        <xdr:cNvPr id="9202919" name="Oval 15"/>
        <xdr:cNvSpPr>
          <a:spLocks noChangeArrowheads="1"/>
        </xdr:cNvSpPr>
      </xdr:nvSpPr>
      <xdr:spPr bwMode="auto">
        <a:xfrm>
          <a:off x="828675" y="21812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504825</xdr:rowOff>
    </xdr:from>
    <xdr:to>
      <xdr:col>1</xdr:col>
      <xdr:colOff>152400</xdr:colOff>
      <xdr:row>5</xdr:row>
      <xdr:rowOff>581025</xdr:rowOff>
    </xdr:to>
    <xdr:sp macro="" textlink="">
      <xdr:nvSpPr>
        <xdr:cNvPr id="9202920" name="Oval 15"/>
        <xdr:cNvSpPr>
          <a:spLocks noChangeArrowheads="1"/>
        </xdr:cNvSpPr>
      </xdr:nvSpPr>
      <xdr:spPr bwMode="auto">
        <a:xfrm>
          <a:off x="828675" y="23622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685800</xdr:rowOff>
    </xdr:from>
    <xdr:to>
      <xdr:col>1</xdr:col>
      <xdr:colOff>152400</xdr:colOff>
      <xdr:row>5</xdr:row>
      <xdr:rowOff>762000</xdr:rowOff>
    </xdr:to>
    <xdr:sp macro="" textlink="">
      <xdr:nvSpPr>
        <xdr:cNvPr id="9202921" name="Oval 15"/>
        <xdr:cNvSpPr>
          <a:spLocks noChangeArrowheads="1"/>
        </xdr:cNvSpPr>
      </xdr:nvSpPr>
      <xdr:spPr bwMode="auto">
        <a:xfrm>
          <a:off x="828675" y="25431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382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382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9</xdr:row>
      <xdr:rowOff>152400</xdr:rowOff>
    </xdr:to>
    <xdr:sp macro="" textlink="">
      <xdr:nvSpPr>
        <xdr:cNvPr id="9203828" name="Rectangle 5"/>
        <xdr:cNvSpPr>
          <a:spLocks noChangeArrowheads="1"/>
        </xdr:cNvSpPr>
      </xdr:nvSpPr>
      <xdr:spPr bwMode="auto">
        <a:xfrm>
          <a:off x="381000" y="219075"/>
          <a:ext cx="7200900" cy="44005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5241857" name="Button 1" hidden="1">
              <a:extLst>
                <a:ext uri="{63B3BB69-23CF-44E3-9099-C40C66FF867C}">
                  <a14:compatExt spid="_x0000_s524185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5241858" name="Button 2" hidden="1">
              <a:extLst>
                <a:ext uri="{63B3BB69-23CF-44E3-9099-C40C66FF867C}">
                  <a14:compatExt spid="_x0000_s52418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47625</xdr:colOff>
      <xdr:row>1</xdr:row>
      <xdr:rowOff>104775</xdr:rowOff>
    </xdr:to>
    <xdr:sp macro="" textlink="">
      <xdr:nvSpPr>
        <xdr:cNvPr id="9205078"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47625</xdr:colOff>
      <xdr:row>1</xdr:row>
      <xdr:rowOff>104775</xdr:rowOff>
    </xdr:to>
    <xdr:sp macro="" textlink="">
      <xdr:nvSpPr>
        <xdr:cNvPr id="9205079"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314325</xdr:colOff>
      <xdr:row>11</xdr:row>
      <xdr:rowOff>38100</xdr:rowOff>
    </xdr:to>
    <xdr:sp macro="" textlink="">
      <xdr:nvSpPr>
        <xdr:cNvPr id="9205080" name="Rectangle 4"/>
        <xdr:cNvSpPr>
          <a:spLocks noChangeArrowheads="1"/>
        </xdr:cNvSpPr>
      </xdr:nvSpPr>
      <xdr:spPr bwMode="auto">
        <a:xfrm>
          <a:off x="361950" y="200025"/>
          <a:ext cx="7200900" cy="26289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970177" name="Button 1" hidden="1">
              <a:extLst>
                <a:ext uri="{63B3BB69-23CF-44E3-9099-C40C66FF867C}">
                  <a14:compatExt spid="_x0000_s197017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editAs="oneCell">
    <xdr:from>
      <xdr:col>1</xdr:col>
      <xdr:colOff>5324475</xdr:colOff>
      <xdr:row>7</xdr:row>
      <xdr:rowOff>9525</xdr:rowOff>
    </xdr:from>
    <xdr:to>
      <xdr:col>2</xdr:col>
      <xdr:colOff>47625</xdr:colOff>
      <xdr:row>9</xdr:row>
      <xdr:rowOff>76200</xdr:rowOff>
    </xdr:to>
    <xdr:pic>
      <xdr:nvPicPr>
        <xdr:cNvPr id="9205081"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76950" y="2000250"/>
          <a:ext cx="12192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2114550</xdr:colOff>
      <xdr:row>7</xdr:row>
      <xdr:rowOff>19050</xdr:rowOff>
    </xdr:from>
    <xdr:to>
      <xdr:col>1</xdr:col>
      <xdr:colOff>3190875</xdr:colOff>
      <xdr:row>9</xdr:row>
      <xdr:rowOff>57150</xdr:rowOff>
    </xdr:to>
    <xdr:pic>
      <xdr:nvPicPr>
        <xdr:cNvPr id="9205082"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67025" y="2009775"/>
          <a:ext cx="10763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4667250</xdr:colOff>
      <xdr:row>6</xdr:row>
      <xdr:rowOff>171450</xdr:rowOff>
    </xdr:from>
    <xdr:to>
      <xdr:col>1</xdr:col>
      <xdr:colOff>5219700</xdr:colOff>
      <xdr:row>9</xdr:row>
      <xdr:rowOff>114300</xdr:rowOff>
    </xdr:to>
    <xdr:pic>
      <xdr:nvPicPr>
        <xdr:cNvPr id="9205083" name="Picture 1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9725" y="1962150"/>
          <a:ext cx="552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3371850</xdr:colOff>
      <xdr:row>5</xdr:row>
      <xdr:rowOff>152400</xdr:rowOff>
    </xdr:from>
    <xdr:to>
      <xdr:col>1</xdr:col>
      <xdr:colOff>4362450</xdr:colOff>
      <xdr:row>10</xdr:row>
      <xdr:rowOff>161925</xdr:rowOff>
    </xdr:to>
    <xdr:pic>
      <xdr:nvPicPr>
        <xdr:cNvPr id="9205084" name="Picture 1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24325" y="1781175"/>
          <a:ext cx="99060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600075</xdr:colOff>
      <xdr:row>7</xdr:row>
      <xdr:rowOff>114300</xdr:rowOff>
    </xdr:from>
    <xdr:to>
      <xdr:col>1</xdr:col>
      <xdr:colOff>781050</xdr:colOff>
      <xdr:row>8</xdr:row>
      <xdr:rowOff>171450</xdr:rowOff>
    </xdr:to>
    <xdr:pic>
      <xdr:nvPicPr>
        <xdr:cNvPr id="9205085" name="Picture 14"/>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00075" y="2105025"/>
          <a:ext cx="9334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1019175</xdr:colOff>
      <xdr:row>6</xdr:row>
      <xdr:rowOff>200025</xdr:rowOff>
    </xdr:from>
    <xdr:to>
      <xdr:col>1</xdr:col>
      <xdr:colOff>1914525</xdr:colOff>
      <xdr:row>9</xdr:row>
      <xdr:rowOff>85725</xdr:rowOff>
    </xdr:to>
    <xdr:pic>
      <xdr:nvPicPr>
        <xdr:cNvPr id="920508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71650" y="1990725"/>
          <a:ext cx="89535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47625</xdr:colOff>
      <xdr:row>1</xdr:row>
      <xdr:rowOff>104775</xdr:rowOff>
    </xdr:to>
    <xdr:sp macro="" textlink="">
      <xdr:nvSpPr>
        <xdr:cNvPr id="7472999"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0</xdr:colOff>
      <xdr:row>0</xdr:row>
      <xdr:rowOff>0</xdr:rowOff>
    </xdr:from>
    <xdr:to>
      <xdr:col>2</xdr:col>
      <xdr:colOff>47625</xdr:colOff>
      <xdr:row>1</xdr:row>
      <xdr:rowOff>104775</xdr:rowOff>
    </xdr:to>
    <xdr:sp macro="" textlink="">
      <xdr:nvSpPr>
        <xdr:cNvPr id="7473000"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47625</xdr:rowOff>
    </xdr:from>
    <xdr:to>
      <xdr:col>3</xdr:col>
      <xdr:colOff>723900</xdr:colOff>
      <xdr:row>40</xdr:row>
      <xdr:rowOff>19050</xdr:rowOff>
    </xdr:to>
    <xdr:sp macro="" textlink="">
      <xdr:nvSpPr>
        <xdr:cNvPr id="7473001" name="Rectangle 4"/>
        <xdr:cNvSpPr>
          <a:spLocks noChangeArrowheads="1"/>
        </xdr:cNvSpPr>
      </xdr:nvSpPr>
      <xdr:spPr bwMode="auto">
        <a:xfrm>
          <a:off x="361950" y="238125"/>
          <a:ext cx="7200900" cy="78390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161925</xdr:rowOff>
        </xdr:from>
        <xdr:to>
          <xdr:col>1</xdr:col>
          <xdr:colOff>1019175</xdr:colOff>
          <xdr:row>1</xdr:row>
          <xdr:rowOff>533400</xdr:rowOff>
        </xdr:to>
        <xdr:sp macro="" textlink="">
          <xdr:nvSpPr>
            <xdr:cNvPr id="7472129" name="Button 1" hidden="1">
              <a:extLst>
                <a:ext uri="{63B3BB69-23CF-44E3-9099-C40C66FF867C}">
                  <a14:compatExt spid="_x0000_s74721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xdr:from>
      <xdr:col>0</xdr:col>
      <xdr:colOff>0</xdr:colOff>
      <xdr:row>0</xdr:row>
      <xdr:rowOff>0</xdr:rowOff>
    </xdr:from>
    <xdr:to>
      <xdr:col>1</xdr:col>
      <xdr:colOff>85725</xdr:colOff>
      <xdr:row>1</xdr:row>
      <xdr:rowOff>38100</xdr:rowOff>
    </xdr:to>
    <xdr:sp macro="" textlink="">
      <xdr:nvSpPr>
        <xdr:cNvPr id="7473002" name="Rectangle 6"/>
        <xdr:cNvSpPr>
          <a:spLocks noChangeArrowheads="1"/>
        </xdr:cNvSpPr>
      </xdr:nvSpPr>
      <xdr:spPr bwMode="auto">
        <a:xfrm>
          <a:off x="0" y="0"/>
          <a:ext cx="838200" cy="2286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171450</xdr:colOff>
      <xdr:row>8</xdr:row>
      <xdr:rowOff>107550</xdr:rowOff>
    </xdr:from>
    <xdr:ext cx="1140633" cy="163956"/>
    <xdr:sp macro="" textlink="">
      <xdr:nvSpPr>
        <xdr:cNvPr id="18643" name="Text Box 211"/>
        <xdr:cNvSpPr txBox="1">
          <a:spLocks noChangeArrowheads="1"/>
        </xdr:cNvSpPr>
      </xdr:nvSpPr>
      <xdr:spPr bwMode="auto">
        <a:xfrm>
          <a:off x="323850" y="907650"/>
          <a:ext cx="1140633" cy="16395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 uri="{53640926-AAD7-44D8-BBD7-CCE9431645EC}">
            <a14:shadowObscured xmlns:a14="http://schemas.microsoft.com/office/drawing/2010/main" val="1"/>
          </a:ext>
        </a:extLst>
      </xdr:spPr>
      <xdr:txBody>
        <a:bodyPr wrap="none" lIns="18288" tIns="22860" rIns="0" bIns="0" anchor="ctr" upright="1">
          <a:spAutoFit/>
        </a:bodyPr>
        <a:lstStyle/>
        <a:p>
          <a:pPr algn="l" rtl="0">
            <a:defRPr sz="1000"/>
          </a:pPr>
          <a:r>
            <a:rPr lang="en-GB" sz="900" b="1" i="0" u="none" strike="noStrike" baseline="0">
              <a:solidFill>
                <a:srgbClr val="000000"/>
              </a:solidFill>
              <a:latin typeface="Arial"/>
              <a:cs typeface="Arial"/>
            </a:rPr>
            <a:t> Filter list to display:</a:t>
          </a:r>
          <a:endParaRPr lang="en-GB" sz="900"/>
        </a:p>
      </xdr:txBody>
    </xdr:sp>
    <xdr:clientData/>
  </xdr:oneCellAnchor>
  <xdr:twoCellAnchor>
    <xdr:from>
      <xdr:col>2</xdr:col>
      <xdr:colOff>123826</xdr:colOff>
      <xdr:row>9</xdr:row>
      <xdr:rowOff>66481</xdr:rowOff>
    </xdr:from>
    <xdr:to>
      <xdr:col>3</xdr:col>
      <xdr:colOff>962025</xdr:colOff>
      <xdr:row>9</xdr:row>
      <xdr:rowOff>304606</xdr:rowOff>
    </xdr:to>
    <xdr:sp macro="" textlink="">
      <xdr:nvSpPr>
        <xdr:cNvPr id="18919" name="Text Box 213"/>
        <xdr:cNvSpPr txBox="1">
          <a:spLocks noChangeArrowheads="1"/>
        </xdr:cNvSpPr>
      </xdr:nvSpPr>
      <xdr:spPr bwMode="auto">
        <a:xfrm>
          <a:off x="279336" y="1116175"/>
          <a:ext cx="1829577"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91240B29-F687-4F45-9708-019B960494DF}">
            <a14:hiddenLine xmlns:a14="http://schemas.microsoft.com/office/drawing/2010/main" w="1270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17961" dir="2700000" algn="ctr" rotWithShape="0">
                  <a:srgbClr val="004D4D"/>
                </a:outerShdw>
              </a:effectLst>
            </a14:hiddenEffects>
          </a:ext>
          <a:ext uri="{53640926-AAD7-44D8-BBD7-CCE9431645EC}">
            <a14:shadowObscured xmlns:a14="http://schemas.microsoft.com/office/drawing/2010/main" val="1"/>
          </a:ext>
        </a:extLst>
      </xdr:spPr>
      <xdr:txBody>
        <a:bodyPr vertOverflow="clip" wrap="square" lIns="72000" tIns="46800" rIns="90000" bIns="46800" anchor="ctr" upright="1"/>
        <a:lstStyle/>
        <a:p>
          <a:pPr algn="l" rtl="0">
            <a:defRPr sz="1000"/>
          </a:pPr>
          <a:r>
            <a:rPr lang="en-GB" sz="900" b="1" i="0" u="none" strike="noStrike" baseline="0">
              <a:solidFill>
                <a:srgbClr val="000000"/>
              </a:solidFill>
              <a:latin typeface="Arial"/>
              <a:cs typeface="Arial"/>
            </a:rPr>
            <a:t>Sort list by: </a:t>
          </a:r>
          <a:endParaRPr lang="en-GB"/>
        </a:p>
      </xdr:txBody>
    </xdr:sp>
    <xdr:clientData/>
  </xdr:twoCellAnchor>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114300</xdr:colOff>
          <xdr:row>2</xdr:row>
          <xdr:rowOff>28575</xdr:rowOff>
        </xdr:to>
        <xdr:sp macro="" textlink="">
          <xdr:nvSpPr>
            <xdr:cNvPr id="18784" name="Button 352" hidden="1">
              <a:extLst>
                <a:ext uri="{63B3BB69-23CF-44E3-9099-C40C66FF867C}">
                  <a14:compatExt spid="_x0000_s187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38100</xdr:rowOff>
        </xdr:from>
        <xdr:to>
          <xdr:col>3</xdr:col>
          <xdr:colOff>114300</xdr:colOff>
          <xdr:row>3</xdr:row>
          <xdr:rowOff>57150</xdr:rowOff>
        </xdr:to>
        <xdr:sp macro="" textlink="">
          <xdr:nvSpPr>
            <xdr:cNvPr id="18785" name="Button 353" hidden="1">
              <a:extLst>
                <a:ext uri="{63B3BB69-23CF-44E3-9099-C40C66FF867C}">
                  <a14:compatExt spid="_x0000_s187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0</xdr:rowOff>
        </xdr:from>
        <xdr:to>
          <xdr:col>3</xdr:col>
          <xdr:colOff>1200150</xdr:colOff>
          <xdr:row>3</xdr:row>
          <xdr:rowOff>57150</xdr:rowOff>
        </xdr:to>
        <xdr:sp macro="" textlink="">
          <xdr:nvSpPr>
            <xdr:cNvPr id="18787" name="Button 355" hidden="1">
              <a:extLst>
                <a:ext uri="{63B3BB69-23CF-44E3-9099-C40C66FF867C}">
                  <a14:compatExt spid="_x0000_s187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3</xdr:col>
      <xdr:colOff>1962151</xdr:colOff>
      <xdr:row>1</xdr:row>
      <xdr:rowOff>47625</xdr:rowOff>
    </xdr:from>
    <xdr:to>
      <xdr:col>18</xdr:col>
      <xdr:colOff>428626</xdr:colOff>
      <xdr:row>2</xdr:row>
      <xdr:rowOff>245533</xdr:rowOff>
    </xdr:to>
    <xdr:sp macro="" textlink="">
      <xdr:nvSpPr>
        <xdr:cNvPr id="27" name="Text Box 815"/>
        <xdr:cNvSpPr txBox="1">
          <a:spLocks noChangeArrowheads="1"/>
        </xdr:cNvSpPr>
      </xdr:nvSpPr>
      <xdr:spPr bwMode="auto">
        <a:xfrm>
          <a:off x="3105151" y="180975"/>
          <a:ext cx="4686300"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Food Database</a:t>
          </a:r>
          <a:endParaRPr lang="en-GB"/>
        </a:p>
      </xdr:txBody>
    </xdr:sp>
    <xdr:clientData/>
  </xdr:twoCellAnchor>
  <mc:AlternateContent xmlns:mc="http://schemas.openxmlformats.org/markup-compatibility/2006">
    <mc:Choice xmlns:a14="http://schemas.microsoft.com/office/drawing/2010/main" Requires="a14">
      <xdr:twoCellAnchor editAs="absolute">
        <xdr:from>
          <xdr:col>19</xdr:col>
          <xdr:colOff>409575</xdr:colOff>
          <xdr:row>1</xdr:row>
          <xdr:rowOff>0</xdr:rowOff>
        </xdr:from>
        <xdr:to>
          <xdr:col>21</xdr:col>
          <xdr:colOff>276225</xdr:colOff>
          <xdr:row>3</xdr:row>
          <xdr:rowOff>57150</xdr:rowOff>
        </xdr:to>
        <xdr:sp macro="" textlink="">
          <xdr:nvSpPr>
            <xdr:cNvPr id="18984" name="Button 552" hidden="1">
              <a:extLst>
                <a:ext uri="{63B3BB69-23CF-44E3-9099-C40C66FF867C}">
                  <a14:compatExt spid="_x0000_s189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295275</xdr:colOff>
          <xdr:row>1</xdr:row>
          <xdr:rowOff>0</xdr:rowOff>
        </xdr:from>
        <xdr:to>
          <xdr:col>23</xdr:col>
          <xdr:colOff>257175</xdr:colOff>
          <xdr:row>3</xdr:row>
          <xdr:rowOff>57150</xdr:rowOff>
        </xdr:to>
        <xdr:sp macro="" textlink="">
          <xdr:nvSpPr>
            <xdr:cNvPr id="18985" name="Button 553" hidden="1">
              <a:extLst>
                <a:ext uri="{63B3BB69-23CF-44E3-9099-C40C66FF867C}">
                  <a14:compatExt spid="_x0000_s189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xdr:twoCellAnchor>
    <xdr:from>
      <xdr:col>2</xdr:col>
      <xdr:colOff>0</xdr:colOff>
      <xdr:row>8</xdr:row>
      <xdr:rowOff>0</xdr:rowOff>
    </xdr:from>
    <xdr:to>
      <xdr:col>26</xdr:col>
      <xdr:colOff>9525</xdr:colOff>
      <xdr:row>199</xdr:row>
      <xdr:rowOff>9525</xdr:rowOff>
    </xdr:to>
    <xdr:sp macro="" textlink="">
      <xdr:nvSpPr>
        <xdr:cNvPr id="9205967" name="Rectangle 778"/>
        <xdr:cNvSpPr>
          <a:spLocks noChangeArrowheads="1"/>
        </xdr:cNvSpPr>
      </xdr:nvSpPr>
      <xdr:spPr bwMode="auto">
        <a:xfrm>
          <a:off x="152400" y="800100"/>
          <a:ext cx="11763375" cy="38576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3</xdr:col>
          <xdr:colOff>923925</xdr:colOff>
          <xdr:row>8</xdr:row>
          <xdr:rowOff>76200</xdr:rowOff>
        </xdr:from>
        <xdr:to>
          <xdr:col>3</xdr:col>
          <xdr:colOff>2257425</xdr:colOff>
          <xdr:row>9</xdr:row>
          <xdr:rowOff>19050</xdr:rowOff>
        </xdr:to>
        <xdr:sp macro="" textlink="">
          <xdr:nvSpPr>
            <xdr:cNvPr id="19046" name="Drop Down 164" hidden="1">
              <a:extLst>
                <a:ext uri="{63B3BB69-23CF-44E3-9099-C40C66FF867C}">
                  <a14:compatExt spid="_x0000_s19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9</xdr:row>
          <xdr:rowOff>85725</xdr:rowOff>
        </xdr:from>
        <xdr:to>
          <xdr:col>3</xdr:col>
          <xdr:colOff>2257425</xdr:colOff>
          <xdr:row>9</xdr:row>
          <xdr:rowOff>285750</xdr:rowOff>
        </xdr:to>
        <xdr:sp macro="" textlink="">
          <xdr:nvSpPr>
            <xdr:cNvPr id="19248" name="Drop Down 816" hidden="1">
              <a:extLst>
                <a:ext uri="{63B3BB69-23CF-44E3-9099-C40C66FF867C}">
                  <a14:compatExt spid="_x0000_s192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0</xdr:colOff>
      <xdr:row>4</xdr:row>
      <xdr:rowOff>0</xdr:rowOff>
    </xdr:from>
    <xdr:to>
      <xdr:col>29</xdr:col>
      <xdr:colOff>0</xdr:colOff>
      <xdr:row>57</xdr:row>
      <xdr:rowOff>9525</xdr:rowOff>
    </xdr:to>
    <xdr:sp macro="" textlink="">
      <xdr:nvSpPr>
        <xdr:cNvPr id="6463229" name="Rectangle 778"/>
        <xdr:cNvSpPr>
          <a:spLocks noChangeArrowheads="1"/>
        </xdr:cNvSpPr>
      </xdr:nvSpPr>
      <xdr:spPr bwMode="auto">
        <a:xfrm>
          <a:off x="171450" y="771525"/>
          <a:ext cx="10620375" cy="51435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2</xdr:col>
      <xdr:colOff>3333750</xdr:colOff>
      <xdr:row>1</xdr:row>
      <xdr:rowOff>53446</xdr:rowOff>
    </xdr:from>
    <xdr:to>
      <xdr:col>10</xdr:col>
      <xdr:colOff>238125</xdr:colOff>
      <xdr:row>2</xdr:row>
      <xdr:rowOff>156104</xdr:rowOff>
    </xdr:to>
    <xdr:sp macro="" textlink="">
      <xdr:nvSpPr>
        <xdr:cNvPr id="43" name="Text Box 815"/>
        <xdr:cNvSpPr txBox="1">
          <a:spLocks noChangeArrowheads="1"/>
        </xdr:cNvSpPr>
      </xdr:nvSpPr>
      <xdr:spPr bwMode="auto">
        <a:xfrm>
          <a:off x="3505200" y="186796"/>
          <a:ext cx="4029075"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Ration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161925</xdr:colOff>
          <xdr:row>1</xdr:row>
          <xdr:rowOff>0</xdr:rowOff>
        </xdr:from>
        <xdr:to>
          <xdr:col>2</xdr:col>
          <xdr:colOff>1066800</xdr:colOff>
          <xdr:row>1</xdr:row>
          <xdr:rowOff>266700</xdr:rowOff>
        </xdr:to>
        <xdr:sp macro="" textlink="">
          <xdr:nvSpPr>
            <xdr:cNvPr id="53304" name="Button 1080" hidden="1">
              <a:extLst>
                <a:ext uri="{63B3BB69-23CF-44E3-9099-C40C66FF867C}">
                  <a14:compatExt spid="_x0000_s5330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1095375</xdr:colOff>
          <xdr:row>1</xdr:row>
          <xdr:rowOff>0</xdr:rowOff>
        </xdr:from>
        <xdr:to>
          <xdr:col>2</xdr:col>
          <xdr:colOff>2171700</xdr:colOff>
          <xdr:row>3</xdr:row>
          <xdr:rowOff>19050</xdr:rowOff>
        </xdr:to>
        <xdr:sp macro="" textlink="">
          <xdr:nvSpPr>
            <xdr:cNvPr id="53305" name="Button 1081" hidden="1">
              <a:extLst>
                <a:ext uri="{63B3BB69-23CF-44E3-9099-C40C66FF867C}">
                  <a14:compatExt spid="_x0000_s533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a:t>
              </a:r>
            </a:p>
            <a:p>
              <a:pPr algn="ctr" rtl="0">
                <a:defRPr sz="1000"/>
              </a:pPr>
              <a:r>
                <a:rPr lang="nl-BE" sz="1000" b="1" i="0" u="none" strike="noStrike" baseline="0">
                  <a:solidFill>
                    <a:srgbClr val="000080"/>
                  </a:solidFill>
                  <a:latin typeface="Arial"/>
                  <a:cs typeface="Arial"/>
                </a:rPr>
                <a:t>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1</xdr:row>
          <xdr:rowOff>285750</xdr:rowOff>
        </xdr:from>
        <xdr:to>
          <xdr:col>2</xdr:col>
          <xdr:colOff>1066800</xdr:colOff>
          <xdr:row>3</xdr:row>
          <xdr:rowOff>19050</xdr:rowOff>
        </xdr:to>
        <xdr:sp macro="" textlink="">
          <xdr:nvSpPr>
            <xdr:cNvPr id="53306" name="Button 1082" hidden="1">
              <a:extLst>
                <a:ext uri="{63B3BB69-23CF-44E3-9099-C40C66FF867C}">
                  <a14:compatExt spid="_x0000_s533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276225</xdr:colOff>
          <xdr:row>1</xdr:row>
          <xdr:rowOff>0</xdr:rowOff>
        </xdr:from>
        <xdr:to>
          <xdr:col>14</xdr:col>
          <xdr:colOff>95250</xdr:colOff>
          <xdr:row>3</xdr:row>
          <xdr:rowOff>19050</xdr:rowOff>
        </xdr:to>
        <xdr:sp macro="" textlink="">
          <xdr:nvSpPr>
            <xdr:cNvPr id="53307" name="Button 1083" hidden="1">
              <a:extLst>
                <a:ext uri="{63B3BB69-23CF-44E3-9099-C40C66FF867C}">
                  <a14:compatExt spid="_x0000_s533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114300</xdr:colOff>
          <xdr:row>1</xdr:row>
          <xdr:rowOff>0</xdr:rowOff>
        </xdr:from>
        <xdr:to>
          <xdr:col>16</xdr:col>
          <xdr:colOff>0</xdr:colOff>
          <xdr:row>3</xdr:row>
          <xdr:rowOff>19050</xdr:rowOff>
        </xdr:to>
        <xdr:sp macro="" textlink="">
          <xdr:nvSpPr>
            <xdr:cNvPr id="53308" name="Button 1084" hidden="1">
              <a:extLst>
                <a:ext uri="{63B3BB69-23CF-44E3-9099-C40C66FF867C}">
                  <a14:compatExt spid="_x0000_s533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47</xdr:row>
          <xdr:rowOff>171450</xdr:rowOff>
        </xdr:from>
        <xdr:to>
          <xdr:col>3</xdr:col>
          <xdr:colOff>28575</xdr:colOff>
          <xdr:row>49</xdr:row>
          <xdr:rowOff>0</xdr:rowOff>
        </xdr:to>
        <xdr:sp macro="" textlink="">
          <xdr:nvSpPr>
            <xdr:cNvPr id="358055" name="DropDownPop" hidden="1">
              <a:extLst>
                <a:ext uri="{63B3BB69-23CF-44E3-9099-C40C66FF867C}">
                  <a14:compatExt spid="_x0000_s3580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7</xdr:row>
          <xdr:rowOff>0</xdr:rowOff>
        </xdr:from>
        <xdr:to>
          <xdr:col>5</xdr:col>
          <xdr:colOff>19050</xdr:colOff>
          <xdr:row>7</xdr:row>
          <xdr:rowOff>247650</xdr:rowOff>
        </xdr:to>
        <xdr:sp macro="" textlink="">
          <xdr:nvSpPr>
            <xdr:cNvPr id="745146" name="Spinner1" hidden="1">
              <a:extLst>
                <a:ext uri="{63B3BB69-23CF-44E3-9099-C40C66FF867C}">
                  <a14:compatExt spid="_x0000_s745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8</xdr:row>
          <xdr:rowOff>0</xdr:rowOff>
        </xdr:from>
        <xdr:to>
          <xdr:col>5</xdr:col>
          <xdr:colOff>19050</xdr:colOff>
          <xdr:row>8</xdr:row>
          <xdr:rowOff>247650</xdr:rowOff>
        </xdr:to>
        <xdr:sp macro="" textlink="">
          <xdr:nvSpPr>
            <xdr:cNvPr id="745147" name="Spinner2" hidden="1">
              <a:extLst>
                <a:ext uri="{63B3BB69-23CF-44E3-9099-C40C66FF867C}">
                  <a14:compatExt spid="_x0000_s745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9</xdr:row>
          <xdr:rowOff>0</xdr:rowOff>
        </xdr:from>
        <xdr:to>
          <xdr:col>5</xdr:col>
          <xdr:colOff>19050</xdr:colOff>
          <xdr:row>9</xdr:row>
          <xdr:rowOff>247650</xdr:rowOff>
        </xdr:to>
        <xdr:sp macro="" textlink="">
          <xdr:nvSpPr>
            <xdr:cNvPr id="745148" name="Spinner3" hidden="1">
              <a:extLst>
                <a:ext uri="{63B3BB69-23CF-44E3-9099-C40C66FF867C}">
                  <a14:compatExt spid="_x0000_s7451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10</xdr:row>
          <xdr:rowOff>0</xdr:rowOff>
        </xdr:from>
        <xdr:to>
          <xdr:col>5</xdr:col>
          <xdr:colOff>19050</xdr:colOff>
          <xdr:row>11</xdr:row>
          <xdr:rowOff>0</xdr:rowOff>
        </xdr:to>
        <xdr:sp macro="" textlink="">
          <xdr:nvSpPr>
            <xdr:cNvPr id="745149" name="Spinner4" hidden="1">
              <a:extLst>
                <a:ext uri="{63B3BB69-23CF-44E3-9099-C40C66FF867C}">
                  <a14:compatExt spid="_x0000_s7451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11</xdr:row>
          <xdr:rowOff>0</xdr:rowOff>
        </xdr:from>
        <xdr:to>
          <xdr:col>5</xdr:col>
          <xdr:colOff>19050</xdr:colOff>
          <xdr:row>11</xdr:row>
          <xdr:rowOff>247650</xdr:rowOff>
        </xdr:to>
        <xdr:sp macro="" textlink="">
          <xdr:nvSpPr>
            <xdr:cNvPr id="745150" name="Spinner5" hidden="1">
              <a:extLst>
                <a:ext uri="{63B3BB69-23CF-44E3-9099-C40C66FF867C}">
                  <a14:compatExt spid="_x0000_s7451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12</xdr:row>
          <xdr:rowOff>0</xdr:rowOff>
        </xdr:from>
        <xdr:to>
          <xdr:col>5</xdr:col>
          <xdr:colOff>19050</xdr:colOff>
          <xdr:row>12</xdr:row>
          <xdr:rowOff>247650</xdr:rowOff>
        </xdr:to>
        <xdr:sp macro="" textlink="">
          <xdr:nvSpPr>
            <xdr:cNvPr id="745151" name="Spinner6" hidden="1">
              <a:extLst>
                <a:ext uri="{63B3BB69-23CF-44E3-9099-C40C66FF867C}">
                  <a14:compatExt spid="_x0000_s7451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13</xdr:row>
          <xdr:rowOff>0</xdr:rowOff>
        </xdr:from>
        <xdr:to>
          <xdr:col>5</xdr:col>
          <xdr:colOff>19050</xdr:colOff>
          <xdr:row>13</xdr:row>
          <xdr:rowOff>247650</xdr:rowOff>
        </xdr:to>
        <xdr:sp macro="" textlink="">
          <xdr:nvSpPr>
            <xdr:cNvPr id="745152" name="Spinner7" hidden="1">
              <a:extLst>
                <a:ext uri="{63B3BB69-23CF-44E3-9099-C40C66FF867C}">
                  <a14:compatExt spid="_x0000_s7451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15</xdr:row>
          <xdr:rowOff>0</xdr:rowOff>
        </xdr:from>
        <xdr:to>
          <xdr:col>5</xdr:col>
          <xdr:colOff>19050</xdr:colOff>
          <xdr:row>15</xdr:row>
          <xdr:rowOff>247650</xdr:rowOff>
        </xdr:to>
        <xdr:sp macro="" textlink="">
          <xdr:nvSpPr>
            <xdr:cNvPr id="745154" name="Spinner9" hidden="1">
              <a:extLst>
                <a:ext uri="{63B3BB69-23CF-44E3-9099-C40C66FF867C}">
                  <a14:compatExt spid="_x0000_s7451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14</xdr:row>
          <xdr:rowOff>0</xdr:rowOff>
        </xdr:from>
        <xdr:to>
          <xdr:col>5</xdr:col>
          <xdr:colOff>19050</xdr:colOff>
          <xdr:row>14</xdr:row>
          <xdr:rowOff>247650</xdr:rowOff>
        </xdr:to>
        <xdr:sp macro="" textlink="">
          <xdr:nvSpPr>
            <xdr:cNvPr id="745155" name="Spinner8" hidden="1">
              <a:extLst>
                <a:ext uri="{63B3BB69-23CF-44E3-9099-C40C66FF867C}">
                  <a14:compatExt spid="_x0000_s7451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47</xdr:row>
          <xdr:rowOff>171450</xdr:rowOff>
        </xdr:from>
        <xdr:to>
          <xdr:col>5</xdr:col>
          <xdr:colOff>19050</xdr:colOff>
          <xdr:row>50</xdr:row>
          <xdr:rowOff>28575</xdr:rowOff>
        </xdr:to>
        <xdr:sp macro="" textlink="">
          <xdr:nvSpPr>
            <xdr:cNvPr id="745275" name="Ration_Spinner" hidden="1">
              <a:extLst>
                <a:ext uri="{63B3BB69-23CF-44E3-9099-C40C66FF867C}">
                  <a14:compatExt spid="_x0000_s7452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16</xdr:row>
          <xdr:rowOff>0</xdr:rowOff>
        </xdr:from>
        <xdr:to>
          <xdr:col>5</xdr:col>
          <xdr:colOff>19050</xdr:colOff>
          <xdr:row>16</xdr:row>
          <xdr:rowOff>247650</xdr:rowOff>
        </xdr:to>
        <xdr:sp macro="" textlink="">
          <xdr:nvSpPr>
            <xdr:cNvPr id="745463" name="Spinner10" hidden="1">
              <a:extLst>
                <a:ext uri="{63B3BB69-23CF-44E3-9099-C40C66FF867C}">
                  <a14:compatExt spid="_x0000_s74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17</xdr:row>
          <xdr:rowOff>0</xdr:rowOff>
        </xdr:from>
        <xdr:to>
          <xdr:col>5</xdr:col>
          <xdr:colOff>19050</xdr:colOff>
          <xdr:row>27</xdr:row>
          <xdr:rowOff>247650</xdr:rowOff>
        </xdr:to>
        <xdr:sp macro="" textlink="">
          <xdr:nvSpPr>
            <xdr:cNvPr id="745464" name="Spinner11" hidden="1">
              <a:extLst>
                <a:ext uri="{63B3BB69-23CF-44E3-9099-C40C66FF867C}">
                  <a14:compatExt spid="_x0000_s7454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27</xdr:row>
          <xdr:rowOff>247650</xdr:rowOff>
        </xdr:from>
        <xdr:to>
          <xdr:col>5</xdr:col>
          <xdr:colOff>19050</xdr:colOff>
          <xdr:row>28</xdr:row>
          <xdr:rowOff>238125</xdr:rowOff>
        </xdr:to>
        <xdr:sp macro="" textlink="">
          <xdr:nvSpPr>
            <xdr:cNvPr id="745465" name="Spinner12" hidden="1">
              <a:extLst>
                <a:ext uri="{63B3BB69-23CF-44E3-9099-C40C66FF867C}">
                  <a14:compatExt spid="_x0000_s7454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28</xdr:row>
          <xdr:rowOff>247650</xdr:rowOff>
        </xdr:from>
        <xdr:to>
          <xdr:col>5</xdr:col>
          <xdr:colOff>19050</xdr:colOff>
          <xdr:row>48</xdr:row>
          <xdr:rowOff>47625</xdr:rowOff>
        </xdr:to>
        <xdr:sp macro="" textlink="">
          <xdr:nvSpPr>
            <xdr:cNvPr id="745466" name="Spinner13" hidden="1">
              <a:extLst>
                <a:ext uri="{63B3BB69-23CF-44E3-9099-C40C66FF867C}">
                  <a14:compatExt spid="_x0000_s7454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48</xdr:row>
          <xdr:rowOff>57150</xdr:rowOff>
        </xdr:from>
        <xdr:to>
          <xdr:col>5</xdr:col>
          <xdr:colOff>19050</xdr:colOff>
          <xdr:row>50</xdr:row>
          <xdr:rowOff>104775</xdr:rowOff>
        </xdr:to>
        <xdr:sp macro="" textlink="">
          <xdr:nvSpPr>
            <xdr:cNvPr id="745467" name="Spinner14" hidden="1">
              <a:extLst>
                <a:ext uri="{63B3BB69-23CF-44E3-9099-C40C66FF867C}">
                  <a14:compatExt spid="_x0000_s7454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50</xdr:row>
          <xdr:rowOff>114300</xdr:rowOff>
        </xdr:from>
        <xdr:to>
          <xdr:col>5</xdr:col>
          <xdr:colOff>19050</xdr:colOff>
          <xdr:row>51</xdr:row>
          <xdr:rowOff>161925</xdr:rowOff>
        </xdr:to>
        <xdr:sp macro="" textlink="">
          <xdr:nvSpPr>
            <xdr:cNvPr id="745468" name="Spinner15" hidden="1">
              <a:extLst>
                <a:ext uri="{63B3BB69-23CF-44E3-9099-C40C66FF867C}">
                  <a14:compatExt spid="_x0000_s7454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51</xdr:row>
          <xdr:rowOff>171450</xdr:rowOff>
        </xdr:from>
        <xdr:to>
          <xdr:col>5</xdr:col>
          <xdr:colOff>19050</xdr:colOff>
          <xdr:row>53</xdr:row>
          <xdr:rowOff>152400</xdr:rowOff>
        </xdr:to>
        <xdr:sp macro="" textlink="">
          <xdr:nvSpPr>
            <xdr:cNvPr id="745469" name="Spinner16" hidden="1">
              <a:extLst>
                <a:ext uri="{63B3BB69-23CF-44E3-9099-C40C66FF867C}">
                  <a14:compatExt spid="_x0000_s7454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53</xdr:row>
          <xdr:rowOff>161925</xdr:rowOff>
        </xdr:from>
        <xdr:to>
          <xdr:col>5</xdr:col>
          <xdr:colOff>19050</xdr:colOff>
          <xdr:row>55</xdr:row>
          <xdr:rowOff>152400</xdr:rowOff>
        </xdr:to>
        <xdr:sp macro="" textlink="">
          <xdr:nvSpPr>
            <xdr:cNvPr id="745470" name="Spinner17" hidden="1">
              <a:extLst>
                <a:ext uri="{63B3BB69-23CF-44E3-9099-C40C66FF867C}">
                  <a14:compatExt spid="_x0000_s7454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55</xdr:row>
          <xdr:rowOff>161925</xdr:rowOff>
        </xdr:from>
        <xdr:to>
          <xdr:col>5</xdr:col>
          <xdr:colOff>19050</xdr:colOff>
          <xdr:row>57</xdr:row>
          <xdr:rowOff>152400</xdr:rowOff>
        </xdr:to>
        <xdr:sp macro="" textlink="">
          <xdr:nvSpPr>
            <xdr:cNvPr id="745471" name="Spinner18" hidden="1">
              <a:extLst>
                <a:ext uri="{63B3BB69-23CF-44E3-9099-C40C66FF867C}">
                  <a14:compatExt spid="_x0000_s7454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57</xdr:row>
          <xdr:rowOff>152400</xdr:rowOff>
        </xdr:from>
        <xdr:to>
          <xdr:col>5</xdr:col>
          <xdr:colOff>19050</xdr:colOff>
          <xdr:row>59</xdr:row>
          <xdr:rowOff>57150</xdr:rowOff>
        </xdr:to>
        <xdr:sp macro="" textlink="">
          <xdr:nvSpPr>
            <xdr:cNvPr id="837734" name="Spinner19" hidden="1">
              <a:extLst>
                <a:ext uri="{63B3BB69-23CF-44E3-9099-C40C66FF867C}">
                  <a14:compatExt spid="_x0000_s8377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59</xdr:row>
          <xdr:rowOff>57150</xdr:rowOff>
        </xdr:from>
        <xdr:to>
          <xdr:col>5</xdr:col>
          <xdr:colOff>19050</xdr:colOff>
          <xdr:row>61</xdr:row>
          <xdr:rowOff>47625</xdr:rowOff>
        </xdr:to>
        <xdr:sp macro="" textlink="">
          <xdr:nvSpPr>
            <xdr:cNvPr id="837862" name="Spinner20" hidden="1">
              <a:extLst>
                <a:ext uri="{63B3BB69-23CF-44E3-9099-C40C66FF867C}">
                  <a14:compatExt spid="_x0000_s8378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53</xdr:row>
          <xdr:rowOff>0</xdr:rowOff>
        </xdr:from>
        <xdr:to>
          <xdr:col>12</xdr:col>
          <xdr:colOff>38100</xdr:colOff>
          <xdr:row>56</xdr:row>
          <xdr:rowOff>19050</xdr:rowOff>
        </xdr:to>
        <xdr:sp macro="" textlink="">
          <xdr:nvSpPr>
            <xdr:cNvPr id="838281" name="Button7" hidden="1">
              <a:extLst>
                <a:ext uri="{63B3BB69-23CF-44E3-9099-C40C66FF867C}">
                  <a14:compatExt spid="_x0000_s83828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53</xdr:row>
          <xdr:rowOff>0</xdr:rowOff>
        </xdr:from>
        <xdr:to>
          <xdr:col>8</xdr:col>
          <xdr:colOff>285750</xdr:colOff>
          <xdr:row>56</xdr:row>
          <xdr:rowOff>19050</xdr:rowOff>
        </xdr:to>
        <xdr:sp macro="" textlink="">
          <xdr:nvSpPr>
            <xdr:cNvPr id="838293" name="Button4" hidden="1">
              <a:extLst>
                <a:ext uri="{63B3BB69-23CF-44E3-9099-C40C66FF867C}">
                  <a14:compatExt spid="_x0000_s83829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Energy </a:t>
              </a:r>
            </a:p>
            <a:p>
              <a:pPr algn="ctr" rtl="0">
                <a:defRPr sz="1000"/>
              </a:pPr>
              <a:r>
                <a:rPr lang="nl-BE" sz="1000" b="1" i="0" u="none" strike="noStrike" baseline="0">
                  <a:solidFill>
                    <a:srgbClr val="000080"/>
                  </a:solidFill>
                  <a:latin typeface="Calibri"/>
                  <a:cs typeface="Calibri"/>
                </a:rPr>
                <a:t>Pie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819150</xdr:colOff>
          <xdr:row>53</xdr:row>
          <xdr:rowOff>0</xdr:rowOff>
        </xdr:from>
        <xdr:to>
          <xdr:col>2</xdr:col>
          <xdr:colOff>1571625</xdr:colOff>
          <xdr:row>56</xdr:row>
          <xdr:rowOff>19050</xdr:rowOff>
        </xdr:to>
        <xdr:sp macro="" textlink="">
          <xdr:nvSpPr>
            <xdr:cNvPr id="838294" name="Button2" hidden="1">
              <a:extLst>
                <a:ext uri="{63B3BB69-23CF-44E3-9099-C40C66FF867C}">
                  <a14:compatExt spid="_x0000_s83829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Maize-Based Example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438150</xdr:colOff>
          <xdr:row>53</xdr:row>
          <xdr:rowOff>0</xdr:rowOff>
        </xdr:from>
        <xdr:to>
          <xdr:col>10</xdr:col>
          <xdr:colOff>476250</xdr:colOff>
          <xdr:row>56</xdr:row>
          <xdr:rowOff>19050</xdr:rowOff>
        </xdr:to>
        <xdr:sp macro="" textlink="">
          <xdr:nvSpPr>
            <xdr:cNvPr id="838295" name="Button6" hidden="1">
              <a:extLst>
                <a:ext uri="{63B3BB69-23CF-44E3-9099-C40C66FF867C}">
                  <a14:compatExt spid="_x0000_s8382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1590675</xdr:colOff>
          <xdr:row>53</xdr:row>
          <xdr:rowOff>0</xdr:rowOff>
        </xdr:from>
        <xdr:to>
          <xdr:col>2</xdr:col>
          <xdr:colOff>2314575</xdr:colOff>
          <xdr:row>56</xdr:row>
          <xdr:rowOff>19050</xdr:rowOff>
        </xdr:to>
        <xdr:sp macro="" textlink="">
          <xdr:nvSpPr>
            <xdr:cNvPr id="838296" name="Button3" hidden="1">
              <a:extLst>
                <a:ext uri="{63B3BB69-23CF-44E3-9099-C40C66FF867C}">
                  <a14:compatExt spid="_x0000_s8382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Rice-Based Example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304800</xdr:colOff>
          <xdr:row>53</xdr:row>
          <xdr:rowOff>0</xdr:rowOff>
        </xdr:from>
        <xdr:to>
          <xdr:col>9</xdr:col>
          <xdr:colOff>428625</xdr:colOff>
          <xdr:row>56</xdr:row>
          <xdr:rowOff>19050</xdr:rowOff>
        </xdr:to>
        <xdr:sp macro="" textlink="">
          <xdr:nvSpPr>
            <xdr:cNvPr id="838312" name="Button5" hidden="1">
              <a:extLst>
                <a:ext uri="{63B3BB69-23CF-44E3-9099-C40C66FF867C}">
                  <a14:compatExt spid="_x0000_s83831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53</xdr:row>
          <xdr:rowOff>0</xdr:rowOff>
        </xdr:from>
        <xdr:to>
          <xdr:col>2</xdr:col>
          <xdr:colOff>800100</xdr:colOff>
          <xdr:row>56</xdr:row>
          <xdr:rowOff>19050</xdr:rowOff>
        </xdr:to>
        <xdr:sp macro="" textlink="">
          <xdr:nvSpPr>
            <xdr:cNvPr id="838313" name="Button1" hidden="1">
              <a:extLst>
                <a:ext uri="{63B3BB69-23CF-44E3-9099-C40C66FF867C}">
                  <a14:compatExt spid="_x0000_s8383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Wheat-Based</a:t>
              </a:r>
            </a:p>
            <a:p>
              <a:pPr algn="ctr" rtl="0">
                <a:defRPr sz="1000"/>
              </a:pPr>
              <a:r>
                <a:rPr lang="nl-BE" sz="1000" b="1" i="0" u="none" strike="noStrike" baseline="0">
                  <a:solidFill>
                    <a:srgbClr val="000080"/>
                  </a:solidFill>
                  <a:latin typeface="Calibri"/>
                  <a:cs typeface="Calibri"/>
                </a:rPr>
                <a:t>Example </a:t>
              </a:r>
            </a:p>
            <a:p>
              <a:pPr algn="ctr" rtl="0">
                <a:defRPr sz="1000"/>
              </a:pPr>
              <a:endParaRPr lang="nl-BE" sz="1000" b="1" i="0" u="none" strike="noStrike" baseline="0">
                <a:solidFill>
                  <a:srgbClr val="000080"/>
                </a:solidFill>
                <a:latin typeface="Calibri"/>
                <a:cs typeface="Calibri"/>
              </a:endParaRPr>
            </a:p>
            <a:p>
              <a:pPr algn="ctr" rtl="0">
                <a:defRPr sz="1000"/>
              </a:pPr>
              <a:endParaRPr lang="nl-BE" sz="1000" b="1" i="0" u="none" strike="noStrike" baseline="0">
                <a:solidFill>
                  <a:srgbClr val="00008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57150</xdr:colOff>
          <xdr:row>53</xdr:row>
          <xdr:rowOff>0</xdr:rowOff>
        </xdr:from>
        <xdr:to>
          <xdr:col>13</xdr:col>
          <xdr:colOff>190500</xdr:colOff>
          <xdr:row>56</xdr:row>
          <xdr:rowOff>19050</xdr:rowOff>
        </xdr:to>
        <xdr:sp macro="" textlink="">
          <xdr:nvSpPr>
            <xdr:cNvPr id="838314" name="Button8" hidden="1">
              <a:extLst>
                <a:ext uri="{63B3BB69-23CF-44E3-9099-C40C66FF867C}">
                  <a14:compatExt spid="_x0000_s8383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53</xdr:row>
          <xdr:rowOff>0</xdr:rowOff>
        </xdr:from>
        <xdr:to>
          <xdr:col>15</xdr:col>
          <xdr:colOff>542925</xdr:colOff>
          <xdr:row>56</xdr:row>
          <xdr:rowOff>19050</xdr:rowOff>
        </xdr:to>
        <xdr:sp macro="" textlink="">
          <xdr:nvSpPr>
            <xdr:cNvPr id="838317" name="Button11" hidden="1">
              <a:extLst>
                <a:ext uri="{63B3BB69-23CF-44E3-9099-C40C66FF867C}">
                  <a14:compatExt spid="_x0000_s8383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Export Data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209550</xdr:colOff>
          <xdr:row>53</xdr:row>
          <xdr:rowOff>0</xdr:rowOff>
        </xdr:from>
        <xdr:to>
          <xdr:col>14</xdr:col>
          <xdr:colOff>38100</xdr:colOff>
          <xdr:row>56</xdr:row>
          <xdr:rowOff>19050</xdr:rowOff>
        </xdr:to>
        <xdr:sp macro="" textlink="">
          <xdr:nvSpPr>
            <xdr:cNvPr id="1936263" name="Button9" hidden="1">
              <a:extLst>
                <a:ext uri="{63B3BB69-23CF-44E3-9099-C40C66FF867C}">
                  <a14:compatExt spid="_x0000_s19362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Save </a:t>
              </a:r>
            </a:p>
            <a:p>
              <a:pPr algn="ctr" rtl="0">
                <a:defRPr sz="1000"/>
              </a:pPr>
              <a:r>
                <a:rPr lang="nl-BE" sz="1000" b="1" i="0" u="none" strike="noStrike" baseline="0">
                  <a:solidFill>
                    <a:srgbClr val="000080"/>
                  </a:solidFill>
                  <a:latin typeface="Calibri"/>
                  <a:cs typeface="Calibri"/>
                </a:rPr>
                <a:t>Ration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47625</xdr:colOff>
          <xdr:row>53</xdr:row>
          <xdr:rowOff>0</xdr:rowOff>
        </xdr:from>
        <xdr:to>
          <xdr:col>15</xdr:col>
          <xdr:colOff>0</xdr:colOff>
          <xdr:row>56</xdr:row>
          <xdr:rowOff>19050</xdr:rowOff>
        </xdr:to>
        <xdr:sp macro="" textlink="">
          <xdr:nvSpPr>
            <xdr:cNvPr id="1936309" name="Button10" hidden="1">
              <a:extLst>
                <a:ext uri="{63B3BB69-23CF-44E3-9099-C40C66FF867C}">
                  <a14:compatExt spid="_x0000_s193630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Load/ Delete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2333625</xdr:colOff>
          <xdr:row>53</xdr:row>
          <xdr:rowOff>0</xdr:rowOff>
        </xdr:from>
        <xdr:to>
          <xdr:col>2</xdr:col>
          <xdr:colOff>2733675</xdr:colOff>
          <xdr:row>56</xdr:row>
          <xdr:rowOff>19050</xdr:rowOff>
        </xdr:to>
        <xdr:sp macro="" textlink="">
          <xdr:nvSpPr>
            <xdr:cNvPr id="3133578" name="Button12" hidden="1">
              <a:extLst>
                <a:ext uri="{63B3BB69-23CF-44E3-9099-C40C66FF867C}">
                  <a14:compatExt spid="_x0000_s313357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2190750</xdr:colOff>
          <xdr:row>1</xdr:row>
          <xdr:rowOff>0</xdr:rowOff>
        </xdr:from>
        <xdr:to>
          <xdr:col>2</xdr:col>
          <xdr:colOff>3267075</xdr:colOff>
          <xdr:row>3</xdr:row>
          <xdr:rowOff>19050</xdr:rowOff>
        </xdr:to>
        <xdr:sp macro="" textlink="">
          <xdr:nvSpPr>
            <xdr:cNvPr id="3134008" name="Button 13880" hidden="1">
              <a:extLst>
                <a:ext uri="{63B3BB69-23CF-44E3-9099-C40C66FF867C}">
                  <a14:compatExt spid="_x0000_s31340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5</xdr:row>
          <xdr:rowOff>381000</xdr:rowOff>
        </xdr:from>
        <xdr:to>
          <xdr:col>4</xdr:col>
          <xdr:colOff>114300</xdr:colOff>
          <xdr:row>6</xdr:row>
          <xdr:rowOff>114300</xdr:rowOff>
        </xdr:to>
        <xdr:sp macro="" textlink="">
          <xdr:nvSpPr>
            <xdr:cNvPr id="518563" name="Button 4515" hidden="1">
              <a:extLst>
                <a:ext uri="{63B3BB69-23CF-44E3-9099-C40C66FF867C}">
                  <a14:compatExt spid="_x0000_s5185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xdr:row>
          <xdr:rowOff>381000</xdr:rowOff>
        </xdr:from>
        <xdr:to>
          <xdr:col>4</xdr:col>
          <xdr:colOff>314325</xdr:colOff>
          <xdr:row>6</xdr:row>
          <xdr:rowOff>114300</xdr:rowOff>
        </xdr:to>
        <xdr:sp macro="" textlink="">
          <xdr:nvSpPr>
            <xdr:cNvPr id="518570" name="Button 4522" hidden="1">
              <a:extLst>
                <a:ext uri="{63B3BB69-23CF-44E3-9099-C40C66FF867C}">
                  <a14:compatExt spid="_x0000_s51857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57150</xdr:rowOff>
        </xdr:from>
        <xdr:to>
          <xdr:col>4</xdr:col>
          <xdr:colOff>114300</xdr:colOff>
          <xdr:row>27</xdr:row>
          <xdr:rowOff>238125</xdr:rowOff>
        </xdr:to>
        <xdr:sp macro="" textlink="">
          <xdr:nvSpPr>
            <xdr:cNvPr id="838231" name="Button 10839" hidden="1">
              <a:extLst>
                <a:ext uri="{63B3BB69-23CF-44E3-9099-C40C66FF867C}">
                  <a14:compatExt spid="_x0000_s8382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57150</xdr:rowOff>
        </xdr:from>
        <xdr:to>
          <xdr:col>4</xdr:col>
          <xdr:colOff>314325</xdr:colOff>
          <xdr:row>27</xdr:row>
          <xdr:rowOff>238125</xdr:rowOff>
        </xdr:to>
        <xdr:sp macro="" textlink="">
          <xdr:nvSpPr>
            <xdr:cNvPr id="838232" name="Button 10840" hidden="1">
              <a:extLst>
                <a:ext uri="{63B3BB69-23CF-44E3-9099-C40C66FF867C}">
                  <a14:compatExt spid="_x0000_s83823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xdr:row>
          <xdr:rowOff>0</xdr:rowOff>
        </xdr:from>
        <xdr:to>
          <xdr:col>12</xdr:col>
          <xdr:colOff>257175</xdr:colOff>
          <xdr:row>3</xdr:row>
          <xdr:rowOff>19050</xdr:rowOff>
        </xdr:to>
        <xdr:sp macro="" textlink="">
          <xdr:nvSpPr>
            <xdr:cNvPr id="6462952" name="Button13" hidden="1">
              <a:extLst>
                <a:ext uri="{63B3BB69-23CF-44E3-9099-C40C66FF867C}">
                  <a14:compatExt spid="_x0000_s64629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Tracker</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228600</xdr:colOff>
      <xdr:row>9</xdr:row>
      <xdr:rowOff>0</xdr:rowOff>
    </xdr:from>
    <xdr:to>
      <xdr:col>13</xdr:col>
      <xdr:colOff>9525</xdr:colOff>
      <xdr:row>49</xdr:row>
      <xdr:rowOff>171450</xdr:rowOff>
    </xdr:to>
    <xdr:sp macro="" textlink="">
      <xdr:nvSpPr>
        <xdr:cNvPr id="9206860" name="Rectangle 778"/>
        <xdr:cNvSpPr>
          <a:spLocks noChangeArrowheads="1"/>
        </xdr:cNvSpPr>
      </xdr:nvSpPr>
      <xdr:spPr bwMode="auto">
        <a:xfrm>
          <a:off x="228600" y="1181100"/>
          <a:ext cx="12249150" cy="82296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1</xdr:col>
      <xdr:colOff>3276600</xdr:colOff>
      <xdr:row>1</xdr:row>
      <xdr:rowOff>66675</xdr:rowOff>
    </xdr:from>
    <xdr:to>
      <xdr:col>8</xdr:col>
      <xdr:colOff>442521</xdr:colOff>
      <xdr:row>3</xdr:row>
      <xdr:rowOff>161925</xdr:rowOff>
    </xdr:to>
    <xdr:sp macro="" textlink="">
      <xdr:nvSpPr>
        <xdr:cNvPr id="3" name="Text Box 815"/>
        <xdr:cNvSpPr txBox="1">
          <a:spLocks noChangeArrowheads="1"/>
        </xdr:cNvSpPr>
      </xdr:nvSpPr>
      <xdr:spPr bwMode="auto">
        <a:xfrm>
          <a:off x="3505200" y="200025"/>
          <a:ext cx="5995596" cy="4762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Logistics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1</xdr:row>
          <xdr:rowOff>9525</xdr:rowOff>
        </xdr:from>
        <xdr:to>
          <xdr:col>1</xdr:col>
          <xdr:colOff>1085850</xdr:colOff>
          <xdr:row>2</xdr:row>
          <xdr:rowOff>85725</xdr:rowOff>
        </xdr:to>
        <xdr:sp macro="" textlink="">
          <xdr:nvSpPr>
            <xdr:cNvPr id="4339713" name="Button 1" hidden="1">
              <a:extLst>
                <a:ext uri="{63B3BB69-23CF-44E3-9099-C40C66FF867C}">
                  <a14:compatExt spid="_x0000_s43397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1</xdr:row>
          <xdr:rowOff>9525</xdr:rowOff>
        </xdr:from>
        <xdr:to>
          <xdr:col>1</xdr:col>
          <xdr:colOff>2190750</xdr:colOff>
          <xdr:row>3</xdr:row>
          <xdr:rowOff>180975</xdr:rowOff>
        </xdr:to>
        <xdr:sp macro="" textlink="">
          <xdr:nvSpPr>
            <xdr:cNvPr id="4339714" name="Button 2" hidden="1">
              <a:extLst>
                <a:ext uri="{63B3BB69-23CF-44E3-9099-C40C66FF867C}">
                  <a14:compatExt spid="_x0000_s43397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104775</xdr:rowOff>
        </xdr:from>
        <xdr:to>
          <xdr:col>1</xdr:col>
          <xdr:colOff>1085850</xdr:colOff>
          <xdr:row>3</xdr:row>
          <xdr:rowOff>180975</xdr:rowOff>
        </xdr:to>
        <xdr:sp macro="" textlink="">
          <xdr:nvSpPr>
            <xdr:cNvPr id="4339715" name="Button 3" hidden="1">
              <a:extLst>
                <a:ext uri="{63B3BB69-23CF-44E3-9099-C40C66FF867C}">
                  <a14:compatExt spid="_x0000_s433971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419100</xdr:colOff>
          <xdr:row>1</xdr:row>
          <xdr:rowOff>19050</xdr:rowOff>
        </xdr:from>
        <xdr:to>
          <xdr:col>13</xdr:col>
          <xdr:colOff>0</xdr:colOff>
          <xdr:row>4</xdr:row>
          <xdr:rowOff>0</xdr:rowOff>
        </xdr:to>
        <xdr:sp macro="" textlink="">
          <xdr:nvSpPr>
            <xdr:cNvPr id="4339716" name="Button 4" hidden="1">
              <a:extLst>
                <a:ext uri="{63B3BB69-23CF-44E3-9099-C40C66FF867C}">
                  <a14:compatExt spid="_x0000_s43397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571500</xdr:colOff>
      <xdr:row>1</xdr:row>
      <xdr:rowOff>0</xdr:rowOff>
    </xdr:from>
    <xdr:to>
      <xdr:col>4</xdr:col>
      <xdr:colOff>1819276</xdr:colOff>
      <xdr:row>4</xdr:row>
      <xdr:rowOff>0</xdr:rowOff>
    </xdr:to>
    <xdr:sp macro="" textlink="">
      <xdr:nvSpPr>
        <xdr:cNvPr id="2" name="Text Box 815"/>
        <xdr:cNvSpPr txBox="1">
          <a:spLocks noChangeArrowheads="1"/>
        </xdr:cNvSpPr>
      </xdr:nvSpPr>
      <xdr:spPr bwMode="auto">
        <a:xfrm>
          <a:off x="2486025" y="180975"/>
          <a:ext cx="5286376"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p>
        <a:p>
          <a:pPr algn="ctr" rtl="0">
            <a:defRPr sz="1000"/>
          </a:pPr>
          <a:r>
            <a:rPr lang="en-GB" sz="1200" b="1" i="0" u="none" strike="noStrike" baseline="0">
              <a:solidFill>
                <a:srgbClr val="000000"/>
              </a:solidFill>
              <a:latin typeface="Arial"/>
              <a:ea typeface="Verdana"/>
              <a:cs typeface="Arial"/>
            </a:rPr>
            <a:t>(Use drop down arrows to filter data)</a:t>
          </a:r>
          <a:endParaRPr lang="en-GB" sz="8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66675</xdr:rowOff>
        </xdr:to>
        <xdr:sp macro="" textlink="">
          <xdr:nvSpPr>
            <xdr:cNvPr id="6093825" name="Button 1" hidden="1">
              <a:extLst>
                <a:ext uri="{63B3BB69-23CF-44E3-9099-C40C66FF867C}">
                  <a14:compatExt spid="_x0000_s609382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561975</xdr:colOff>
          <xdr:row>3</xdr:row>
          <xdr:rowOff>161925</xdr:rowOff>
        </xdr:to>
        <xdr:sp macro="" textlink="">
          <xdr:nvSpPr>
            <xdr:cNvPr id="6093826" name="Button 2" hidden="1">
              <a:extLst>
                <a:ext uri="{63B3BB69-23CF-44E3-9099-C40C66FF867C}">
                  <a14:compatExt spid="_x0000_s609382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85725</xdr:rowOff>
        </xdr:from>
        <xdr:to>
          <xdr:col>1</xdr:col>
          <xdr:colOff>1095375</xdr:colOff>
          <xdr:row>3</xdr:row>
          <xdr:rowOff>161925</xdr:rowOff>
        </xdr:to>
        <xdr:sp macro="" textlink="">
          <xdr:nvSpPr>
            <xdr:cNvPr id="6093827" name="Button 3" hidden="1">
              <a:extLst>
                <a:ext uri="{63B3BB69-23CF-44E3-9099-C40C66FF867C}">
                  <a14:compatExt spid="_x0000_s609382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847725</xdr:colOff>
          <xdr:row>1</xdr:row>
          <xdr:rowOff>171450</xdr:rowOff>
        </xdr:from>
        <xdr:to>
          <xdr:col>5</xdr:col>
          <xdr:colOff>1857375</xdr:colOff>
          <xdr:row>3</xdr:row>
          <xdr:rowOff>190500</xdr:rowOff>
        </xdr:to>
        <xdr:sp macro="" textlink="">
          <xdr:nvSpPr>
            <xdr:cNvPr id="6093828" name="Button 4" hidden="1">
              <a:extLst>
                <a:ext uri="{63B3BB69-23CF-44E3-9099-C40C66FF867C}">
                  <a14:compatExt spid="_x0000_s60938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Minerals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1876425</xdr:colOff>
          <xdr:row>1</xdr:row>
          <xdr:rowOff>171450</xdr:rowOff>
        </xdr:from>
        <xdr:to>
          <xdr:col>6</xdr:col>
          <xdr:colOff>857250</xdr:colOff>
          <xdr:row>3</xdr:row>
          <xdr:rowOff>190500</xdr:rowOff>
        </xdr:to>
        <xdr:sp macro="" textlink="">
          <xdr:nvSpPr>
            <xdr:cNvPr id="6093829" name="Button 5" hidden="1">
              <a:extLst>
                <a:ext uri="{63B3BB69-23CF-44E3-9099-C40C66FF867C}">
                  <a14:compatExt spid="_x0000_s60938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Water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171450</xdr:rowOff>
        </xdr:from>
        <xdr:to>
          <xdr:col>7</xdr:col>
          <xdr:colOff>447675</xdr:colOff>
          <xdr:row>3</xdr:row>
          <xdr:rowOff>190500</xdr:rowOff>
        </xdr:to>
        <xdr:sp macro="" textlink="">
          <xdr:nvSpPr>
            <xdr:cNvPr id="6093830" name="Button 6" hidden="1">
              <a:extLst>
                <a:ext uri="{63B3BB69-23CF-44E3-9099-C40C66FF867C}">
                  <a14:compatExt spid="_x0000_s609383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Fat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1838325</xdr:colOff>
          <xdr:row>1</xdr:row>
          <xdr:rowOff>171450</xdr:rowOff>
        </xdr:from>
        <xdr:to>
          <xdr:col>5</xdr:col>
          <xdr:colOff>828675</xdr:colOff>
          <xdr:row>3</xdr:row>
          <xdr:rowOff>190500</xdr:rowOff>
        </xdr:to>
        <xdr:sp macro="" textlink="">
          <xdr:nvSpPr>
            <xdr:cNvPr id="6093831" name="Button 7" hidden="1">
              <a:extLst>
                <a:ext uri="{63B3BB69-23CF-44E3-9099-C40C66FF867C}">
                  <a14:compatExt spid="_x0000_s60938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Energy &amp;</a:t>
              </a:r>
            </a:p>
            <a:p>
              <a:pPr algn="ctr" rtl="0">
                <a:defRPr sz="1000"/>
              </a:pPr>
              <a:r>
                <a:rPr lang="nl-BE" sz="1000" b="1" i="0" u="none" strike="noStrike" baseline="0">
                  <a:solidFill>
                    <a:srgbClr val="000080"/>
                  </a:solidFill>
                  <a:latin typeface="Arial"/>
                  <a:cs typeface="Arial"/>
                </a:rPr>
                <a:t>Macronutrients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1847850</xdr:colOff>
          <xdr:row>0</xdr:row>
          <xdr:rowOff>171450</xdr:rowOff>
        </xdr:from>
        <xdr:to>
          <xdr:col>7</xdr:col>
          <xdr:colOff>447675</xdr:colOff>
          <xdr:row>2</xdr:row>
          <xdr:rowOff>0</xdr:rowOff>
        </xdr:to>
        <xdr:sp macro="" textlink="">
          <xdr:nvSpPr>
            <xdr:cNvPr id="6093832" name="Button 8" hidden="1">
              <a:extLst>
                <a:ext uri="{63B3BB69-23CF-44E3-9099-C40C66FF867C}">
                  <a14:compatExt spid="_x0000_s60938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Graphs of % Nutrient Adequacy:</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1028700</xdr:colOff>
      <xdr:row>0</xdr:row>
      <xdr:rowOff>114300</xdr:rowOff>
    </xdr:from>
    <xdr:to>
      <xdr:col>8</xdr:col>
      <xdr:colOff>85725</xdr:colOff>
      <xdr:row>150</xdr:row>
      <xdr:rowOff>57150</xdr:rowOff>
    </xdr:to>
    <xdr:sp macro="" textlink="">
      <xdr:nvSpPr>
        <xdr:cNvPr id="2" name="Text Box 815"/>
        <xdr:cNvSpPr txBox="1">
          <a:spLocks noChangeArrowheads="1"/>
        </xdr:cNvSpPr>
      </xdr:nvSpPr>
      <xdr:spPr bwMode="auto">
        <a:xfrm>
          <a:off x="2657475" y="114300"/>
          <a:ext cx="7172325"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Energy and </a:t>
          </a:r>
        </a:p>
        <a:p>
          <a:pPr algn="ctr" rtl="0">
            <a:defRPr sz="1000"/>
          </a:pPr>
          <a:r>
            <a:rPr lang="en-GB" sz="1400" b="1" i="0" u="none" strike="noStrike" baseline="0">
              <a:solidFill>
                <a:srgbClr val="000000"/>
              </a:solidFill>
              <a:latin typeface="Arial"/>
              <a:ea typeface="Verdana"/>
              <a:cs typeface="Arial"/>
            </a:rPr>
            <a:t>Macronutrient  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4849" name="Button 1" hidden="1">
              <a:extLst>
                <a:ext uri="{63B3BB69-23CF-44E3-9099-C40C66FF867C}">
                  <a14:compatExt spid="_x0000_s609484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4850" name="Button 2" hidden="1">
              <a:extLst>
                <a:ext uri="{63B3BB69-23CF-44E3-9099-C40C66FF867C}">
                  <a14:compatExt spid="_x0000_s609485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4851" name="Button 3" hidden="1">
              <a:extLst>
                <a:ext uri="{63B3BB69-23CF-44E3-9099-C40C66FF867C}">
                  <a14:compatExt spid="_x0000_s609485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257175</xdr:colOff>
          <xdr:row>0</xdr:row>
          <xdr:rowOff>180975</xdr:rowOff>
        </xdr:from>
        <xdr:to>
          <xdr:col>8</xdr:col>
          <xdr:colOff>1333500</xdr:colOff>
          <xdr:row>3</xdr:row>
          <xdr:rowOff>133350</xdr:rowOff>
        </xdr:to>
        <xdr:sp macro="" textlink="">
          <xdr:nvSpPr>
            <xdr:cNvPr id="6094852" name="Button 4" hidden="1">
              <a:extLst>
                <a:ext uri="{63B3BB69-23CF-44E3-9099-C40C66FF867C}">
                  <a14:compatExt spid="_x0000_s60948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0</xdr:col>
      <xdr:colOff>266700</xdr:colOff>
      <xdr:row>150</xdr:row>
      <xdr:rowOff>114300</xdr:rowOff>
    </xdr:from>
    <xdr:to>
      <xdr:col>8</xdr:col>
      <xdr:colOff>1323975</xdr:colOff>
      <xdr:row>171</xdr:row>
      <xdr:rowOff>142875</xdr:rowOff>
    </xdr:to>
    <xdr:graphicFrame macro="">
      <xdr:nvGraphicFramePr>
        <xdr:cNvPr id="920796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266700</xdr:colOff>
      <xdr:row>0</xdr:row>
      <xdr:rowOff>152400</xdr:rowOff>
    </xdr:from>
    <xdr:to>
      <xdr:col>6</xdr:col>
      <xdr:colOff>271071</xdr:colOff>
      <xdr:row>150</xdr:row>
      <xdr:rowOff>47625</xdr:rowOff>
    </xdr:to>
    <xdr:sp macro="" textlink="">
      <xdr:nvSpPr>
        <xdr:cNvPr id="2" name="Text Box 815"/>
        <xdr:cNvSpPr txBox="1">
          <a:spLocks noChangeArrowheads="1"/>
        </xdr:cNvSpPr>
      </xdr:nvSpPr>
      <xdr:spPr bwMode="auto">
        <a:xfrm>
          <a:off x="3248025" y="15240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Water Soluble</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4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5873" name="Button 1" hidden="1">
              <a:extLst>
                <a:ext uri="{63B3BB69-23CF-44E3-9099-C40C66FF867C}">
                  <a14:compatExt spid="_x0000_s60958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5874" name="Button 2" hidden="1">
              <a:extLst>
                <a:ext uri="{63B3BB69-23CF-44E3-9099-C40C66FF867C}">
                  <a14:compatExt spid="_x0000_s609587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5875" name="Button 3" hidden="1">
              <a:extLst>
                <a:ext uri="{63B3BB69-23CF-44E3-9099-C40C66FF867C}">
                  <a14:compatExt spid="_x0000_s609587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962025</xdr:colOff>
          <xdr:row>0</xdr:row>
          <xdr:rowOff>180975</xdr:rowOff>
        </xdr:from>
        <xdr:to>
          <xdr:col>7</xdr:col>
          <xdr:colOff>666750</xdr:colOff>
          <xdr:row>3</xdr:row>
          <xdr:rowOff>133350</xdr:rowOff>
        </xdr:to>
        <xdr:sp macro="" textlink="">
          <xdr:nvSpPr>
            <xdr:cNvPr id="6095876" name="Button 4" hidden="1">
              <a:extLst>
                <a:ext uri="{63B3BB69-23CF-44E3-9099-C40C66FF867C}">
                  <a14:compatExt spid="_x0000_s609587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28575</xdr:colOff>
      <xdr:row>150</xdr:row>
      <xdr:rowOff>171450</xdr:rowOff>
    </xdr:from>
    <xdr:to>
      <xdr:col>7</xdr:col>
      <xdr:colOff>666750</xdr:colOff>
      <xdr:row>172</xdr:row>
      <xdr:rowOff>19050</xdr:rowOff>
    </xdr:to>
    <xdr:graphicFrame macro="">
      <xdr:nvGraphicFramePr>
        <xdr:cNvPr id="921000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151</xdr:row>
      <xdr:rowOff>0</xdr:rowOff>
    </xdr:from>
    <xdr:to>
      <xdr:col>6</xdr:col>
      <xdr:colOff>1190625</xdr:colOff>
      <xdr:row>172</xdr:row>
      <xdr:rowOff>66675</xdr:rowOff>
    </xdr:to>
    <xdr:graphicFrame macro="">
      <xdr:nvGraphicFramePr>
        <xdr:cNvPr id="921205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absolute">
    <xdr:from>
      <xdr:col>2</xdr:col>
      <xdr:colOff>1257300</xdr:colOff>
      <xdr:row>0</xdr:row>
      <xdr:rowOff>171450</xdr:rowOff>
    </xdr:from>
    <xdr:to>
      <xdr:col>5</xdr:col>
      <xdr:colOff>947346</xdr:colOff>
      <xdr:row>150</xdr:row>
      <xdr:rowOff>66675</xdr:rowOff>
    </xdr:to>
    <xdr:sp macro="" textlink="">
      <xdr:nvSpPr>
        <xdr:cNvPr id="3" name="Text Box 815"/>
        <xdr:cNvSpPr txBox="1">
          <a:spLocks noChangeArrowheads="1"/>
        </xdr:cNvSpPr>
      </xdr:nvSpPr>
      <xdr:spPr bwMode="auto">
        <a:xfrm>
          <a:off x="3238500" y="17145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Fat Soluble </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0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190500</xdr:rowOff>
        </xdr:from>
        <xdr:to>
          <xdr:col>1</xdr:col>
          <xdr:colOff>1085850</xdr:colOff>
          <xdr:row>2</xdr:row>
          <xdr:rowOff>57150</xdr:rowOff>
        </xdr:to>
        <xdr:sp macro="" textlink="">
          <xdr:nvSpPr>
            <xdr:cNvPr id="6096897" name="Button 1" hidden="1">
              <a:extLst>
                <a:ext uri="{63B3BB69-23CF-44E3-9099-C40C66FF867C}">
                  <a14:compatExt spid="_x0000_s60968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190500</xdr:rowOff>
        </xdr:from>
        <xdr:to>
          <xdr:col>2</xdr:col>
          <xdr:colOff>485775</xdr:colOff>
          <xdr:row>3</xdr:row>
          <xdr:rowOff>142875</xdr:rowOff>
        </xdr:to>
        <xdr:sp macro="" textlink="">
          <xdr:nvSpPr>
            <xdr:cNvPr id="6096898" name="Button 2" hidden="1">
              <a:extLst>
                <a:ext uri="{63B3BB69-23CF-44E3-9099-C40C66FF867C}">
                  <a14:compatExt spid="_x0000_s60968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76200</xdr:rowOff>
        </xdr:from>
        <xdr:to>
          <xdr:col>1</xdr:col>
          <xdr:colOff>1085850</xdr:colOff>
          <xdr:row>3</xdr:row>
          <xdr:rowOff>142875</xdr:rowOff>
        </xdr:to>
        <xdr:sp macro="" textlink="">
          <xdr:nvSpPr>
            <xdr:cNvPr id="6096899" name="Button 3" hidden="1">
              <a:extLst>
                <a:ext uri="{63B3BB69-23CF-44E3-9099-C40C66FF867C}">
                  <a14:compatExt spid="_x0000_s609689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1</xdr:row>
          <xdr:rowOff>0</xdr:rowOff>
        </xdr:from>
        <xdr:to>
          <xdr:col>6</xdr:col>
          <xdr:colOff>1190625</xdr:colOff>
          <xdr:row>3</xdr:row>
          <xdr:rowOff>152400</xdr:rowOff>
        </xdr:to>
        <xdr:sp macro="" textlink="">
          <xdr:nvSpPr>
            <xdr:cNvPr id="6096900" name="Button 4" hidden="1">
              <a:extLst>
                <a:ext uri="{63B3BB69-23CF-44E3-9099-C40C66FF867C}">
                  <a14:compatExt spid="_x0000_s60969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3</xdr:col>
      <xdr:colOff>161925</xdr:colOff>
      <xdr:row>0</xdr:row>
      <xdr:rowOff>161925</xdr:rowOff>
    </xdr:from>
    <xdr:to>
      <xdr:col>7</xdr:col>
      <xdr:colOff>747321</xdr:colOff>
      <xdr:row>150</xdr:row>
      <xdr:rowOff>9525</xdr:rowOff>
    </xdr:to>
    <xdr:sp macro="" textlink="">
      <xdr:nvSpPr>
        <xdr:cNvPr id="2" name="Text Box 815"/>
        <xdr:cNvSpPr txBox="1">
          <a:spLocks noChangeArrowheads="1"/>
        </xdr:cNvSpPr>
      </xdr:nvSpPr>
      <xdr:spPr bwMode="auto">
        <a:xfrm>
          <a:off x="3143250" y="161925"/>
          <a:ext cx="5995596" cy="64770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Mineral </a:t>
          </a:r>
        </a:p>
        <a:p>
          <a:pPr algn="ctr" rtl="0">
            <a:defRPr sz="1000"/>
          </a:pPr>
          <a:r>
            <a:rPr lang="en-GB" sz="1400" b="1" i="0" u="none" strike="noStrike" baseline="0">
              <a:solidFill>
                <a:srgbClr val="000000"/>
              </a:solidFill>
              <a:latin typeface="Arial"/>
              <a:ea typeface="Verdana"/>
              <a:cs typeface="Arial"/>
            </a:rPr>
            <a:t>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7921" name="Button 1" hidden="1">
              <a:extLst>
                <a:ext uri="{63B3BB69-23CF-44E3-9099-C40C66FF867C}">
                  <a14:compatExt spid="_x0000_s60979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7922" name="Button 2" hidden="1">
              <a:extLst>
                <a:ext uri="{63B3BB69-23CF-44E3-9099-C40C66FF867C}">
                  <a14:compatExt spid="_x0000_s60979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7923" name="Button 3" hidden="1">
              <a:extLst>
                <a:ext uri="{63B3BB69-23CF-44E3-9099-C40C66FF867C}">
                  <a14:compatExt spid="_x0000_s60979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276225</xdr:colOff>
          <xdr:row>0</xdr:row>
          <xdr:rowOff>180975</xdr:rowOff>
        </xdr:from>
        <xdr:to>
          <xdr:col>9</xdr:col>
          <xdr:colOff>0</xdr:colOff>
          <xdr:row>3</xdr:row>
          <xdr:rowOff>133350</xdr:rowOff>
        </xdr:to>
        <xdr:sp macro="" textlink="">
          <xdr:nvSpPr>
            <xdr:cNvPr id="6097924" name="Button 4" hidden="1">
              <a:extLst>
                <a:ext uri="{63B3BB69-23CF-44E3-9099-C40C66FF867C}">
                  <a14:compatExt spid="_x0000_s609792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19050</xdr:colOff>
      <xdr:row>150</xdr:row>
      <xdr:rowOff>123825</xdr:rowOff>
    </xdr:from>
    <xdr:to>
      <xdr:col>9</xdr:col>
      <xdr:colOff>0</xdr:colOff>
      <xdr:row>172</xdr:row>
      <xdr:rowOff>28575</xdr:rowOff>
    </xdr:to>
    <xdr:graphicFrame macro="">
      <xdr:nvGraphicFramePr>
        <xdr:cNvPr id="921410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2</xdr:row>
      <xdr:rowOff>104775</xdr:rowOff>
    </xdr:from>
    <xdr:to>
      <xdr:col>11</xdr:col>
      <xdr:colOff>742950</xdr:colOff>
      <xdr:row>23</xdr:row>
      <xdr:rowOff>47625</xdr:rowOff>
    </xdr:to>
    <xdr:graphicFrame macro="">
      <xdr:nvGraphicFramePr>
        <xdr:cNvPr id="921607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16077" name="Rectangle 2"/>
        <xdr:cNvSpPr>
          <a:spLocks noChangeArrowheads="1"/>
        </xdr:cNvSpPr>
      </xdr:nvSpPr>
      <xdr:spPr bwMode="auto">
        <a:xfrm>
          <a:off x="619125" y="5038725"/>
          <a:ext cx="80010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2</xdr:col>
          <xdr:colOff>323850</xdr:colOff>
          <xdr:row>2</xdr:row>
          <xdr:rowOff>28575</xdr:rowOff>
        </xdr:to>
        <xdr:sp macro="" textlink="">
          <xdr:nvSpPr>
            <xdr:cNvPr id="3539514" name="Button 1594" hidden="1">
              <a:extLst>
                <a:ext uri="{63B3BB69-23CF-44E3-9099-C40C66FF867C}">
                  <a14:compatExt spid="_x0000_s35395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752475</xdr:colOff>
          <xdr:row>0</xdr:row>
          <xdr:rowOff>152400</xdr:rowOff>
        </xdr:from>
        <xdr:to>
          <xdr:col>11</xdr:col>
          <xdr:colOff>742950</xdr:colOff>
          <xdr:row>2</xdr:row>
          <xdr:rowOff>38100</xdr:rowOff>
        </xdr:to>
        <xdr:sp macro="" textlink="">
          <xdr:nvSpPr>
            <xdr:cNvPr id="3539517" name="Button 1597" hidden="1">
              <a:extLst>
                <a:ext uri="{63B3BB69-23CF-44E3-9099-C40C66FF867C}">
                  <a14:compatExt spid="_x0000_s35395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11</xdr:col>
      <xdr:colOff>704850</xdr:colOff>
      <xdr:row>23</xdr:row>
      <xdr:rowOff>38100</xdr:rowOff>
    </xdr:to>
    <xdr:graphicFrame macro="">
      <xdr:nvGraphicFramePr>
        <xdr:cNvPr id="921816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18163" name="Rectangle 4"/>
        <xdr:cNvSpPr>
          <a:spLocks noChangeArrowheads="1"/>
        </xdr:cNvSpPr>
      </xdr:nvSpPr>
      <xdr:spPr bwMode="auto">
        <a:xfrm>
          <a:off x="628650" y="5057775"/>
          <a:ext cx="8115300"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2393071" name="Button 1007" hidden="1">
              <a:extLst>
                <a:ext uri="{63B3BB69-23CF-44E3-9099-C40C66FF867C}">
                  <a14:compatExt spid="_x0000_s23930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685800</xdr:colOff>
          <xdr:row>0</xdr:row>
          <xdr:rowOff>142875</xdr:rowOff>
        </xdr:from>
        <xdr:to>
          <xdr:col>11</xdr:col>
          <xdr:colOff>619125</xdr:colOff>
          <xdr:row>2</xdr:row>
          <xdr:rowOff>28575</xdr:rowOff>
        </xdr:to>
        <xdr:sp macro="" textlink="">
          <xdr:nvSpPr>
            <xdr:cNvPr id="2393073" name="Button 1009" hidden="1">
              <a:extLst>
                <a:ext uri="{63B3BB69-23CF-44E3-9099-C40C66FF867C}">
                  <a14:compatExt spid="_x0000_s23930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2</xdr:col>
      <xdr:colOff>400050</xdr:colOff>
      <xdr:row>0</xdr:row>
      <xdr:rowOff>133350</xdr:rowOff>
    </xdr:from>
    <xdr:to>
      <xdr:col>9</xdr:col>
      <xdr:colOff>620618</xdr:colOff>
      <xdr:row>15</xdr:row>
      <xdr:rowOff>171450</xdr:rowOff>
    </xdr:to>
    <xdr:sp macro="[0]!Quick_Referencehelp1" textlink="">
      <xdr:nvSpPr>
        <xdr:cNvPr id="8" name="Quick_Reference1" hidden="1"/>
        <xdr:cNvSpPr txBox="1">
          <a:spLocks noChangeArrowheads="1"/>
        </xdr:cNvSpPr>
      </xdr:nvSpPr>
      <xdr:spPr bwMode="auto">
        <a:xfrm>
          <a:off x="1781175" y="133350"/>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Bar Chart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0"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young children the minimum is 30%, and for pregnant or lactating women the minimum is 20% from fat.  The acceptable ranges are indicated by </a:t>
          </a:r>
          <a:r>
            <a:rPr lang="en-GB" sz="1000" b="0"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0" i="0" u="none" strike="noStrike">
              <a:solidFill>
                <a:srgbClr val="000080"/>
              </a:solidFill>
              <a:effectLst/>
              <a:latin typeface="Arial"/>
            </a:rPr>
            <a:t>blue.</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0"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safe level of intake the percentage is shown in </a:t>
          </a:r>
          <a:r>
            <a:rPr lang="en-GB" sz="1000" b="0"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28575</xdr:colOff>
      <xdr:row>2</xdr:row>
      <xdr:rowOff>104775</xdr:rowOff>
    </xdr:from>
    <xdr:to>
      <xdr:col>12</xdr:col>
      <xdr:colOff>57150</xdr:colOff>
      <xdr:row>23</xdr:row>
      <xdr:rowOff>47625</xdr:rowOff>
    </xdr:to>
    <xdr:graphicFrame macro="">
      <xdr:nvGraphicFramePr>
        <xdr:cNvPr id="92201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20173" name="Rectangle 2"/>
        <xdr:cNvSpPr>
          <a:spLocks noChangeArrowheads="1"/>
        </xdr:cNvSpPr>
      </xdr:nvSpPr>
      <xdr:spPr bwMode="auto">
        <a:xfrm>
          <a:off x="619125" y="5038725"/>
          <a:ext cx="7915275"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133350</xdr:rowOff>
        </xdr:from>
        <xdr:to>
          <xdr:col>2</xdr:col>
          <xdr:colOff>323850</xdr:colOff>
          <xdr:row>2</xdr:row>
          <xdr:rowOff>19050</xdr:rowOff>
        </xdr:to>
        <xdr:sp macro="" textlink="">
          <xdr:nvSpPr>
            <xdr:cNvPr id="2410471" name="Button 999" hidden="1">
              <a:extLst>
                <a:ext uri="{63B3BB69-23CF-44E3-9099-C40C66FF867C}">
                  <a14:compatExt spid="_x0000_s24104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76200</xdr:colOff>
          <xdr:row>0</xdr:row>
          <xdr:rowOff>142875</xdr:rowOff>
        </xdr:from>
        <xdr:to>
          <xdr:col>12</xdr:col>
          <xdr:colOff>66675</xdr:colOff>
          <xdr:row>2</xdr:row>
          <xdr:rowOff>28575</xdr:rowOff>
        </xdr:to>
        <xdr:sp macro="" textlink="">
          <xdr:nvSpPr>
            <xdr:cNvPr id="2410473" name="Button 1001" hidden="1">
              <a:extLst>
                <a:ext uri="{63B3BB69-23CF-44E3-9099-C40C66FF867C}">
                  <a14:compatExt spid="_x0000_s24104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12</xdr:col>
      <xdr:colOff>28575</xdr:colOff>
      <xdr:row>23</xdr:row>
      <xdr:rowOff>38100</xdr:rowOff>
    </xdr:to>
    <xdr:graphicFrame macro="">
      <xdr:nvGraphicFramePr>
        <xdr:cNvPr id="92222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22221" name="Rectangle 4"/>
        <xdr:cNvSpPr>
          <a:spLocks noChangeArrowheads="1"/>
        </xdr:cNvSpPr>
      </xdr:nvSpPr>
      <xdr:spPr bwMode="auto">
        <a:xfrm>
          <a:off x="628650" y="5057775"/>
          <a:ext cx="8029575"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3542586" name="Button 1594" hidden="1">
              <a:extLst>
                <a:ext uri="{63B3BB69-23CF-44E3-9099-C40C66FF867C}">
                  <a14:compatExt spid="_x0000_s354258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9525</xdr:colOff>
          <xdr:row>0</xdr:row>
          <xdr:rowOff>142875</xdr:rowOff>
        </xdr:from>
        <xdr:to>
          <xdr:col>11</xdr:col>
          <xdr:colOff>704850</xdr:colOff>
          <xdr:row>2</xdr:row>
          <xdr:rowOff>28575</xdr:rowOff>
        </xdr:to>
        <xdr:sp macro="" textlink="">
          <xdr:nvSpPr>
            <xdr:cNvPr id="3542588" name="Button 1596" hidden="1">
              <a:extLst>
                <a:ext uri="{63B3BB69-23CF-44E3-9099-C40C66FF867C}">
                  <a14:compatExt spid="_x0000_s354258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619125</xdr:colOff>
      <xdr:row>2</xdr:row>
      <xdr:rowOff>104775</xdr:rowOff>
    </xdr:from>
    <xdr:to>
      <xdr:col>12</xdr:col>
      <xdr:colOff>47625</xdr:colOff>
      <xdr:row>23</xdr:row>
      <xdr:rowOff>47625</xdr:rowOff>
    </xdr:to>
    <xdr:graphicFrame macro="">
      <xdr:nvGraphicFramePr>
        <xdr:cNvPr id="922426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12</xdr:col>
      <xdr:colOff>47625</xdr:colOff>
      <xdr:row>25</xdr:row>
      <xdr:rowOff>28575</xdr:rowOff>
    </xdr:to>
    <xdr:sp macro="" textlink="">
      <xdr:nvSpPr>
        <xdr:cNvPr id="9224269" name="Rectangle 2"/>
        <xdr:cNvSpPr>
          <a:spLocks noChangeArrowheads="1"/>
        </xdr:cNvSpPr>
      </xdr:nvSpPr>
      <xdr:spPr bwMode="auto">
        <a:xfrm>
          <a:off x="619125" y="5038725"/>
          <a:ext cx="80772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0</xdr:colOff>
          <xdr:row>0</xdr:row>
          <xdr:rowOff>133350</xdr:rowOff>
        </xdr:from>
        <xdr:to>
          <xdr:col>2</xdr:col>
          <xdr:colOff>314325</xdr:colOff>
          <xdr:row>2</xdr:row>
          <xdr:rowOff>19050</xdr:rowOff>
        </xdr:to>
        <xdr:sp macro="" textlink="">
          <xdr:nvSpPr>
            <xdr:cNvPr id="3545658" name="Button 1594" hidden="1">
              <a:extLst>
                <a:ext uri="{63B3BB69-23CF-44E3-9099-C40C66FF867C}">
                  <a14:compatExt spid="_x0000_s35456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0</xdr:row>
          <xdr:rowOff>142875</xdr:rowOff>
        </xdr:from>
        <xdr:to>
          <xdr:col>12</xdr:col>
          <xdr:colOff>38100</xdr:colOff>
          <xdr:row>2</xdr:row>
          <xdr:rowOff>28575</xdr:rowOff>
        </xdr:to>
        <xdr:sp macro="" textlink="">
          <xdr:nvSpPr>
            <xdr:cNvPr id="3545660" name="Button 1596" hidden="1">
              <a:extLst>
                <a:ext uri="{63B3BB69-23CF-44E3-9099-C40C66FF867C}">
                  <a14:compatExt spid="_x0000_s35456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228600</xdr:rowOff>
        </xdr:from>
        <xdr:to>
          <xdr:col>4</xdr:col>
          <xdr:colOff>219075</xdr:colOff>
          <xdr:row>1</xdr:row>
          <xdr:rowOff>57150</xdr:rowOff>
        </xdr:to>
        <xdr:sp macro="" textlink="">
          <xdr:nvSpPr>
            <xdr:cNvPr id="35195" name="Button 9595" hidden="1">
              <a:extLst>
                <a:ext uri="{63B3BB69-23CF-44E3-9099-C40C66FF867C}">
                  <a14:compatExt spid="_x0000_s351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1</xdr:row>
          <xdr:rowOff>66675</xdr:rowOff>
        </xdr:from>
        <xdr:to>
          <xdr:col>4</xdr:col>
          <xdr:colOff>219075</xdr:colOff>
          <xdr:row>2</xdr:row>
          <xdr:rowOff>133350</xdr:rowOff>
        </xdr:to>
        <xdr:sp macro="" textlink="">
          <xdr:nvSpPr>
            <xdr:cNvPr id="35196" name="Button 9596" hidden="1">
              <a:extLst>
                <a:ext uri="{63B3BB69-23CF-44E3-9099-C40C66FF867C}">
                  <a14:compatExt spid="_x0000_s351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2</xdr:row>
          <xdr:rowOff>238125</xdr:rowOff>
        </xdr:from>
        <xdr:to>
          <xdr:col>41</xdr:col>
          <xdr:colOff>161925</xdr:colOff>
          <xdr:row>4</xdr:row>
          <xdr:rowOff>161925</xdr:rowOff>
        </xdr:to>
        <xdr:sp macro="" textlink="">
          <xdr:nvSpPr>
            <xdr:cNvPr id="35121" name="Button 9521" hidden="1">
              <a:extLst>
                <a:ext uri="{63B3BB69-23CF-44E3-9099-C40C66FF867C}">
                  <a14:compatExt spid="_x0000_s351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Save Data Entry Sheet to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1</xdr:row>
          <xdr:rowOff>114300</xdr:rowOff>
        </xdr:from>
        <xdr:to>
          <xdr:col>41</xdr:col>
          <xdr:colOff>161925</xdr:colOff>
          <xdr:row>2</xdr:row>
          <xdr:rowOff>228600</xdr:rowOff>
        </xdr:to>
        <xdr:sp macro="" textlink="">
          <xdr:nvSpPr>
            <xdr:cNvPr id="35122" name="Button 9522" hidden="1">
              <a:extLst>
                <a:ext uri="{63B3BB69-23CF-44E3-9099-C40C66FF867C}">
                  <a14:compatExt spid="_x0000_s351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Print a Data Collection 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0</xdr:row>
          <xdr:rowOff>238125</xdr:rowOff>
        </xdr:from>
        <xdr:to>
          <xdr:col>41</xdr:col>
          <xdr:colOff>161925</xdr:colOff>
          <xdr:row>1</xdr:row>
          <xdr:rowOff>104775</xdr:rowOff>
        </xdr:to>
        <xdr:sp macro="" textlink="">
          <xdr:nvSpPr>
            <xdr:cNvPr id="35198" name="Button 9598" hidden="1">
              <a:extLst>
                <a:ext uri="{63B3BB69-23CF-44E3-9099-C40C66FF867C}">
                  <a14:compatExt spid="_x0000_s351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View Results  </a:t>
              </a:r>
            </a:p>
          </xdr:txBody>
        </xdr:sp>
        <xdr:clientData fPrintsWithSheet="0"/>
      </xdr:twoCellAnchor>
    </mc:Choice>
    <mc:Fallback/>
  </mc:AlternateContent>
  <xdr:twoCellAnchor>
    <xdr:from>
      <xdr:col>1</xdr:col>
      <xdr:colOff>352425</xdr:colOff>
      <xdr:row>0</xdr:row>
      <xdr:rowOff>152400</xdr:rowOff>
    </xdr:from>
    <xdr:to>
      <xdr:col>41</xdr:col>
      <xdr:colOff>276225</xdr:colOff>
      <xdr:row>23</xdr:row>
      <xdr:rowOff>0</xdr:rowOff>
    </xdr:to>
    <xdr:sp macro="" textlink="">
      <xdr:nvSpPr>
        <xdr:cNvPr id="9226278" name="Rectangle 10334"/>
        <xdr:cNvSpPr>
          <a:spLocks noChangeArrowheads="1"/>
        </xdr:cNvSpPr>
      </xdr:nvSpPr>
      <xdr:spPr bwMode="auto">
        <a:xfrm>
          <a:off x="504825" y="152400"/>
          <a:ext cx="8991600" cy="46482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4</xdr:col>
          <xdr:colOff>47625</xdr:colOff>
          <xdr:row>0</xdr:row>
          <xdr:rowOff>571500</xdr:rowOff>
        </xdr:to>
        <xdr:sp macro="" textlink="">
          <xdr:nvSpPr>
            <xdr:cNvPr id="35845" name="Button 5" hidden="1">
              <a:extLst>
                <a:ext uri="{63B3BB69-23CF-44E3-9099-C40C66FF867C}">
                  <a14:compatExt spid="_x0000_s3584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576" tIns="27432" rIns="36576" bIns="27432" anchor="ctr" upright="1"/>
            <a:lstStyle/>
            <a:p>
              <a:pPr algn="ctr" rtl="0">
                <a:defRPr sz="1000"/>
              </a:pPr>
              <a:r>
                <a:rPr lang="nl-BE" sz="1200" b="0" i="0" u="none" strike="noStrike" baseline="0">
                  <a:solidFill>
                    <a:srgbClr val="000000"/>
                  </a:solidFill>
                  <a:latin typeface="Helv"/>
                </a:rPr>
                <a:t>Return to Data Entry Sheet</a:t>
              </a:r>
            </a:p>
          </xdr:txBody>
        </xdr:sp>
        <xdr:clientData fPrintsWithSheet="0"/>
      </xdr:twoCellAnchor>
    </mc:Choice>
    <mc:Fallback/>
  </mc:AlternateContent>
  <xdr:twoCellAnchor>
    <xdr:from>
      <xdr:col>12</xdr:col>
      <xdr:colOff>276225</xdr:colOff>
      <xdr:row>4</xdr:row>
      <xdr:rowOff>28575</xdr:rowOff>
    </xdr:from>
    <xdr:to>
      <xdr:col>12</xdr:col>
      <xdr:colOff>1190625</xdr:colOff>
      <xdr:row>5</xdr:row>
      <xdr:rowOff>200025</xdr:rowOff>
    </xdr:to>
    <xdr:sp macro="" textlink="">
      <xdr:nvSpPr>
        <xdr:cNvPr id="9227302" name="Text Box 6"/>
        <xdr:cNvSpPr txBox="1">
          <a:spLocks noChangeArrowheads="1"/>
        </xdr:cNvSpPr>
      </xdr:nvSpPr>
      <xdr:spPr bwMode="auto">
        <a:xfrm>
          <a:off x="12411075" y="1533525"/>
          <a:ext cx="914400" cy="428625"/>
        </a:xfrm>
        <a:prstGeom prst="rect">
          <a:avLst/>
        </a:prstGeom>
        <a:solidFill>
          <a:srgbClr xmlns:mc="http://schemas.openxmlformats.org/markup-compatibility/2006" xmlns:a14="http://schemas.microsoft.com/office/drawing/2010/main" val="FFFFFF" mc:Ignorable="a14" a14:legacySpreadsheetColorIndex="9"/>
        </a:solidFill>
        <a:ln w="12700">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190500</xdr:colOff>
          <xdr:row>2</xdr:row>
          <xdr:rowOff>9525</xdr:rowOff>
        </xdr:from>
        <xdr:to>
          <xdr:col>9</xdr:col>
          <xdr:colOff>657225</xdr:colOff>
          <xdr:row>3</xdr:row>
          <xdr:rowOff>85725</xdr:rowOff>
        </xdr:to>
        <xdr:sp macro="" textlink="">
          <xdr:nvSpPr>
            <xdr:cNvPr id="8228" name="Button 36" hidden="1">
              <a:extLst>
                <a:ext uri="{63B3BB69-23CF-44E3-9099-C40C66FF867C}">
                  <a14:compatExt spid="_x0000_s82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28575</xdr:rowOff>
        </xdr:from>
        <xdr:to>
          <xdr:col>1</xdr:col>
          <xdr:colOff>1133475</xdr:colOff>
          <xdr:row>3</xdr:row>
          <xdr:rowOff>104775</xdr:rowOff>
        </xdr:to>
        <xdr:sp macro="" textlink="">
          <xdr:nvSpPr>
            <xdr:cNvPr id="8229" name="Button 37" hidden="1">
              <a:extLst>
                <a:ext uri="{63B3BB69-23CF-44E3-9099-C40C66FF867C}">
                  <a14:compatExt spid="_x0000_s82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Save Data </a:t>
              </a:r>
            </a:p>
            <a:p>
              <a:pPr algn="ctr" rtl="0">
                <a:defRPr sz="1000"/>
              </a:pPr>
              <a:r>
                <a:rPr lang="nl-BE" sz="900" b="1" i="0" u="none" strike="noStrike" baseline="0">
                  <a:solidFill>
                    <a:srgbClr val="000080"/>
                  </a:solidFill>
                  <a:latin typeface="Helv"/>
                </a:rPr>
                <a:t>to New File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enableRefresh="0" refreshedBy="AJS" refreshedDate="42320.837559722226" createdVersion="1" refreshedVersion="4" recordCount="164" upgradeOnRefresh="1">
  <cacheSource type="worksheet">
    <worksheetSource ref="A1:AC124" sheet="SavedData"/>
  </cacheSource>
  <cacheFields count="29">
    <cacheField name="Ration ID" numFmtId="0">
      <sharedItems containsString="0"/>
    </cacheField>
    <cacheField name="RationName" numFmtId="0">
      <sharedItems count="4">
        <s v="Example saved ration 1"/>
        <s v="Example saved ration 2"/>
        <s v="Example saved ration 3"/>
        <s v="Example saved ration 1 659"/>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2">
        <s v="Whole Population"/>
        <s v="06-59 month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enableRefresh="0" refreshedBy="Andrew Seal" refreshedDate="42359.719204629633"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enableRefresh="0" refreshedBy="Andrew Seal" refreshedDate="42359.719231134259"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enableRefresh="0" refreshedBy="Andrew Seal" refreshedDate="42359.719488657407"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Yentl-PC" refreshedDate="42795.43800451389" createdVersion="1" refreshedVersion="5" recordCount="123" upgradeOnRefresh="1">
  <cacheSource type="worksheet">
    <worksheetSource ref="A1:AC124" sheet="SavedData"/>
  </cacheSource>
  <cacheFields count="29">
    <cacheField name="Ration ID" numFmtId="0">
      <sharedItems/>
    </cacheField>
    <cacheField name="RationName" numFmtId="0">
      <sharedItems count="3">
        <s v="Example saved ration 1"/>
        <s v="Example saved ration 2"/>
        <s v="Example saved ration 3"/>
      </sharedItems>
    </cacheField>
    <cacheField name="RationDate" numFmtId="14">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Blank="1"/>
    </cacheField>
    <cacheField name="Ration Weight (g/p/d)" numFmtId="0">
      <sharedItems containsString="0" containsBlank="1" containsNumber="1" containsInteger="1" minValue="5" maxValue="450"/>
    </cacheField>
    <cacheField name="Energy (kcal)" numFmtId="0">
      <sharedItems containsString="0" containsBlank="1" containsNumber="1" minValue="0" maxValue="1506"/>
    </cacheField>
    <cacheField name="Protein (g)" numFmtId="0">
      <sharedItems containsString="0" containsBlank="1" containsNumber="1" minValue="0" maxValue="55.530000000000008"/>
    </cacheField>
    <cacheField name="Fat (g)" numFmtId="0">
      <sharedItems containsString="0" containsBlank="1" containsNumber="1" minValue="0" maxValue="35"/>
    </cacheField>
    <cacheField name="Calcium (mg)" numFmtId="0">
      <sharedItems containsBlank="1" containsMixedTypes="1" containsNumber="1" minValue="0" maxValue="237.88800000000003"/>
    </cacheField>
    <cacheField name="Copper (mg)" numFmtId="0">
      <sharedItems containsBlank="1" containsMixedTypes="1" containsNumber="1" minValue="3.5000000000000005E-4" maxValue="2.6244000000000001"/>
    </cacheField>
    <cacheField name="Iodine (µg)" numFmtId="0">
      <sharedItems containsBlank="1" containsMixedTypes="1" containsNumber="1" minValue="1.6231884057971016" maxValue="200"/>
    </cacheField>
    <cacheField name="Iron (mg)" numFmtId="0">
      <sharedItems containsBlank="1" containsMixedTypes="1" containsNumber="1" minValue="0" maxValue="17.587500000000002"/>
    </cacheField>
    <cacheField name="Magnesium (mg)" numFmtId="0">
      <sharedItems containsBlank="1" containsMixedTypes="1" containsNumber="1" minValue="0" maxValue="527.25"/>
    </cacheField>
    <cacheField name="Selenium (µg)" numFmtId="0">
      <sharedItems containsBlank="1" containsMixedTypes="1" containsNumber="1" minValue="0.03" maxValue="346.2"/>
    </cacheField>
    <cacheField name="Zinc (mg)" numFmtId="0">
      <sharedItems containsBlank="1" containsMixedTypes="1" containsNumber="1" minValue="0" maxValue="14.2575"/>
    </cacheField>
    <cacheField name="Vitamin A (µg RAE)" numFmtId="0">
      <sharedItems containsBlank="1" containsMixedTypes="1" containsNumber="1" minValue="0" maxValue="332.98200000000003"/>
    </cacheField>
    <cacheField name="Thiamine (mg)" numFmtId="0">
      <sharedItems containsString="0" containsBlank="1" containsNumber="1" minValue="0" maxValue="2.4585818181818189"/>
    </cacheField>
    <cacheField name="Riboflavin (mg)" numFmtId="0">
      <sharedItems containsString="0" containsBlank="1" containsNumber="1" minValue="0" maxValue="1.2671272727272727"/>
    </cacheField>
    <cacheField name="Niacin (mg)" numFmtId="0">
      <sharedItems containsString="0" containsBlank="1" containsNumber="1" minValue="0" maxValue="23.894250000000003"/>
    </cacheField>
    <cacheField name="Pantothenate (mg)" numFmtId="0">
      <sharedItems containsBlank="1" containsMixedTypes="1" containsNumber="1" minValue="0" maxValue="4.6970000000000001"/>
    </cacheField>
    <cacheField name="Pyridoxine (mg)" numFmtId="0">
      <sharedItems containsString="0" containsBlank="1" containsNumber="1" minValue="0" maxValue="3.1414000000000004"/>
    </cacheField>
    <cacheField name="Folate (µg DFE)" numFmtId="0">
      <sharedItems containsBlank="1" containsMixedTypes="1" containsNumber="1" minValue="0" maxValue="574.79999999999995"/>
    </cacheField>
    <cacheField name="Vitamin B12 (μg)" numFmtId="0">
      <sharedItems containsString="0" containsBlank="1" containsNumber="1" minValue="0" maxValue="1.2"/>
    </cacheField>
    <cacheField name="Vitamin C (mg)" numFmtId="0">
      <sharedItems containsString="0" containsBlank="1" containsNumber="1" minValue="0" maxValue="60.552"/>
    </cacheField>
    <cacheField name="Vitamin D (µg)" numFmtId="0">
      <sharedItems containsString="0" containsBlank="1" containsNumber="1" minValue="0" maxValue="3.6"/>
    </cacheField>
    <cacheField name="Vitamin E (mg)" numFmtId="0">
      <sharedItems containsBlank="1" containsMixedTypes="1" containsNumber="1" minValue="0" maxValue="5.76"/>
    </cacheField>
    <cacheField name="Vitamin K (µg)" numFmtId="0">
      <sharedItems containsBlank="1" containsMixedTypes="1" containsNumber="1" minValue="0" maxValue="241.45"/>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9" dataOnRows="1" applyNumberFormats="0" applyBorderFormats="0" applyFontFormats="0" applyPatternFormats="0" applyAlignmentFormats="0" applyWidthHeightFormats="1" dataCaption="Ration Contents" updatedVersion="5" showDrill="0" showMemberPropertyTips="0" useAutoFormatting="1" rowGrandTotals="0" colGrandTotals="0" itemPrintTitles="1" createdVersion="1" indent="0" compact="0" compactData="0">
  <location ref="B8:E32" firstHeaderRow="1" firstDataRow="3" firstDataCol="1" rowPageCount="2" colPageCount="1"/>
  <pivotFields count="29">
    <pivotField compact="0" outline="0" subtotalTop="0" showAll="0" includeNewItemsInFilter="1" defaultSubtotal="0"/>
    <pivotField axis="axisCol" compact="0" outline="0" showAll="0" includeNewItemsInFilter="1" sortType="ascending" defaultSubtotal="0">
      <items count="3">
        <item x="0"/>
        <item x="1"/>
        <item x="2"/>
      </items>
    </pivotField>
    <pivotField axis="axisCol" compact="0" numFmtId="14" outline="0" showAll="0" includeNewItemsInFilter="1" sortType="ascending" defaultSubtotal="0">
      <items count="3">
        <item x="0"/>
        <item x="1"/>
        <item x="2"/>
      </items>
    </pivotField>
    <pivotField name="Displaying data on:" axis="axisPage" showDropDowns="0" compact="0" outline="0" subtotalTop="0" includeNewItemsInFilter="1" defaultSubtotal="0">
      <items count="2">
        <item x="1"/>
        <item x="0"/>
      </items>
    </pivotField>
    <pivotField compact="0" outline="0" showAll="0" includeNewItemsInFilter="1" defaultSubtotal="0"/>
    <pivotField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ubtotalTop="0" showAll="0" includeNewItemsInFilter="1" defaultSubtotal="0"/>
    <pivotField name="Target Beneficiaries:" axis="axisPage" compact="0" outline="0" subtotalTop="0" showAll="0" includeNewItemsInFilter="1" defaultSubtotal="0">
      <items count="1">
        <item x="0"/>
      </items>
    </pivotField>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1"/>
    <field x="2"/>
  </colFields>
  <colItems count="3">
    <i>
      <x/>
      <x/>
    </i>
    <i>
      <x v="1"/>
      <x v="1"/>
    </i>
    <i>
      <x v="2"/>
      <x v="2"/>
    </i>
  </colItems>
  <pageFields count="2">
    <pageField fld="28" hier="0"/>
    <pageField fld="3" item="1" hier="0"/>
  </pageFields>
  <dataFields count="22">
    <dataField name="Sum of Energy (kcal)" fld="6" baseField="2" baseItem="0" numFmtId="3"/>
    <dataField name="Sum of Protein (g)" fld="7" baseField="0" baseItem="0" numFmtId="168"/>
    <dataField name="Sum of Fat (g)" fld="8" baseField="0" baseItem="0" numFmtId="168"/>
    <dataField name="Sum of Calcium (mg)" fld="9" baseField="0" baseItem="0" numFmtId="1"/>
    <dataField name="Sum of Copper (mg)" fld="10" baseField="0" baseItem="0" numFmtId="168"/>
    <dataField name="Sum of Iodine (µg)" fld="11" baseField="0" baseItem="0" numFmtId="168"/>
    <dataField name="Sum of Iron (mg)" fld="12" baseField="0" baseItem="0" numFmtId="168"/>
    <dataField name="Sum of Magnesium (mg)" fld="13" baseField="0" baseItem="0" numFmtId="1"/>
    <dataField name="Sum of Selenium (µg)" fld="14" baseField="0" baseItem="0" numFmtId="168"/>
    <dataField name="Sum of Zinc (mg)" fld="15" baseField="0" baseItem="0" numFmtId="168"/>
    <dataField name="Sum of Vitamin A (µg RAE)" fld="16" baseField="0" baseItem="0" numFmtId="3"/>
    <dataField name="Sum of Thiamine (mg)" fld="17" baseField="0" baseItem="0" numFmtId="2"/>
    <dataField name="Sum of Riboflavin (mg)" fld="18" baseField="0" baseItem="0" numFmtId="2"/>
    <dataField name="Sum of Niacin (mg)" fld="19" baseField="0" baseItem="0" numFmtId="168"/>
    <dataField name="Sum of Pantothenate (mg)" fld="20" baseField="0" baseItem="0" numFmtId="168"/>
    <dataField name="Sum of Pyridoxine (mg)" fld="21" baseField="0" baseItem="0" numFmtId="168"/>
    <dataField name="Sum of Folate (µg DFE)" fld="22" baseField="0" baseItem="0" numFmtId="1"/>
    <dataField name="Sum of Vitamin B12 (μg)" fld="23" baseField="0" baseItem="0" numFmtId="168"/>
    <dataField name="Sum of Vitamin C (mg)" fld="24" baseField="0" baseItem="0" numFmtId="168"/>
    <dataField name="Sum of Vitamin D (µg)" fld="25" baseField="0" baseItem="0" numFmtId="168"/>
    <dataField name="Sum of Vitamin E (mg)" fld="26" baseField="0" baseItem="0" numFmtId="168"/>
    <dataField name="Sum of Vitamin K (µg)" fld="27" baseField="2" baseItem="0" numFmtId="166"/>
  </dataFields>
  <formats count="14">
    <format dxfId="109">
      <pivotArea type="all" dataOnly="0" outline="0" fieldPosition="0"/>
    </format>
    <format dxfId="108">
      <pivotArea type="all" dataOnly="0" outline="0" fieldPosition="0"/>
    </format>
    <format dxfId="107">
      <pivotArea type="all" outline="0" fieldPosition="0"/>
    </format>
    <format dxfId="106">
      <pivotArea field="28" type="button" dataOnly="0" labelOnly="1" outline="0" axis="axisPage" fieldPosition="0"/>
    </format>
    <format dxfId="105">
      <pivotArea field="28" type="button" dataOnly="0" labelOnly="1" outline="0" axis="axisPage" fieldPosition="0"/>
    </format>
    <format dxfId="104">
      <pivotArea field="28" type="button" dataOnly="0" labelOnly="1" outline="0" axis="axisPage" fieldPosition="0"/>
    </format>
    <format dxfId="103">
      <pivotArea outline="0" fieldPosition="0">
        <references count="1">
          <reference field="4294967294" count="1">
            <x v="0"/>
          </reference>
        </references>
      </pivotArea>
    </format>
    <format dxfId="102">
      <pivotArea outline="0" fieldPosition="0">
        <references count="1">
          <reference field="4294967294" count="1">
            <x v="10"/>
          </reference>
        </references>
      </pivotArea>
    </format>
    <format dxfId="101">
      <pivotArea outline="0" fieldPosition="0">
        <references count="1">
          <reference field="4294967294" count="1">
            <x v="16"/>
          </reference>
        </references>
      </pivotArea>
    </format>
    <format dxfId="100">
      <pivotArea outline="0" fieldPosition="0">
        <references count="1">
          <reference field="4294967294" count="1">
            <x v="11"/>
          </reference>
        </references>
      </pivotArea>
    </format>
    <format dxfId="99">
      <pivotArea outline="0" fieldPosition="0">
        <references count="1">
          <reference field="4294967294" count="1">
            <x v="12"/>
          </reference>
        </references>
      </pivotArea>
    </format>
    <format dxfId="98">
      <pivotArea outline="0" fieldPosition="0">
        <references count="1">
          <reference field="4294967294" count="1">
            <x v="3"/>
          </reference>
        </references>
      </pivotArea>
    </format>
    <format dxfId="97">
      <pivotArea outline="0" fieldPosition="0">
        <references count="1">
          <reference field="4294967294" count="1">
            <x v="7"/>
          </reference>
        </references>
      </pivotArea>
    </format>
    <format dxfId="96">
      <pivotArea field="3" type="button" dataOnly="0" labelOnly="1" outline="0" axis="axisPage" fieldPosition="1"/>
    </format>
  </formats>
  <pivotTableStyleInfo name="PivotStyleLight2" showRowHeaders="1" showColHeaders="1" showRowStripes="1" showColStripes="0" showLastColumn="1"/>
</pivotTableDefinition>
</file>

<file path=xl/pivotTables/pivotTable2.xml><?xml version="1.0" encoding="utf-8"?>
<pivotTableDefinition xmlns="http://schemas.openxmlformats.org/spreadsheetml/2006/main" name="PivotTable1" cacheId="7"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F12" firstHeaderRow="1" firstDataRow="2" firstDataCol="2" rowPageCount="1" colPageCount="2"/>
  <pivotFields count="29">
    <pivotField compact="0" outline="0" subtotalTop="0" dragToRow="0" dragToCol="0" dragToPage="0" dragToData="0" dragOff="0" showAll="0" includeNewItemsInFilter="1" defaultSubtotal="0"/>
    <pivotField axis="axisRow" compact="0" outline="0" subtotalTop="0" dragToRow="0" dragToCol="0" dragToPage="0" dragToData="0" dragOff="0" showAll="0" includeNewItemsInFilter="1" sortType="ascending" defaultSubtotal="0">
      <items count="3">
        <item x="0"/>
        <item x="1"/>
        <item x="2"/>
      </items>
    </pivotField>
    <pivotField axis="axisRow" compact="0" numFmtId="14" outline="0" subtotalTop="0" dragToRow="0" dragToCol="0" dragToPage="0" dragToData="0" dragOff="0" showAll="0" includeNewItemsInFilter="1" sortType="ascending" defaultSubtotal="0">
      <items count="3">
        <item x="0"/>
        <item x="1"/>
        <item x="2"/>
      </items>
    </pivotField>
    <pivotField axis="axisPage" showDropDowns="0" compact="0" outline="0" subtotalTop="0" dragToRow="0" dragToCol="0" dragToPage="0" dragToData="0" dragOff="0" showAll="0" includeNewItemsInFilter="1" defaultSubtotal="0">
      <items count="2">
        <item x="1"/>
        <item x="0"/>
      </items>
    </pivotField>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axis="axisPage" compact="0" outline="0" subtotalTop="0" dragToPage="0" showAll="0" includeNewItemsInFilter="1" defaultSubtotal="0">
      <items count="1">
        <item x="0"/>
      </items>
    </pivotField>
  </pivotFields>
  <rowFields count="2">
    <field x="2"/>
    <field x="1"/>
  </rowFields>
  <rowItems count="3">
    <i>
      <x/>
      <x/>
    </i>
    <i>
      <x v="1"/>
      <x v="1"/>
    </i>
    <i>
      <x v="2"/>
      <x v="2"/>
    </i>
  </rowItems>
  <colFields count="1">
    <field x="-2"/>
  </colFields>
  <colItems count="3">
    <i>
      <x/>
    </i>
    <i i="1">
      <x v="1"/>
    </i>
    <i i="2">
      <x v="2"/>
    </i>
  </colItems>
  <pageFields count="2">
    <pageField fld="3" item="0" hier="0"/>
    <pageField fld="28" hier="0"/>
  </pageFields>
  <dataFields count="3">
    <dataField name="Sum of Energy (kcal)" fld="6" baseField="0" baseItem="0" numFmtId="166"/>
    <dataField name="Count of Protein (g)" fld="7" subtotal="count" baseField="0" baseItem="0" numFmtId="166"/>
    <dataField name="Sum of Fat (g)" fld="8" baseField="0" baseItem="26187" numFmtId="166"/>
  </dataFields>
  <formats count="4">
    <format dxfId="95">
      <pivotArea type="all" dataOnly="0" outline="0" fieldPosition="0"/>
    </format>
    <format dxfId="94">
      <pivotArea type="all" dataOnly="0" outline="0" fieldPosition="0"/>
    </format>
    <format dxfId="93">
      <pivotArea outline="0" fieldPosition="0">
        <references count="1">
          <reference field="4294967294" count="1">
            <x v="2"/>
          </reference>
        </references>
      </pivotArea>
    </format>
    <format dxfId="92">
      <pivotArea type="all" dataOnly="0" outline="0" fieldPosition="0"/>
    </format>
  </formats>
  <pivotTableStyleInfo name="PivotStyleLight2" showRowHeaders="1" showColHeaders="1" showRowStripes="0" showColStripes="0" showLastColumn="1"/>
</pivotTableDefinition>
</file>

<file path=xl/pivotTables/pivotTable3.xml><?xml version="1.0" encoding="utf-8"?>
<pivotTableDefinition xmlns="http://schemas.openxmlformats.org/spreadsheetml/2006/main" name="PivotTable4" cacheId="5" applyNumberFormats="0" applyBorderFormats="0" applyFontFormats="0" applyPatternFormats="0" applyAlignmentFormats="0" applyWidthHeightFormats="1" dataCaption="Data" updatedVersion="4" disableFieldList="1" showMemberPropertyTips="0" enableWizard="0" enableDrill="0" enableFieldProperties="0" useAutoFormatting="1" itemPrintTitles="1" createdVersion="1" indent="0" compact="0" compactData="0" gridDropZones="1">
  <location ref="C11:L19" firstHeaderRow="1" firstDataRow="2" firstDataCol="2" rowPageCount="2" colPageCount="1"/>
  <pivotFields count="29">
    <pivotField compact="0" outline="0" subtotalTop="0" showAll="0" includeNewItemsInFilter="1"/>
    <pivotField axis="axisRow" compact="0" outline="0" subtotalTop="0" showAll="0" includeNewItemsInFilter="1">
      <items count="5">
        <item x="0"/>
        <item x="1"/>
        <item x="2"/>
        <item x="3"/>
        <item t="default"/>
      </items>
    </pivotField>
    <pivotField axis="axisRow" compact="0" numFmtId="14" outline="0" subtotalTop="0" showAll="0" includeNewItemsInFilter="1">
      <items count="4">
        <item x="0"/>
        <item x="1"/>
        <item x="2"/>
        <item t="default"/>
      </items>
    </pivotField>
    <pivotField axis="axisPage" showDropDowns="0" compact="0" outline="0" subtotalTop="0" showAll="0" includeNewItemsInFilter="1" defaultSubtotal="0">
      <items count="2">
        <item x="1"/>
        <item h="1" x="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defaultSubtotal="0">
      <items count="2">
        <item x="0"/>
        <item x="1"/>
      </items>
    </pivotField>
  </pivotFields>
  <rowFields count="2">
    <field x="1"/>
    <field x="2"/>
  </rowFields>
  <rowItems count="7">
    <i>
      <x/>
      <x/>
    </i>
    <i t="default">
      <x/>
    </i>
    <i>
      <x v="1"/>
      <x v="1"/>
    </i>
    <i t="default">
      <x v="1"/>
    </i>
    <i>
      <x v="2"/>
      <x v="2"/>
    </i>
    <i t="default">
      <x v="2"/>
    </i>
    <i t="grand">
      <x/>
    </i>
  </rowItems>
  <colFields count="1">
    <field x="-2"/>
  </colFields>
  <colItems count="8">
    <i>
      <x/>
    </i>
    <i i="1">
      <x v="1"/>
    </i>
    <i i="2">
      <x v="2"/>
    </i>
    <i i="3">
      <x v="3"/>
    </i>
    <i i="4">
      <x v="4"/>
    </i>
    <i i="5">
      <x v="5"/>
    </i>
    <i i="6">
      <x v="6"/>
    </i>
    <i i="7">
      <x v="7"/>
    </i>
  </colItems>
  <pageFields count="2">
    <pageField fld="3" item="0" hier="0"/>
    <pageField fld="28" item="0" hier="0"/>
  </pageFields>
  <dataFields count="8">
    <dataField name="Sum of Thiamine (mg)" fld="17" baseField="2" baseItem="0" numFmtId="166"/>
    <dataField name="Sum of Riboflavin (mg)" fld="18" baseField="2" baseItem="0" numFmtId="166"/>
    <dataField name="Sum of Niacin (mg)" fld="19" baseField="2" baseItem="0" numFmtId="166"/>
    <dataField name="Sum of Pantothenate (mg)" fld="20" baseField="1" baseItem="0" numFmtId="166"/>
    <dataField name="Sum of Pyridoxine (mg)" fld="21" baseField="1" baseItem="0" numFmtId="166"/>
    <dataField name="Sum of Folate (µg DFE)" fld="22" baseField="1" baseItem="0" numFmtId="166"/>
    <dataField name="Sum of Vitamin B12 (μg)" fld="23" baseField="1" baseItem="0" numFmtId="166"/>
    <dataField name="Sum of Vitamin C (mg)" fld="24" baseField="1" baseItem="0" numFmtId="166"/>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Data" updatedVersion="4" disableFieldList="1" showDrill="0" showMemberPropertyTips="0" enableWizard="0" enableDrill="0" enableFieldProperties="0" rowGrandTotals="0" colGrandTotals="0" itemPrintTitles="1" createdVersion="1" indent="0" compact="0" compactData="0" gridDropZones="1" customListSort="0">
  <location ref="B10:G17" firstHeaderRow="1" firstDataRow="2" firstDataCol="2" rowPageCount="2" colPageCount="1"/>
  <pivotFields count="29">
    <pivotField compact="0" outline="0" subtotalTop="0" showAll="0" includeNewItemsInFilter="1"/>
    <pivotField axis="axisRow" compact="0" outline="0" subtotalTop="0" showAll="0" includeNewItemsInFilter="1">
      <items count="4">
        <item x="0"/>
        <item x="1"/>
        <item x="2"/>
        <item t="default"/>
      </items>
    </pivotField>
    <pivotField axis="axisRow" compact="0" numFmtId="14" outline="0" subtotalTop="0" showAll="0" includeNewItemsInFilter="1" sortType="ascending">
      <items count="4">
        <item x="0"/>
        <item x="1"/>
        <item x="2"/>
        <item t="default"/>
      </items>
    </pivotField>
    <pivotField axis="axisPage" showDropDowns="0" compact="0" outline="0" subtotalTop="0" showAll="0" includeNewItemsInFilter="1">
      <items count="3">
        <item x="1"/>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axis="axisPage" compact="0" outline="0" subtotalTop="0" showAll="0" includeNewItemsInFilter="1">
      <items count="2">
        <item x="0"/>
        <item t="default"/>
      </items>
    </pivotField>
  </pivotFields>
  <rowFields count="2">
    <field x="1"/>
    <field x="2"/>
  </rowFields>
  <rowItems count="6">
    <i>
      <x/>
      <x/>
    </i>
    <i t="default">
      <x/>
    </i>
    <i>
      <x v="1"/>
      <x v="1"/>
    </i>
    <i t="default">
      <x v="1"/>
    </i>
    <i>
      <x v="2"/>
      <x v="2"/>
    </i>
    <i t="default">
      <x v="2"/>
    </i>
  </rowItems>
  <colFields count="1">
    <field x="-2"/>
  </colFields>
  <colItems count="4">
    <i>
      <x/>
    </i>
    <i i="1">
      <x v="1"/>
    </i>
    <i i="2">
      <x v="2"/>
    </i>
    <i i="3">
      <x v="3"/>
    </i>
  </colItems>
  <pageFields count="2">
    <pageField fld="3" item="0" hier="0"/>
    <pageField fld="28" hier="0"/>
  </pageFields>
  <dataFields count="4">
    <dataField name="Sum of Vitamin A (µg RAE)" fld="16" baseField="1" baseItem="0" numFmtId="9"/>
    <dataField name="Sum of Vitamin D (µg)" fld="25" baseField="1" baseItem="0" numFmtId="9"/>
    <dataField name="Sum of Vitamin E (mg)" fld="26" baseField="1" baseItem="0" numFmtId="9"/>
    <dataField name="Sum of Vitamin K (µg)" fld="27" baseField="1" baseItem="0" numFmtId="9"/>
  </dataFields>
  <formats count="1">
    <format dxfId="91">
      <pivotArea type="all"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8"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J12" firstHeaderRow="1" firstDataRow="2" firstDataCol="2" rowPageCount="1" colPageCount="2"/>
  <pivotFields count="29">
    <pivotField compact="0" outline="0" subtotalTop="0" showAll="0" includeNewItemsInFilter="1" defaultSubtotal="0"/>
    <pivotField axis="axisRow" compact="0" outline="0" subtotalTop="0" showAll="0" includeNewItemsInFilter="1" defaultSubtotal="0">
      <items count="3">
        <item x="0"/>
        <item x="1"/>
        <item x="2"/>
      </items>
    </pivotField>
    <pivotField axis="axisRow" compact="0" numFmtId="14" outline="0" subtotalTop="0" showAll="0" includeNewItemsInFilter="1" sortType="ascending" defaultSubtotal="0">
      <items count="3">
        <item x="0"/>
        <item x="1"/>
        <item x="2"/>
      </items>
    </pivotField>
    <pivotField axis="axisPage" showDropDowns="0"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Page" compact="0" outline="0" subtotalTop="0" showAll="0" includeNewItemsInFilter="1" defaultSubtotal="0">
      <items count="1">
        <item x="0"/>
      </items>
    </pivotField>
  </pivotFields>
  <rowFields count="2">
    <field x="1"/>
    <field x="2"/>
  </rowFields>
  <rowItems count="3">
    <i>
      <x/>
      <x/>
    </i>
    <i>
      <x v="1"/>
      <x v="1"/>
    </i>
    <i>
      <x v="2"/>
      <x v="2"/>
    </i>
  </rowItems>
  <colFields count="1">
    <field x="-2"/>
  </colFields>
  <colItems count="7">
    <i>
      <x/>
    </i>
    <i i="1">
      <x v="1"/>
    </i>
    <i i="2">
      <x v="2"/>
    </i>
    <i i="3">
      <x v="3"/>
    </i>
    <i i="4">
      <x v="4"/>
    </i>
    <i i="5">
      <x v="5"/>
    </i>
    <i i="6">
      <x v="6"/>
    </i>
  </colItems>
  <pageFields count="2">
    <pageField fld="3" item="0" hier="0"/>
    <pageField fld="28" item="0" hier="0"/>
  </pageFields>
  <dataFields count="7">
    <dataField name="Sum of Calcium (mg)" fld="9" baseField="0" baseItem="28647" numFmtId="166"/>
    <dataField name="Sum of Copper (mg)" fld="10" baseField="0" baseItem="0" numFmtId="9"/>
    <dataField name="Sum of Iodine (µg)" fld="11" baseField="0" baseItem="0" numFmtId="9"/>
    <dataField name="Sum of Iron (mg)" fld="12" baseField="0" baseItem="0" numFmtId="9"/>
    <dataField name="Sum of Magnesium (mg)" fld="13" baseField="0" baseItem="29287" numFmtId="9"/>
    <dataField name="Sum of Selenium (µg)" fld="14" baseField="0" baseItem="29287" numFmtId="9"/>
    <dataField name="Sum of Zinc (mg)" fld="15" baseField="0" baseItem="29287" numFmtId="9"/>
  </dataFields>
  <formats count="2">
    <format dxfId="90">
      <pivotArea type="all" dataOnly="0" outline="0" fieldPosition="0"/>
    </format>
    <format dxfId="89">
      <pivotArea type="all" dataOnly="0" outline="0" fieldPosition="0"/>
    </format>
  </formats>
  <pivotTableStyleInfo name="PivotStyleLight2"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nutval.net/" TargetMode="External"/><Relationship Id="rId18" Type="http://schemas.openxmlformats.org/officeDocument/2006/relationships/ctrlProp" Target="../ctrlProps/ctrlProp2.xml"/><Relationship Id="rId3" Type="http://schemas.openxmlformats.org/officeDocument/2006/relationships/printerSettings" Target="../printerSettings/printerSettings3.bin"/><Relationship Id="rId21" Type="http://schemas.openxmlformats.org/officeDocument/2006/relationships/ctrlProp" Target="../ctrlProps/ctrlProp5.xml"/><Relationship Id="rId7" Type="http://schemas.openxmlformats.org/officeDocument/2006/relationships/printerSettings" Target="../printerSettings/printerSettings7.bin"/><Relationship Id="rId12" Type="http://schemas.openxmlformats.org/officeDocument/2006/relationships/hyperlink" Target="mailto:support@nutval.net" TargetMode="External"/><Relationship Id="rId1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20"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hyperlink" Target="http://www.nutval.net/" TargetMode="External"/><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19"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1.bin"/><Relationship Id="rId22"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1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26.bin"/><Relationship Id="rId13" Type="http://schemas.openxmlformats.org/officeDocument/2006/relationships/vmlDrawing" Target="../drawings/vmlDrawing7.v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12" Type="http://schemas.openxmlformats.org/officeDocument/2006/relationships/drawing" Target="../drawings/drawing7.xml"/><Relationship Id="rId2" Type="http://schemas.openxmlformats.org/officeDocument/2006/relationships/printerSettings" Target="../printerSettings/printerSettings20.bin"/><Relationship Id="rId16" Type="http://schemas.openxmlformats.org/officeDocument/2006/relationships/ctrlProp" Target="../ctrlProps/ctrlProp19.xml"/><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11" Type="http://schemas.openxmlformats.org/officeDocument/2006/relationships/printerSettings" Target="../printerSettings/printerSettings29.bin"/><Relationship Id="rId5" Type="http://schemas.openxmlformats.org/officeDocument/2006/relationships/printerSettings" Target="../printerSettings/printerSettings23.bin"/><Relationship Id="rId15" Type="http://schemas.openxmlformats.org/officeDocument/2006/relationships/ctrlProp" Target="../ctrlProps/ctrlProp18.xml"/><Relationship Id="rId10" Type="http://schemas.openxmlformats.org/officeDocument/2006/relationships/printerSettings" Target="../printerSettings/printerSettings28.bin"/><Relationship Id="rId4" Type="http://schemas.openxmlformats.org/officeDocument/2006/relationships/printerSettings" Target="../printerSettings/printerSettings22.bin"/><Relationship Id="rId9" Type="http://schemas.openxmlformats.org/officeDocument/2006/relationships/printerSettings" Target="../printerSettings/printerSettings27.bin"/><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7.bin"/><Relationship Id="rId13" Type="http://schemas.openxmlformats.org/officeDocument/2006/relationships/vmlDrawing" Target="../drawings/vmlDrawing8.vml"/><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12" Type="http://schemas.openxmlformats.org/officeDocument/2006/relationships/drawing" Target="../drawings/drawing8.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5" Type="http://schemas.openxmlformats.org/officeDocument/2006/relationships/ctrlProp" Target="../ctrlProps/ctrlProp21.xml"/><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 Id="rId1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41.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2.bin"/><Relationship Id="rId4" Type="http://schemas.openxmlformats.org/officeDocument/2006/relationships/ctrlProp" Target="../ctrlProps/ctrlProp25.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printerSettings" Target="../printerSettings/printerSettings44.bin"/><Relationship Id="rId16" Type="http://schemas.openxmlformats.org/officeDocument/2006/relationships/ctrlProp" Target="../ctrlProps/ctrlProp30.xml"/><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vmlDrawing" Target="../drawings/vmlDrawing12.vml"/><Relationship Id="rId5" Type="http://schemas.openxmlformats.org/officeDocument/2006/relationships/printerSettings" Target="../printerSettings/printerSettings47.bin"/><Relationship Id="rId15" Type="http://schemas.openxmlformats.org/officeDocument/2006/relationships/ctrlProp" Target="../ctrlProps/ctrlProp29.xml"/><Relationship Id="rId10" Type="http://schemas.openxmlformats.org/officeDocument/2006/relationships/drawing" Target="../drawings/drawing12.xml"/><Relationship Id="rId19" Type="http://schemas.openxmlformats.org/officeDocument/2006/relationships/comments" Target="../comments1.xml"/><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3" Type="http://schemas.openxmlformats.org/officeDocument/2006/relationships/drawing" Target="../drawings/drawing13.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47" Type="http://schemas.openxmlformats.org/officeDocument/2006/relationships/ctrlProp" Target="../ctrlProps/ctrlProp65.xml"/><Relationship Id="rId50" Type="http://schemas.openxmlformats.org/officeDocument/2006/relationships/ctrlProp" Target="../ctrlProps/ctrlProp68.xml"/><Relationship Id="rId55" Type="http://schemas.openxmlformats.org/officeDocument/2006/relationships/ctrlProp" Target="../ctrlProps/ctrlProp73.xml"/><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hyperlink" Target="http://www.usaid.gov/what-we-do/agriculture-and-food-security/food-assistance/resources/cornmeal-commodity-fact-sheet" TargetMode="Externa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3" Type="http://schemas.openxmlformats.org/officeDocument/2006/relationships/ctrlProp" Target="../ctrlProps/ctrlProp71.xml"/><Relationship Id="rId58" Type="http://schemas.openxmlformats.org/officeDocument/2006/relationships/ctrlProp" Target="../ctrlProps/ctrlProp76.xml"/><Relationship Id="rId5" Type="http://schemas.openxmlformats.org/officeDocument/2006/relationships/printerSettings" Target="../printerSettings/printerSettings56.bin"/><Relationship Id="rId19" Type="http://schemas.openxmlformats.org/officeDocument/2006/relationships/ctrlProp" Target="../ctrlProps/ctrlProp37.xml"/><Relationship Id="rId4" Type="http://schemas.openxmlformats.org/officeDocument/2006/relationships/printerSettings" Target="../printerSettings/printerSettings55.bin"/><Relationship Id="rId9" Type="http://schemas.openxmlformats.org/officeDocument/2006/relationships/printerSettings" Target="../printerSettings/printerSettings60.bin"/><Relationship Id="rId14" Type="http://schemas.openxmlformats.org/officeDocument/2006/relationships/vmlDrawing" Target="../drawings/vmlDrawing13.v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56" Type="http://schemas.openxmlformats.org/officeDocument/2006/relationships/ctrlProp" Target="../ctrlProps/ctrlProp74.xml"/><Relationship Id="rId8" Type="http://schemas.openxmlformats.org/officeDocument/2006/relationships/printerSettings" Target="../printerSettings/printerSettings59.bin"/><Relationship Id="rId51" Type="http://schemas.openxmlformats.org/officeDocument/2006/relationships/ctrlProp" Target="../ctrlProps/ctrlProp69.xml"/><Relationship Id="rId3" Type="http://schemas.openxmlformats.org/officeDocument/2006/relationships/printerSettings" Target="../printerSettings/printerSettings54.bin"/><Relationship Id="rId12" Type="http://schemas.openxmlformats.org/officeDocument/2006/relationships/printerSettings" Target="../printerSettings/printerSettings62.bin"/><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59" Type="http://schemas.openxmlformats.org/officeDocument/2006/relationships/ctrlProp" Target="../ctrlProps/ctrlProp77.xml"/><Relationship Id="rId20" Type="http://schemas.openxmlformats.org/officeDocument/2006/relationships/ctrlProp" Target="../ctrlProps/ctrlProp38.xml"/><Relationship Id="rId41" Type="http://schemas.openxmlformats.org/officeDocument/2006/relationships/ctrlProp" Target="../ctrlProps/ctrlProp59.xml"/><Relationship Id="rId54" Type="http://schemas.openxmlformats.org/officeDocument/2006/relationships/ctrlProp" Target="../ctrlProps/ctrlProp72.xml"/><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57" Type="http://schemas.openxmlformats.org/officeDocument/2006/relationships/ctrlProp" Target="../ctrlProps/ctrlProp75.xml"/><Relationship Id="rId10" Type="http://schemas.openxmlformats.org/officeDocument/2006/relationships/printerSettings" Target="../printerSettings/printerSettings61.bin"/><Relationship Id="rId31" Type="http://schemas.openxmlformats.org/officeDocument/2006/relationships/ctrlProp" Target="../ctrlProps/ctrlProp49.xml"/><Relationship Id="rId44" Type="http://schemas.openxmlformats.org/officeDocument/2006/relationships/ctrlProp" Target="../ctrlProps/ctrlProp62.xml"/><Relationship Id="rId52" Type="http://schemas.openxmlformats.org/officeDocument/2006/relationships/ctrlProp" Target="../ctrlProps/ctrlProp70.xml"/><Relationship Id="rId60"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81.xml"/><Relationship Id="rId2" Type="http://schemas.openxmlformats.org/officeDocument/2006/relationships/drawing" Target="../drawings/drawing14.xml"/><Relationship Id="rId1" Type="http://schemas.openxmlformats.org/officeDocument/2006/relationships/printerSettings" Target="../printerSettings/printerSettings64.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drawing" Target="../drawings/drawing15.xml"/><Relationship Id="rId7" Type="http://schemas.openxmlformats.org/officeDocument/2006/relationships/ctrlProp" Target="../ctrlProps/ctrlProp84.xml"/><Relationship Id="rId12" Type="http://schemas.openxmlformats.org/officeDocument/2006/relationships/ctrlProp" Target="../ctrlProps/ctrlProp89.xml"/><Relationship Id="rId2" Type="http://schemas.openxmlformats.org/officeDocument/2006/relationships/printerSettings" Target="../printerSettings/printerSettings65.bin"/><Relationship Id="rId1" Type="http://schemas.openxmlformats.org/officeDocument/2006/relationships/pivotTable" Target="../pivotTables/pivotTable1.xml"/><Relationship Id="rId6" Type="http://schemas.openxmlformats.org/officeDocument/2006/relationships/ctrlProp" Target="../ctrlProps/ctrlProp83.xml"/><Relationship Id="rId11" Type="http://schemas.openxmlformats.org/officeDocument/2006/relationships/ctrlProp" Target="../ctrlProps/ctrlProp88.xml"/><Relationship Id="rId5" Type="http://schemas.openxmlformats.org/officeDocument/2006/relationships/ctrlProp" Target="../ctrlProps/ctrlProp82.xml"/><Relationship Id="rId10" Type="http://schemas.openxmlformats.org/officeDocument/2006/relationships/ctrlProp" Target="../ctrlProps/ctrlProp87.xml"/><Relationship Id="rId4" Type="http://schemas.openxmlformats.org/officeDocument/2006/relationships/vmlDrawing" Target="../drawings/vmlDrawing15.vml"/><Relationship Id="rId9" Type="http://schemas.openxmlformats.org/officeDocument/2006/relationships/ctrlProp" Target="../ctrlProps/ctrlProp8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drawing" Target="../drawings/drawing16.xml"/><Relationship Id="rId7" Type="http://schemas.openxmlformats.org/officeDocument/2006/relationships/ctrlProp" Target="../ctrlProps/ctrlProp92.xml"/><Relationship Id="rId2" Type="http://schemas.openxmlformats.org/officeDocument/2006/relationships/printerSettings" Target="../printerSettings/printerSettings66.bin"/><Relationship Id="rId1" Type="http://schemas.openxmlformats.org/officeDocument/2006/relationships/pivotTable" Target="../pivotTables/pivotTable2.xml"/><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97.xml"/><Relationship Id="rId2" Type="http://schemas.openxmlformats.org/officeDocument/2006/relationships/drawing" Target="../drawings/drawing17.xml"/><Relationship Id="rId1" Type="http://schemas.openxmlformats.org/officeDocument/2006/relationships/pivotTable" Target="../pivotTables/pivotTable3.xml"/><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101.xml"/><Relationship Id="rId2" Type="http://schemas.openxmlformats.org/officeDocument/2006/relationships/drawing" Target="../drawings/drawing18.xml"/><Relationship Id="rId1" Type="http://schemas.openxmlformats.org/officeDocument/2006/relationships/pivotTable" Target="../pivotTables/pivotTable4.xml"/><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105.xml"/><Relationship Id="rId2" Type="http://schemas.openxmlformats.org/officeDocument/2006/relationships/drawing" Target="../drawings/drawing19.xml"/><Relationship Id="rId1" Type="http://schemas.openxmlformats.org/officeDocument/2006/relationships/pivotTable" Target="../pivotTables/pivotTable5.xm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69.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70.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ctrlProp" Target="../ctrlProps/ctrlProp113.xml"/><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ctrlProp" Target="../ctrlProps/ctrlProp112.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vmlDrawing" Target="../drawings/vmlDrawing23.vml"/><Relationship Id="rId5" Type="http://schemas.openxmlformats.org/officeDocument/2006/relationships/printerSettings" Target="../printerSettings/printerSettings75.bin"/><Relationship Id="rId10" Type="http://schemas.openxmlformats.org/officeDocument/2006/relationships/drawing" Target="../drawings/drawing23.xml"/><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80.bin"/><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88.bin"/><Relationship Id="rId13" Type="http://schemas.openxmlformats.org/officeDocument/2006/relationships/vmlDrawing" Target="../drawings/vmlDrawing25.vml"/><Relationship Id="rId18" Type="http://schemas.openxmlformats.org/officeDocument/2006/relationships/ctrlProp" Target="../ctrlProps/ctrlProp120.xml"/><Relationship Id="rId3" Type="http://schemas.openxmlformats.org/officeDocument/2006/relationships/printerSettings" Target="../printerSettings/printerSettings83.bin"/><Relationship Id="rId7" Type="http://schemas.openxmlformats.org/officeDocument/2006/relationships/printerSettings" Target="../printerSettings/printerSettings87.bin"/><Relationship Id="rId12" Type="http://schemas.openxmlformats.org/officeDocument/2006/relationships/drawing" Target="../drawings/drawing25.xml"/><Relationship Id="rId17" Type="http://schemas.openxmlformats.org/officeDocument/2006/relationships/ctrlProp" Target="../ctrlProps/ctrlProp119.xml"/><Relationship Id="rId2" Type="http://schemas.openxmlformats.org/officeDocument/2006/relationships/printerSettings" Target="../printerSettings/printerSettings82.bin"/><Relationship Id="rId16" Type="http://schemas.openxmlformats.org/officeDocument/2006/relationships/ctrlProp" Target="../ctrlProps/ctrlProp118.xml"/><Relationship Id="rId1" Type="http://schemas.openxmlformats.org/officeDocument/2006/relationships/printerSettings" Target="../printerSettings/printerSettings81.bin"/><Relationship Id="rId6" Type="http://schemas.openxmlformats.org/officeDocument/2006/relationships/printerSettings" Target="../printerSettings/printerSettings86.bin"/><Relationship Id="rId11" Type="http://schemas.openxmlformats.org/officeDocument/2006/relationships/printerSettings" Target="../printerSettings/printerSettings91.bin"/><Relationship Id="rId5" Type="http://schemas.openxmlformats.org/officeDocument/2006/relationships/printerSettings" Target="../printerSettings/printerSettings85.bin"/><Relationship Id="rId15" Type="http://schemas.openxmlformats.org/officeDocument/2006/relationships/ctrlProp" Target="../ctrlProps/ctrlProp117.xml"/><Relationship Id="rId10" Type="http://schemas.openxmlformats.org/officeDocument/2006/relationships/printerSettings" Target="../printerSettings/printerSettings90.bin"/><Relationship Id="rId4" Type="http://schemas.openxmlformats.org/officeDocument/2006/relationships/printerSettings" Target="../printerSettings/printerSettings84.bin"/><Relationship Id="rId9" Type="http://schemas.openxmlformats.org/officeDocument/2006/relationships/printerSettings" Target="../printerSettings/printerSettings89.bin"/><Relationship Id="rId14" Type="http://schemas.openxmlformats.org/officeDocument/2006/relationships/ctrlProp" Target="../ctrlProps/ctrlProp116.x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5" Type="http://schemas.openxmlformats.org/officeDocument/2006/relationships/ctrlProp" Target="../ctrlProps/ctrlProp121.xml"/><Relationship Id="rId4"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96.bin"/><Relationship Id="rId7" Type="http://schemas.openxmlformats.org/officeDocument/2006/relationships/ctrlProp" Target="../ctrlProps/ctrlProp123.xml"/><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6" Type="http://schemas.openxmlformats.org/officeDocument/2006/relationships/ctrlProp" Target="../ctrlProps/ctrlProp122.xml"/><Relationship Id="rId5" Type="http://schemas.openxmlformats.org/officeDocument/2006/relationships/vmlDrawing" Target="../drawings/vmlDrawing27.vml"/><Relationship Id="rId4"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L27"/>
  <sheetViews>
    <sheetView showGridLines="0" showRowColHeaders="0" workbookViewId="0"/>
  </sheetViews>
  <sheetFormatPr defaultRowHeight="15" x14ac:dyDescent="0.2"/>
  <cols>
    <col min="1" max="1" width="7" style="3" customWidth="1"/>
    <col min="2" max="2" width="16.33203125" style="3" customWidth="1"/>
    <col min="3" max="3" width="8.44140625" style="3" customWidth="1"/>
    <col min="4" max="4" width="17.5546875" style="3" customWidth="1"/>
    <col min="5" max="5" width="8.5546875" style="3" customWidth="1"/>
    <col min="6" max="6" width="7.77734375" style="3" customWidth="1"/>
    <col min="7" max="7" width="3.109375" style="3" customWidth="1"/>
    <col min="8" max="8" width="13.33203125" style="3" customWidth="1"/>
    <col min="9" max="16384" width="8.88671875" style="3"/>
  </cols>
  <sheetData>
    <row r="1" spans="1:12" ht="9.9499999999999993" customHeight="1" x14ac:dyDescent="0.2">
      <c r="A1" s="3" t="s">
        <v>59</v>
      </c>
      <c r="B1" s="863"/>
    </row>
    <row r="2" spans="1:12" ht="7.5" customHeight="1" x14ac:dyDescent="0.2"/>
    <row r="3" spans="1:12" ht="35.1" customHeight="1" x14ac:dyDescent="0.3">
      <c r="B3" s="1120" t="s">
        <v>915</v>
      </c>
      <c r="C3" s="1121"/>
      <c r="D3" s="1121"/>
      <c r="E3" s="1121"/>
      <c r="F3" s="1121"/>
      <c r="G3" s="1121"/>
      <c r="H3" s="1121"/>
      <c r="I3" s="4"/>
      <c r="J3" s="4"/>
      <c r="K3" s="4"/>
      <c r="L3" s="4"/>
    </row>
    <row r="4" spans="1:12" ht="9.9499999999999993" customHeight="1" x14ac:dyDescent="0.3">
      <c r="B4" s="289"/>
      <c r="C4" s="290"/>
      <c r="D4" s="290"/>
      <c r="E4" s="290"/>
      <c r="F4" s="290"/>
      <c r="G4" s="290"/>
      <c r="H4" s="290"/>
      <c r="I4" s="4"/>
      <c r="J4" s="4"/>
      <c r="K4" s="4"/>
      <c r="L4" s="4"/>
    </row>
    <row r="5" spans="1:12" ht="5.0999999999999996" customHeight="1" x14ac:dyDescent="0.25">
      <c r="I5" s="4"/>
      <c r="J5" s="4"/>
      <c r="K5" s="4"/>
      <c r="L5" s="4"/>
    </row>
    <row r="6" spans="1:12" ht="33" customHeight="1" x14ac:dyDescent="0.3">
      <c r="B6" s="1124" t="s">
        <v>327</v>
      </c>
      <c r="C6" s="1125"/>
      <c r="D6" s="1125"/>
      <c r="E6" s="1125"/>
      <c r="F6" s="1125"/>
      <c r="G6" s="1125"/>
      <c r="H6" s="1125"/>
      <c r="I6" s="288"/>
      <c r="J6" s="288"/>
    </row>
    <row r="7" spans="1:12" ht="15.95" customHeight="1" x14ac:dyDescent="0.25">
      <c r="B7" s="1123" t="s">
        <v>598</v>
      </c>
      <c r="C7" s="1123"/>
      <c r="D7" s="1123"/>
      <c r="E7" s="1123"/>
      <c r="F7" s="1123"/>
      <c r="G7" s="1123"/>
      <c r="H7" s="1123"/>
    </row>
    <row r="8" spans="1:12" ht="4.5" customHeight="1" x14ac:dyDescent="0.2">
      <c r="B8" s="60"/>
      <c r="C8" s="60"/>
      <c r="D8" s="60"/>
      <c r="E8" s="60"/>
      <c r="F8" s="60"/>
      <c r="G8" s="60"/>
      <c r="H8" s="60"/>
    </row>
    <row r="9" spans="1:12" ht="6.75" customHeight="1" x14ac:dyDescent="0.35">
      <c r="B9" s="433"/>
      <c r="F9" s="5"/>
    </row>
    <row r="10" spans="1:12" s="284" customFormat="1" ht="126" customHeight="1" x14ac:dyDescent="0.25">
      <c r="B10" s="1122" t="s">
        <v>958</v>
      </c>
      <c r="C10" s="1122"/>
      <c r="D10" s="1122"/>
      <c r="E10" s="1122"/>
      <c r="F10" s="1122"/>
      <c r="G10" s="1122"/>
      <c r="H10" s="1122"/>
      <c r="I10" s="282"/>
      <c r="J10" s="283"/>
      <c r="K10" s="283"/>
    </row>
    <row r="11" spans="1:12" ht="17.25" customHeight="1" x14ac:dyDescent="0.25">
      <c r="C11" s="25"/>
      <c r="D11" s="25"/>
      <c r="E11" s="25"/>
      <c r="F11" s="25"/>
      <c r="G11" s="25"/>
      <c r="H11" s="25"/>
      <c r="I11" s="24"/>
      <c r="J11" s="23"/>
      <c r="K11" s="23"/>
      <c r="L11" s="23" t="s">
        <v>59</v>
      </c>
    </row>
    <row r="12" spans="1:12" ht="41.25" customHeight="1" x14ac:dyDescent="0.25">
      <c r="A12"/>
      <c r="B12"/>
      <c r="C12"/>
      <c r="D12"/>
      <c r="E12"/>
      <c r="F12"/>
      <c r="G12"/>
      <c r="H12"/>
      <c r="I12"/>
      <c r="J12" s="23"/>
    </row>
    <row r="13" spans="1:12" ht="18.75" customHeight="1" x14ac:dyDescent="0.25">
      <c r="A13"/>
      <c r="B13" s="435"/>
      <c r="C13" s="435"/>
      <c r="D13" s="435"/>
      <c r="E13" s="435"/>
      <c r="F13"/>
      <c r="G13"/>
      <c r="H13"/>
      <c r="I13"/>
    </row>
    <row r="14" spans="1:12" ht="16.5" customHeight="1" x14ac:dyDescent="0.25">
      <c r="B14" s="1117" t="s">
        <v>152</v>
      </c>
      <c r="C14" s="1117"/>
      <c r="D14" s="436"/>
      <c r="E14" s="437"/>
    </row>
    <row r="15" spans="1:12" ht="16.5" customHeight="1" x14ac:dyDescent="0.25">
      <c r="B15" s="1118" t="s">
        <v>914</v>
      </c>
      <c r="C15" s="1118"/>
      <c r="D15" s="653"/>
      <c r="E15" s="653"/>
      <c r="F15" s="434"/>
    </row>
    <row r="16" spans="1:12" ht="15.75" customHeight="1" x14ac:dyDescent="0.25">
      <c r="B16" s="1118" t="s">
        <v>763</v>
      </c>
      <c r="C16" s="1118"/>
      <c r="D16" s="921"/>
      <c r="E16" s="654"/>
    </row>
    <row r="17" spans="2:8" ht="15" customHeight="1" x14ac:dyDescent="0.25">
      <c r="B17" s="1118" t="s">
        <v>244</v>
      </c>
      <c r="C17" s="1118"/>
      <c r="D17" s="921"/>
      <c r="E17" s="654"/>
    </row>
    <row r="18" spans="2:8" s="27" customFormat="1" ht="13.5" customHeight="1" x14ac:dyDescent="0.25">
      <c r="B18" s="921" t="s">
        <v>764</v>
      </c>
      <c r="C18" s="921"/>
      <c r="D18" s="921"/>
      <c r="E18" s="653"/>
    </row>
    <row r="19" spans="2:8" s="27" customFormat="1" ht="14.25" customHeight="1" x14ac:dyDescent="0.25">
      <c r="B19" s="1118" t="s">
        <v>633</v>
      </c>
      <c r="C19" s="1118"/>
      <c r="D19" s="921"/>
      <c r="E19" s="656"/>
      <c r="F19" s="273"/>
    </row>
    <row r="20" spans="2:8" s="27" customFormat="1" ht="14.25" customHeight="1" x14ac:dyDescent="0.25">
      <c r="B20" s="1118" t="s">
        <v>746</v>
      </c>
      <c r="C20" s="1118"/>
      <c r="D20" s="921"/>
      <c r="E20" s="656"/>
      <c r="F20" s="273"/>
    </row>
    <row r="21" spans="2:8" s="27" customFormat="1" ht="14.25" customHeight="1" x14ac:dyDescent="0.25">
      <c r="B21" s="921" t="s">
        <v>153</v>
      </c>
      <c r="C21" s="921"/>
      <c r="D21" s="921"/>
      <c r="E21" s="657"/>
    </row>
    <row r="22" spans="2:8" s="27" customFormat="1" ht="14.25" customHeight="1" x14ac:dyDescent="0.25">
      <c r="B22" s="1118" t="s">
        <v>765</v>
      </c>
      <c r="C22" s="1118"/>
      <c r="D22" s="1118"/>
      <c r="E22" s="655"/>
    </row>
    <row r="23" spans="2:8" s="27" customFormat="1" ht="14.25" customHeight="1" x14ac:dyDescent="0.25">
      <c r="B23" s="1118" t="s">
        <v>182</v>
      </c>
      <c r="C23" s="1118"/>
      <c r="D23" s="1118"/>
      <c r="E23" s="943"/>
    </row>
    <row r="24" spans="2:8" ht="15" customHeight="1" x14ac:dyDescent="0.25">
      <c r="B24" s="1118" t="s">
        <v>786</v>
      </c>
      <c r="C24" s="1118"/>
      <c r="D24" s="1118"/>
    </row>
    <row r="25" spans="2:8" ht="21.75" customHeight="1" x14ac:dyDescent="0.25">
      <c r="B25" s="367" t="s">
        <v>916</v>
      </c>
      <c r="C25" s="944" t="s">
        <v>785</v>
      </c>
      <c r="D25" s="945" t="s">
        <v>782</v>
      </c>
      <c r="E25" s="944" t="s">
        <v>784</v>
      </c>
      <c r="F25" s="1119" t="s">
        <v>783</v>
      </c>
      <c r="G25" s="1119"/>
      <c r="H25" s="1119"/>
    </row>
    <row r="26" spans="2:8" ht="16.5" customHeight="1" x14ac:dyDescent="0.2"/>
    <row r="27" spans="2:8" x14ac:dyDescent="0.2">
      <c r="B27" s="11"/>
    </row>
  </sheetData>
  <sheetProtection password="" sheet="1" objects="1" scenarios="1"/>
  <customSheetViews>
    <customSheetView guid="{662328B1-0775-4F70-9698-998A355FC5BA}" showGridLines="0" showRowCol="0" outlineSymbols="0" printArea="1" showRuler="0">
      <selection activeCell="H13" sqref="H13"/>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showGridLines="0" showRowCol="0" printArea="1" showRuler="0">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mergeCells count="14">
    <mergeCell ref="B3:H3"/>
    <mergeCell ref="B10:H10"/>
    <mergeCell ref="B7:H7"/>
    <mergeCell ref="B6:H6"/>
    <mergeCell ref="B22:D22"/>
    <mergeCell ref="B16:C16"/>
    <mergeCell ref="B17:C17"/>
    <mergeCell ref="B20:C20"/>
    <mergeCell ref="B19:C19"/>
    <mergeCell ref="B14:C14"/>
    <mergeCell ref="B15:C15"/>
    <mergeCell ref="B23:D23"/>
    <mergeCell ref="B24:D24"/>
    <mergeCell ref="F25:H25"/>
  </mergeCells>
  <phoneticPr fontId="0" type="noConversion"/>
  <hyperlinks>
    <hyperlink ref="B21:D21" location="'Help on tracking'!A1" tooltip="Help on using the tracking sheet" display="How to track nutrient content over time"/>
    <hyperlink ref="B23" location="Acknowledgments!A1" tooltip="Acknowledgement of the donors and contributors who have made NutVal possible" display="Acknowledgements"/>
    <hyperlink ref="B16" location="'Help on Screen view'!A1" tooltip="Click here if you are having problems viewing the worksheets." display="How to get a good view of the worksheets"/>
    <hyperlink ref="B16:D16" location="'Help on Screen view'!A1" tooltip="Help on optimising your view of the screen" display="Optimising your screen view"/>
    <hyperlink ref="B24:D24" location="Abbreviations!A1" tooltip="A list of abbreviations and acronyms used in NutVal" display="Abbreviations"/>
    <hyperlink ref="B15" location="'Help on Whats New'!A1" display="What's new in NutVal 2006?"/>
    <hyperlink ref="B15:D15" location="'Help on Whats New'!A1" tooltip="Find out what's new in this version of NutVal" display="What's new in NutVal 2006 v1.5?"/>
    <hyperlink ref="B22:E22" location="'Help on OSDM'!A1" tooltip="Help on using the distribution monitoring sheet" display="How to use the On-Site Distribution Monitoring spreadsheet"/>
    <hyperlink ref="B22" location="'Help on OSDM - menu screen'!A1" tooltip="Help on using the distribution monitoring sheet" display="How to use the On-Site Distribution Monitoring spreadsheet"/>
    <hyperlink ref="B22:D22" location="'Help on OSDM'!A1" tooltip="Help on using the distribution monitoring sheet" display="How to use the On-Site Distribution Monitoring spreadsheet"/>
    <hyperlink ref="B20" location="'Help on Logistics'!C7" tooltip="Help on using the Logisitics Calculator " display="Using the Logistics Calculator"/>
    <hyperlink ref="B17" location="'Help on Macros'!A1" tooltip="Help on enabling macros" display="How to enable macros"/>
    <hyperlink ref="B19" location="'Help on Calculation'!A1" tooltip="Help on using the Ration Calculator" display="Planning and calculating a ration "/>
    <hyperlink ref="B18:D18" location="'Help on Database'!A1" tooltip="Help on food and nutrient data sources" display="Where does the nutrient composition data come from?"/>
    <hyperlink ref="F25" r:id="rId11"/>
    <hyperlink ref="D25" r:id="rId12" tooltip="click to email NutVal support"/>
    <hyperlink ref="F25:H25" r:id="rId13" tooltip="http://www.nutval.net" display="www.nutval.net"/>
    <hyperlink ref="B24" location="Abbreviations!A1" tooltip="A list of abbreviations used in NutVal" display="Abbreviations"/>
    <hyperlink ref="B20:C20" location="'Help on Logistics'!C7" tooltip="Help on using the Logistics Calculator " display="Using the Logistics Calculator"/>
  </hyperlinks>
  <pageMargins left="0.75" right="0.75" top="1" bottom="1" header="0.5" footer="0.5"/>
  <pageSetup paperSize="9" scale="65" orientation="portrait" horizontalDpi="4294967293" verticalDpi="4294967293" r:id="rId14"/>
  <headerFooter alignWithMargins="0"/>
  <colBreaks count="1" manualBreakCount="1">
    <brk id="12" max="1048575" man="1"/>
  </colBreaks>
  <drawing r:id="rId15"/>
  <legacyDrawing r:id="rId16"/>
  <mc:AlternateContent xmlns:mc="http://schemas.openxmlformats.org/markup-compatibility/2006">
    <mc:Choice Requires="x14">
      <controls>
        <mc:AlternateContent xmlns:mc="http://schemas.openxmlformats.org/markup-compatibility/2006">
          <mc:Choice Requires="x14">
            <control shapeId="2096" r:id="rId17" name="Button 48">
              <controlPr defaultSize="0" print="0" autoFill="0" autoPict="0" macro="[0]!FullScreen">
                <anchor moveWithCells="1" sizeWithCells="1">
                  <from>
                    <xdr:col>6</xdr:col>
                    <xdr:colOff>66675</xdr:colOff>
                    <xdr:row>15</xdr:row>
                    <xdr:rowOff>9525</xdr:rowOff>
                  </from>
                  <to>
                    <xdr:col>7</xdr:col>
                    <xdr:colOff>962025</xdr:colOff>
                    <xdr:row>16</xdr:row>
                    <xdr:rowOff>38100</xdr:rowOff>
                  </to>
                </anchor>
              </controlPr>
            </control>
          </mc:Choice>
        </mc:AlternateContent>
        <mc:AlternateContent xmlns:mc="http://schemas.openxmlformats.org/markup-compatibility/2006">
          <mc:Choice Requires="x14">
            <control shapeId="2105" r:id="rId18" name="Button 57">
              <controlPr defaultSize="0" autoFill="0" autoPict="0" macro="[0]!Goto_Database1">
                <anchor moveWithCells="1" sizeWithCells="1">
                  <from>
                    <xdr:col>1</xdr:col>
                    <xdr:colOff>47625</xdr:colOff>
                    <xdr:row>10</xdr:row>
                    <xdr:rowOff>104775</xdr:rowOff>
                  </from>
                  <to>
                    <xdr:col>1</xdr:col>
                    <xdr:colOff>1123950</xdr:colOff>
                    <xdr:row>12</xdr:row>
                    <xdr:rowOff>38100</xdr:rowOff>
                  </to>
                </anchor>
              </controlPr>
            </control>
          </mc:Choice>
        </mc:AlternateContent>
        <mc:AlternateContent xmlns:mc="http://schemas.openxmlformats.org/markup-compatibility/2006">
          <mc:Choice Requires="x14">
            <control shapeId="2106" r:id="rId19" name="Button 58">
              <controlPr defaultSize="0" print="0" autoFill="0" autoPict="0" macro="[0]!Goto_Calculation_Sheet">
                <anchor moveWithCells="1" sizeWithCells="1">
                  <from>
                    <xdr:col>1</xdr:col>
                    <xdr:colOff>1362075</xdr:colOff>
                    <xdr:row>10</xdr:row>
                    <xdr:rowOff>104775</xdr:rowOff>
                  </from>
                  <to>
                    <xdr:col>3</xdr:col>
                    <xdr:colOff>314325</xdr:colOff>
                    <xdr:row>12</xdr:row>
                    <xdr:rowOff>38100</xdr:rowOff>
                  </to>
                </anchor>
              </controlPr>
            </control>
          </mc:Choice>
        </mc:AlternateContent>
        <mc:AlternateContent xmlns:mc="http://schemas.openxmlformats.org/markup-compatibility/2006">
          <mc:Choice Requires="x14">
            <control shapeId="2107" r:id="rId20" name="Button 59">
              <controlPr defaultSize="0" autoFill="0" autoPict="0" macro="[0]!Return_FBM_Sheet">
                <anchor moveWithCells="1" sizeWithCells="1">
                  <from>
                    <xdr:col>7</xdr:col>
                    <xdr:colOff>9525</xdr:colOff>
                    <xdr:row>10</xdr:row>
                    <xdr:rowOff>104775</xdr:rowOff>
                  </from>
                  <to>
                    <xdr:col>7</xdr:col>
                    <xdr:colOff>1085850</xdr:colOff>
                    <xdr:row>12</xdr:row>
                    <xdr:rowOff>38100</xdr:rowOff>
                  </to>
                </anchor>
              </controlPr>
            </control>
          </mc:Choice>
        </mc:AlternateContent>
        <mc:AlternateContent xmlns:mc="http://schemas.openxmlformats.org/markup-compatibility/2006">
          <mc:Choice Requires="x14">
            <control shapeId="4540021" r:id="rId21" name="Button 2677">
              <controlPr defaultSize="0" print="0" autoFill="0" autoPict="0" macro="[0]!LogsCalculator">
                <anchor>
                  <from>
                    <xdr:col>3</xdr:col>
                    <xdr:colOff>552450</xdr:colOff>
                    <xdr:row>10</xdr:row>
                    <xdr:rowOff>104775</xdr:rowOff>
                  </from>
                  <to>
                    <xdr:col>4</xdr:col>
                    <xdr:colOff>123825</xdr:colOff>
                    <xdr:row>12</xdr:row>
                    <xdr:rowOff>9525</xdr:rowOff>
                  </to>
                </anchor>
              </controlPr>
            </control>
          </mc:Choice>
        </mc:AlternateContent>
        <mc:AlternateContent xmlns:mc="http://schemas.openxmlformats.org/markup-compatibility/2006">
          <mc:Choice Requires="x14">
            <control shapeId="4540023" r:id="rId22" name="Button13">
              <controlPr defaultSize="0" autoFill="0" autoPict="0" macro="[0]!PivotAnalysis">
                <anchor>
                  <from>
                    <xdr:col>4</xdr:col>
                    <xdr:colOff>361950</xdr:colOff>
                    <xdr:row>10</xdr:row>
                    <xdr:rowOff>104775</xdr:rowOff>
                  </from>
                  <to>
                    <xdr:col>6</xdr:col>
                    <xdr:colOff>38100</xdr:colOff>
                    <xdr:row>12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D77"/>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2:4" ht="15" customHeight="1" x14ac:dyDescent="0.25">
      <c r="B1" s="285"/>
      <c r="C1" s="285"/>
    </row>
    <row r="2" spans="2:4" ht="45" customHeight="1" x14ac:dyDescent="0.25">
      <c r="B2" s="664" t="s">
        <v>913</v>
      </c>
      <c r="C2" s="285"/>
    </row>
    <row r="3" spans="2:4" ht="11.25" customHeight="1" x14ac:dyDescent="0.25">
      <c r="C3" s="285"/>
    </row>
    <row r="4" spans="2:4" ht="32.25" customHeight="1" x14ac:dyDescent="0.25">
      <c r="B4" s="1071" t="s">
        <v>926</v>
      </c>
      <c r="C4" s="285"/>
    </row>
    <row r="5" spans="2:4" ht="87" customHeight="1" x14ac:dyDescent="0.25">
      <c r="B5" s="647" t="s">
        <v>959</v>
      </c>
      <c r="C5" s="285"/>
    </row>
    <row r="6" spans="2:4" ht="75" customHeight="1" x14ac:dyDescent="0.25">
      <c r="B6" s="1078" t="s">
        <v>943</v>
      </c>
      <c r="C6" s="285"/>
    </row>
    <row r="7" spans="2:4" ht="31.5" customHeight="1" x14ac:dyDescent="0.25">
      <c r="B7" s="647" t="s">
        <v>944</v>
      </c>
      <c r="C7" s="285"/>
    </row>
    <row r="8" spans="2:4" ht="37.5" customHeight="1" x14ac:dyDescent="0.25">
      <c r="B8" s="1078" t="s">
        <v>942</v>
      </c>
      <c r="C8" s="285"/>
    </row>
    <row r="9" spans="2:4" ht="45" customHeight="1" x14ac:dyDescent="0.25">
      <c r="B9" s="647" t="s">
        <v>956</v>
      </c>
      <c r="C9" s="285"/>
    </row>
    <row r="10" spans="2:4" ht="33" customHeight="1" x14ac:dyDescent="0.25">
      <c r="B10" s="647" t="s">
        <v>952</v>
      </c>
      <c r="C10" s="285"/>
    </row>
    <row r="11" spans="2:4" ht="74.25" customHeight="1" x14ac:dyDescent="0.25">
      <c r="B11" s="1071" t="s">
        <v>960</v>
      </c>
      <c r="C11" s="285"/>
    </row>
    <row r="12" spans="2:4" ht="90" customHeight="1" x14ac:dyDescent="0.25">
      <c r="B12" s="1071" t="s">
        <v>961</v>
      </c>
      <c r="C12" s="285"/>
    </row>
    <row r="13" spans="2:4" ht="30" customHeight="1" x14ac:dyDescent="0.25">
      <c r="B13" s="1071" t="s">
        <v>927</v>
      </c>
      <c r="C13" s="285"/>
    </row>
    <row r="14" spans="2:4" ht="8.25" customHeight="1" x14ac:dyDescent="0.25">
      <c r="B14" s="665"/>
      <c r="C14" s="285"/>
    </row>
    <row r="15" spans="2:4" ht="32.1" customHeight="1" x14ac:dyDescent="0.25">
      <c r="B15" s="429" t="s">
        <v>957</v>
      </c>
      <c r="C15" s="285"/>
    </row>
    <row r="16" spans="2:4" ht="44.25" customHeight="1" x14ac:dyDescent="0.25">
      <c r="B16" s="449" t="s">
        <v>759</v>
      </c>
      <c r="C16" s="285"/>
      <c r="D16" s="285"/>
    </row>
    <row r="17" spans="2:4" ht="44.25" customHeight="1" x14ac:dyDescent="0.25">
      <c r="B17" s="449" t="s">
        <v>909</v>
      </c>
      <c r="C17" s="285"/>
      <c r="D17" s="285"/>
    </row>
    <row r="18" spans="2:4" ht="99.75" customHeight="1" x14ac:dyDescent="0.25">
      <c r="B18" s="449" t="s">
        <v>962</v>
      </c>
      <c r="C18" s="285"/>
      <c r="D18" s="285"/>
    </row>
    <row r="19" spans="2:4" ht="71.25" x14ac:dyDescent="0.25">
      <c r="B19" s="449" t="s">
        <v>747</v>
      </c>
      <c r="C19" s="285"/>
      <c r="D19" s="285"/>
    </row>
    <row r="20" spans="2:4" ht="30" customHeight="1" x14ac:dyDescent="0.25">
      <c r="B20" s="449" t="s">
        <v>890</v>
      </c>
      <c r="C20" s="285"/>
      <c r="D20" s="285"/>
    </row>
    <row r="21" spans="2:4" ht="48" customHeight="1" x14ac:dyDescent="0.25">
      <c r="B21" s="449" t="s">
        <v>912</v>
      </c>
      <c r="C21" s="285"/>
      <c r="D21" s="285"/>
    </row>
    <row r="22" spans="2:4" ht="102.75" x14ac:dyDescent="0.25">
      <c r="B22" s="449" t="s">
        <v>891</v>
      </c>
      <c r="C22" s="285"/>
    </row>
    <row r="23" spans="2:4" ht="60" x14ac:dyDescent="0.25">
      <c r="B23" s="670" t="s">
        <v>888</v>
      </c>
      <c r="C23" s="285"/>
    </row>
    <row r="24" spans="2:4" ht="60" x14ac:dyDescent="0.25">
      <c r="B24" s="670" t="s">
        <v>887</v>
      </c>
      <c r="C24" s="285"/>
    </row>
    <row r="25" spans="2:4" ht="72" x14ac:dyDescent="0.25">
      <c r="B25" s="670" t="s">
        <v>886</v>
      </c>
      <c r="C25" s="285"/>
    </row>
    <row r="26" spans="2:4" ht="66" customHeight="1" x14ac:dyDescent="0.25">
      <c r="B26" s="670" t="s">
        <v>628</v>
      </c>
      <c r="C26" s="285"/>
    </row>
    <row r="27" spans="2:4" ht="103.5" customHeight="1" x14ac:dyDescent="0.25">
      <c r="B27" s="449" t="s">
        <v>760</v>
      </c>
      <c r="C27" s="285"/>
    </row>
    <row r="28" spans="2:4" ht="70.5" customHeight="1" x14ac:dyDescent="0.25">
      <c r="B28" s="670" t="s">
        <v>629</v>
      </c>
      <c r="C28" s="285"/>
    </row>
    <row r="29" spans="2:4" ht="71.25" customHeight="1" x14ac:dyDescent="0.25">
      <c r="B29" s="670" t="s">
        <v>910</v>
      </c>
      <c r="C29" s="285"/>
    </row>
    <row r="30" spans="2:4" ht="71.25" customHeight="1" x14ac:dyDescent="0.25">
      <c r="B30" s="670" t="s">
        <v>630</v>
      </c>
      <c r="C30" s="285"/>
    </row>
    <row r="31" spans="2:4" ht="69.75" customHeight="1" x14ac:dyDescent="0.25">
      <c r="B31" s="670" t="s">
        <v>631</v>
      </c>
      <c r="C31" s="285"/>
    </row>
    <row r="32" spans="2:4" x14ac:dyDescent="0.25">
      <c r="B32" s="670" t="s">
        <v>632</v>
      </c>
      <c r="C32" s="285"/>
    </row>
    <row r="33" spans="2:3" ht="145.5" customHeight="1" x14ac:dyDescent="0.25">
      <c r="B33" s="449" t="s">
        <v>893</v>
      </c>
      <c r="C33" s="285"/>
    </row>
    <row r="34" spans="2:3" ht="45.75" customHeight="1" x14ac:dyDescent="0.25">
      <c r="B34" s="649" t="s">
        <v>892</v>
      </c>
      <c r="C34" s="285"/>
    </row>
    <row r="35" spans="2:3" ht="45.75" customHeight="1" x14ac:dyDescent="0.25">
      <c r="B35" s="649" t="s">
        <v>899</v>
      </c>
      <c r="C35" s="285"/>
    </row>
    <row r="36" spans="2:3" ht="30" customHeight="1" x14ac:dyDescent="0.25">
      <c r="B36" s="449" t="s">
        <v>682</v>
      </c>
      <c r="C36" s="285"/>
    </row>
    <row r="37" spans="2:3" ht="30" customHeight="1" x14ac:dyDescent="0.25">
      <c r="B37" s="449" t="s">
        <v>894</v>
      </c>
      <c r="C37" s="285"/>
    </row>
    <row r="38" spans="2:3" ht="17.25" customHeight="1" x14ac:dyDescent="0.25">
      <c r="B38" s="449" t="s">
        <v>610</v>
      </c>
      <c r="C38" s="285"/>
    </row>
    <row r="39" spans="2:3" ht="33" customHeight="1" x14ac:dyDescent="0.25">
      <c r="B39" s="449" t="s">
        <v>895</v>
      </c>
      <c r="C39" s="285"/>
    </row>
    <row r="40" spans="2:3" ht="59.25" customHeight="1" x14ac:dyDescent="0.25">
      <c r="B40" s="862" t="s">
        <v>896</v>
      </c>
      <c r="C40" s="285"/>
    </row>
    <row r="41" spans="2:3" ht="30.75" customHeight="1" x14ac:dyDescent="0.25">
      <c r="B41" s="862" t="s">
        <v>897</v>
      </c>
      <c r="C41" s="285"/>
    </row>
    <row r="42" spans="2:3" ht="27.75" customHeight="1" x14ac:dyDescent="0.25">
      <c r="B42" s="449" t="s">
        <v>898</v>
      </c>
      <c r="C42" s="285"/>
    </row>
    <row r="43" spans="2:3" ht="8.25" customHeight="1" x14ac:dyDescent="0.25">
      <c r="B43" s="665"/>
      <c r="C43" s="285"/>
    </row>
    <row r="44" spans="2:3" ht="32.1" customHeight="1" x14ac:dyDescent="0.25">
      <c r="B44" s="429" t="s">
        <v>106</v>
      </c>
    </row>
    <row r="45" spans="2:3" ht="73.5" customHeight="1" x14ac:dyDescent="0.25">
      <c r="B45" s="451" t="s">
        <v>252</v>
      </c>
    </row>
    <row r="46" spans="2:3" ht="87.75" customHeight="1" x14ac:dyDescent="0.25">
      <c r="B46" s="453" t="s">
        <v>257</v>
      </c>
    </row>
    <row r="47" spans="2:3" ht="60" customHeight="1" x14ac:dyDescent="0.25">
      <c r="B47" s="452" t="s">
        <v>107</v>
      </c>
    </row>
    <row r="48" spans="2:3" ht="46.5" customHeight="1" x14ac:dyDescent="0.25">
      <c r="B48" s="452" t="s">
        <v>258</v>
      </c>
    </row>
    <row r="49" spans="2:2" ht="44.25" customHeight="1" x14ac:dyDescent="0.25">
      <c r="B49" s="452" t="s">
        <v>52</v>
      </c>
    </row>
    <row r="50" spans="2:2" ht="45" customHeight="1" x14ac:dyDescent="0.25">
      <c r="B50" s="452" t="s">
        <v>253</v>
      </c>
    </row>
    <row r="51" spans="2:2" ht="32.25" customHeight="1" x14ac:dyDescent="0.25">
      <c r="B51" s="452" t="s">
        <v>110</v>
      </c>
    </row>
    <row r="52" spans="2:2" ht="32.25" customHeight="1" x14ac:dyDescent="0.25">
      <c r="B52" s="451" t="s">
        <v>55</v>
      </c>
    </row>
    <row r="53" spans="2:2" ht="11.1" customHeight="1" x14ac:dyDescent="0.25">
      <c r="B53" s="446"/>
    </row>
    <row r="54" spans="2:2" ht="24.95" customHeight="1" x14ac:dyDescent="0.25">
      <c r="B54" s="430" t="s">
        <v>80</v>
      </c>
    </row>
    <row r="55" spans="2:2" ht="42.75" x14ac:dyDescent="0.25">
      <c r="B55" s="444" t="s">
        <v>81</v>
      </c>
    </row>
    <row r="56" spans="2:2" ht="11.25" customHeight="1" x14ac:dyDescent="0.25">
      <c r="B56" s="446"/>
    </row>
    <row r="57" spans="2:2" ht="24.95" customHeight="1" x14ac:dyDescent="0.25">
      <c r="B57" s="430" t="s">
        <v>78</v>
      </c>
    </row>
    <row r="58" spans="2:2" x14ac:dyDescent="0.25">
      <c r="B58" s="445" t="s">
        <v>108</v>
      </c>
    </row>
    <row r="59" spans="2:2" ht="30" customHeight="1" x14ac:dyDescent="0.25">
      <c r="B59" s="445" t="s">
        <v>79</v>
      </c>
    </row>
    <row r="60" spans="2:2" ht="11.1" customHeight="1" x14ac:dyDescent="0.25">
      <c r="B60" s="445"/>
    </row>
    <row r="61" spans="2:2" ht="24.95" customHeight="1" x14ac:dyDescent="0.25">
      <c r="B61" s="430" t="s">
        <v>85</v>
      </c>
    </row>
    <row r="62" spans="2:2" ht="72.75" customHeight="1" x14ac:dyDescent="0.25">
      <c r="B62" s="445" t="s">
        <v>77</v>
      </c>
    </row>
    <row r="63" spans="2:2" ht="29.25" customHeight="1" x14ac:dyDescent="0.25">
      <c r="B63" s="445" t="s">
        <v>779</v>
      </c>
    </row>
    <row r="64" spans="2:2" ht="28.5" x14ac:dyDescent="0.25">
      <c r="B64" s="445" t="s">
        <v>111</v>
      </c>
    </row>
    <row r="65" spans="2:3" ht="11.1" customHeight="1" x14ac:dyDescent="0.25">
      <c r="B65" s="445"/>
    </row>
    <row r="66" spans="2:3" ht="24.95" customHeight="1" x14ac:dyDescent="0.25">
      <c r="B66" s="431" t="s">
        <v>73</v>
      </c>
    </row>
    <row r="67" spans="2:3" ht="42.75" x14ac:dyDescent="0.25">
      <c r="B67" s="445" t="s">
        <v>109</v>
      </c>
    </row>
    <row r="68" spans="2:3" ht="30.75" customHeight="1" x14ac:dyDescent="0.25">
      <c r="B68" s="445" t="s">
        <v>112</v>
      </c>
    </row>
    <row r="69" spans="2:3" ht="17.25" customHeight="1" x14ac:dyDescent="0.25">
      <c r="B69" s="447" t="s">
        <v>113</v>
      </c>
    </row>
    <row r="70" spans="2:3" ht="28.5" x14ac:dyDescent="0.25">
      <c r="B70" s="447" t="s">
        <v>114</v>
      </c>
    </row>
    <row r="71" spans="2:3" ht="31.5" customHeight="1" x14ac:dyDescent="0.25">
      <c r="B71" s="445" t="s">
        <v>74</v>
      </c>
      <c r="C71" s="63"/>
    </row>
    <row r="72" spans="2:3" ht="45" customHeight="1" x14ac:dyDescent="0.25">
      <c r="B72" s="445" t="s">
        <v>115</v>
      </c>
    </row>
    <row r="73" spans="2:3" ht="11.1" customHeight="1" x14ac:dyDescent="0.25">
      <c r="B73" s="447"/>
    </row>
    <row r="74" spans="2:3" ht="49.5" customHeight="1" x14ac:dyDescent="0.25">
      <c r="B74" s="432" t="s">
        <v>326</v>
      </c>
    </row>
    <row r="75" spans="2:3" x14ac:dyDescent="0.25">
      <c r="B75" s="448"/>
    </row>
    <row r="76" spans="2:3" x14ac:dyDescent="0.25">
      <c r="B76" s="448"/>
    </row>
    <row r="77" spans="2:3" x14ac:dyDescent="0.25">
      <c r="B77" s="448"/>
    </row>
  </sheetData>
  <sheetProtection password="CAB5" sheet="1" objects="1" scenarios="1"/>
  <customSheetViews>
    <customSheetView guid="{3EA4A73F-A388-49D1-AD67-268667AF56E2}" showGridLines="0" showRowCol="0" showRuler="0">
      <selection activeCell="G6" sqref="G6"/>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1216" r:id="rId5" name="Button 1152">
              <controlPr defaultSize="0" print="0" autoFill="0" autoPict="0" macro="[0]!Goto_HomeHelp">
                <anchor>
                  <from>
                    <xdr:col>0</xdr:col>
                    <xdr:colOff>495300</xdr:colOff>
                    <xdr:row>1</xdr:row>
                    <xdr:rowOff>114300</xdr:rowOff>
                  </from>
                  <to>
                    <xdr:col>1</xdr:col>
                    <xdr:colOff>1038225</xdr:colOff>
                    <xdr:row>1</xdr:row>
                    <xdr:rowOff>485775</xdr:rowOff>
                  </to>
                </anchor>
              </controlPr>
            </control>
          </mc:Choice>
        </mc:AlternateContent>
        <mc:AlternateContent xmlns:mc="http://schemas.openxmlformats.org/markup-compatibility/2006">
          <mc:Choice Requires="x14">
            <control shapeId="1881217" r:id="rId6" name="Button 1153">
              <controlPr defaultSize="0" print="0" autoFill="0" autoPict="0" macro="[0]!Goto_Database1">
                <anchor>
                  <from>
                    <xdr:col>1</xdr:col>
                    <xdr:colOff>5429250</xdr:colOff>
                    <xdr:row>1</xdr:row>
                    <xdr:rowOff>114300</xdr:rowOff>
                  </from>
                  <to>
                    <xdr:col>2</xdr:col>
                    <xdr:colOff>228600</xdr:colOff>
                    <xdr:row>1</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11"/>
  <sheetViews>
    <sheetView showGridLines="0" showRowColHeaders="0" workbookViewId="0"/>
  </sheetViews>
  <sheetFormatPr defaultRowHeight="15.75" x14ac:dyDescent="0.25"/>
  <cols>
    <col min="1" max="1" width="8.77734375" style="285" customWidth="1"/>
    <col min="2" max="2" width="75.77734375" style="285" customWidth="1"/>
    <col min="3" max="3" width="8.77734375" style="285" customWidth="1"/>
    <col min="4" max="16384" width="8.88671875" style="285"/>
  </cols>
  <sheetData>
    <row r="1" spans="2:2" ht="15" customHeight="1" x14ac:dyDescent="0.25"/>
    <row r="2" spans="2:2" ht="47.25" customHeight="1" x14ac:dyDescent="0.25">
      <c r="B2" s="662" t="s">
        <v>603</v>
      </c>
    </row>
    <row r="3" spans="2:2" ht="71.25" customHeight="1" x14ac:dyDescent="0.25">
      <c r="B3" s="663" t="s">
        <v>772</v>
      </c>
    </row>
    <row r="4" spans="2:2" ht="32.25" customHeight="1" x14ac:dyDescent="0.25">
      <c r="B4" s="925" t="s">
        <v>766</v>
      </c>
    </row>
    <row r="11" spans="2:2" x14ac:dyDescent="0.25">
      <c r="B11" s="666"/>
    </row>
  </sheetData>
  <sheetProtection password="CAB5" sheet="1" objects="1" scenarios="1"/>
  <customSheetViews>
    <customSheetView guid="{3EA4A73F-A388-49D1-AD67-268667AF56E2}" showGridLines="0" showRowCol="0" showRuler="0">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2160" r:id="rId5" name="Button 1072">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4"/>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1:4" ht="15" customHeight="1" x14ac:dyDescent="0.25"/>
    <row r="2" spans="1:4" ht="45" customHeight="1" x14ac:dyDescent="0.25">
      <c r="B2" s="661" t="s">
        <v>602</v>
      </c>
    </row>
    <row r="3" spans="1:4" ht="9.9499999999999993" customHeight="1" x14ac:dyDescent="0.25">
      <c r="A3" s="82"/>
      <c r="C3" s="82"/>
      <c r="D3" s="82"/>
    </row>
    <row r="4" spans="1:4" s="114" customFormat="1" ht="93" customHeight="1" x14ac:dyDescent="0.25">
      <c r="A4" s="112"/>
      <c r="B4" s="451" t="s">
        <v>56</v>
      </c>
      <c r="C4" s="113"/>
      <c r="D4" s="113"/>
    </row>
  </sheetData>
  <sheetProtection password="" sheet="1" objects="1" scenarios="1"/>
  <customSheetViews>
    <customSheetView guid="{3EA4A73F-A388-49D1-AD67-268667AF56E2}" showGridLines="0" showRowCol="0" showRuler="0">
      <pageMargins left="0.75" right="0.75" top="1" bottom="1" header="0.5" footer="0.5"/>
      <headerFooter alignWithMargins="0"/>
    </customSheetView>
  </customSheetViews>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83200" r:id="rId3" name="Button 1088">
              <controlPr defaultSize="0" print="0" autoFill="0" autoPict="0" macro="[0]!Goto_HomeHelp">
                <anchor>
                  <from>
                    <xdr:col>0</xdr:col>
                    <xdr:colOff>485775</xdr:colOff>
                    <xdr:row>1</xdr:row>
                    <xdr:rowOff>133350</xdr:rowOff>
                  </from>
                  <to>
                    <xdr:col>1</xdr:col>
                    <xdr:colOff>1028700</xdr:colOff>
                    <xdr:row>1</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12"/>
  <sheetViews>
    <sheetView showGridLines="0" showRowColHeaders="0" workbookViewId="0"/>
  </sheetViews>
  <sheetFormatPr defaultRowHeight="15.75" x14ac:dyDescent="0.25"/>
  <cols>
    <col min="1" max="1" width="8.77734375" customWidth="1"/>
    <col min="2" max="2" width="75.77734375" customWidth="1"/>
    <col min="3" max="3" width="8.21875" customWidth="1"/>
    <col min="4" max="4" width="6.5546875" customWidth="1"/>
    <col min="5" max="5" width="7.33203125" customWidth="1"/>
  </cols>
  <sheetData>
    <row r="1" spans="2:6" ht="15" customHeight="1" x14ac:dyDescent="0.25"/>
    <row r="2" spans="2:6" ht="45" customHeight="1" x14ac:dyDescent="0.25">
      <c r="B2" s="659" t="s">
        <v>744</v>
      </c>
    </row>
    <row r="3" spans="2:6" s="3" customFormat="1" ht="9.9499999999999993" customHeight="1" x14ac:dyDescent="0.2">
      <c r="C3" s="1"/>
      <c r="D3" s="2"/>
      <c r="E3" s="2"/>
      <c r="F3" s="2"/>
    </row>
    <row r="4" spans="2:6" s="3" customFormat="1" ht="99.75" customHeight="1" x14ac:dyDescent="0.2">
      <c r="B4" s="449" t="s">
        <v>754</v>
      </c>
      <c r="C4" s="2"/>
      <c r="D4" s="2"/>
      <c r="E4" s="2"/>
      <c r="F4" s="2"/>
    </row>
    <row r="5" spans="2:6" s="3" customFormat="1" ht="17.25" customHeight="1" x14ac:dyDescent="0.2">
      <c r="B5" s="449" t="s">
        <v>815</v>
      </c>
      <c r="C5" s="2"/>
      <c r="D5" s="2"/>
      <c r="E5" s="2"/>
      <c r="F5" s="2"/>
    </row>
    <row r="6" spans="2:6" s="3" customFormat="1" ht="74.25" customHeight="1" x14ac:dyDescent="0.2">
      <c r="B6" s="450" t="s">
        <v>907</v>
      </c>
      <c r="C6" s="2"/>
      <c r="D6" s="2"/>
      <c r="E6" s="2"/>
      <c r="F6" s="2"/>
    </row>
    <row r="7" spans="2:6" s="3" customFormat="1" ht="101.25" customHeight="1" x14ac:dyDescent="0.2">
      <c r="B7" s="450" t="s">
        <v>908</v>
      </c>
      <c r="C7" s="2"/>
      <c r="D7" s="2"/>
      <c r="E7" s="2"/>
      <c r="F7" s="2"/>
    </row>
    <row r="8" spans="2:6" s="3" customFormat="1" ht="43.5" customHeight="1" x14ac:dyDescent="0.2">
      <c r="B8" s="450" t="s">
        <v>626</v>
      </c>
      <c r="C8" s="2"/>
      <c r="D8" s="2"/>
      <c r="E8" s="2"/>
      <c r="F8" s="2"/>
    </row>
    <row r="9" spans="2:6" s="3" customFormat="1" ht="72.75" customHeight="1" x14ac:dyDescent="0.2">
      <c r="B9" s="450" t="s">
        <v>743</v>
      </c>
      <c r="C9" s="2"/>
      <c r="D9" s="2"/>
      <c r="E9" s="2"/>
      <c r="F9" s="2"/>
    </row>
    <row r="10" spans="2:6" s="3" customFormat="1" ht="30" customHeight="1" x14ac:dyDescent="0.2">
      <c r="B10" s="450" t="s">
        <v>624</v>
      </c>
      <c r="C10" s="2"/>
      <c r="D10" s="2"/>
      <c r="E10" s="2"/>
      <c r="F10" s="2"/>
    </row>
    <row r="11" spans="2:6" s="3" customFormat="1" ht="30" customHeight="1" x14ac:dyDescent="0.2">
      <c r="B11" s="450" t="s">
        <v>625</v>
      </c>
      <c r="C11" s="2"/>
      <c r="D11" s="2"/>
      <c r="E11" s="2"/>
      <c r="F11" s="2"/>
    </row>
    <row r="12" spans="2:6" s="3" customFormat="1" ht="37.5" customHeight="1" x14ac:dyDescent="0.2">
      <c r="B12" s="450" t="s">
        <v>816</v>
      </c>
      <c r="C12" s="2"/>
      <c r="D12" s="2"/>
      <c r="E12" s="2"/>
      <c r="F12" s="2"/>
    </row>
  </sheetData>
  <sheetProtection password="CAB5" sheet="1" objects="1" scenarios="1"/>
  <customSheetViews>
    <customSheetView guid="{662328B1-0775-4F70-9698-998A355FC5BA}" showGridLines="0" showRowCol="0" showRuler="0">
      <selection activeCell="F25" sqref="F25:H25"/>
      <pageMargins left="0.75" right="0.75" top="1" bottom="1" header="0.5" footer="0.5"/>
      <headerFooter alignWithMargins="0"/>
    </customSheetView>
    <customSheetView guid="{0765DE49-5067-4ED5-85D4-D9739E06A59B}" showGridLines="0" showRowCol="0" showRuler="0">
      <selection activeCell="B18" sqref="B18:E18"/>
      <pageMargins left="0.75" right="0.75" top="1" bottom="1" header="0.5" footer="0.5"/>
      <headerFooter alignWithMargins="0"/>
    </customSheetView>
    <customSheetView guid="{05B716BD-D5FA-43A1-BE8D-50F5C9430082}" showGridLines="0" showRowCol="0" showRuler="0">
      <selection activeCell="A11" sqref="A11"/>
      <pageMargins left="0.75" right="0.75" top="1" bottom="1" header="0.5" footer="0.5"/>
      <headerFooter alignWithMargins="0"/>
    </customSheetView>
    <customSheetView guid="{D9DE8450-BFB9-43C9-99CE-F387EC95D082}" showGridLines="0" showRowCol="0" showRuler="0">
      <selection activeCell="A11" sqref="A11"/>
      <pageMargins left="0.75" right="0.75" top="1" bottom="1" header="0.5" footer="0.5"/>
      <headerFooter alignWithMargins="0"/>
    </customSheetView>
    <customSheetView guid="{5C3D267B-61EB-4FFE-BD22-532277CBABA0}" showGridLines="0" showRowCol="0" showRuler="0">
      <selection activeCell="A11" sqref="A11"/>
      <pageMargins left="0.75" right="0.75" top="1" bottom="1" header="0.5" footer="0.5"/>
      <headerFooter alignWithMargins="0"/>
    </customSheetView>
    <customSheetView guid="{BA4F6A8B-B7E1-468F-AE8D-B0079A2D20E5}" showGridLines="0" showRowCol="0" showRuler="0">
      <selection activeCell="A11" sqref="A11"/>
      <pageMargins left="0.75" right="0.75" top="1" bottom="1" header="0.5" footer="0.5"/>
      <headerFooter alignWithMargins="0"/>
    </customSheetView>
    <customSheetView guid="{93429E49-92B0-4925-8D04-D425145938FD}" showGridLines="0" showRowCol="0" showRuler="0">
      <selection activeCell="A11" sqref="A11"/>
      <pageMargins left="0.75" right="0.75" top="1" bottom="1" header="0.5" footer="0.5"/>
      <headerFooter alignWithMargins="0"/>
    </customSheetView>
    <customSheetView guid="{E422BA57-AFCC-4512-A22E-E75FB5198808}" showGridLines="0" showRowCol="0" showRuler="0">
      <selection activeCell="A11" sqref="A11"/>
      <pageMargins left="0.75" right="0.75" top="1" bottom="1" header="0.5" footer="0.5"/>
      <headerFooter alignWithMargins="0"/>
    </customSheetView>
    <customSheetView guid="{818A4ACB-56B8-4736-9E14-BA18A36B5B2F}" showGridLines="0" showRowCol="0" showRuler="0">
      <selection activeCell="A11" sqref="A11"/>
      <pageMargins left="0.75" right="0.75" top="1" bottom="1" header="0.5" footer="0.5"/>
      <headerFooter alignWithMargins="0"/>
    </customSheetView>
    <customSheetView guid="{3EA4A73F-A388-49D1-AD67-268667AF56E2}" showGridLines="0" showRowCol="0" showRuler="0" topLeftCell="A10">
      <selection activeCell="B18" sqref="B18:D18"/>
      <pageMargins left="0.75" right="0.75" top="1" bottom="1" header="0.5" footer="0.5"/>
      <headerFooter alignWithMargins="0"/>
    </customSheetView>
  </customSheetViews>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90352" r:id="rId4" name="Button 1072">
              <controlPr defaultSize="0" print="0" autoFill="0" autoPict="0" macro="[0]!Goto_HomeHelp">
                <anchor>
                  <from>
                    <xdr:col>0</xdr:col>
                    <xdr:colOff>476250</xdr:colOff>
                    <xdr:row>1</xdr:row>
                    <xdr:rowOff>123825</xdr:rowOff>
                  </from>
                  <to>
                    <xdr:col>1</xdr:col>
                    <xdr:colOff>1019175</xdr:colOff>
                    <xdr:row>1</xdr:row>
                    <xdr:rowOff>495300</xdr:rowOff>
                  </to>
                </anchor>
              </controlPr>
            </control>
          </mc:Choice>
        </mc:AlternateContent>
        <mc:AlternateContent xmlns:mc="http://schemas.openxmlformats.org/markup-compatibility/2006">
          <mc:Choice Requires="x14">
            <control shapeId="1890353" r:id="rId5" name="Button 1073">
              <controlPr defaultSize="0" print="0" autoFill="0" autoPict="0" macro="[0]!Goto_Calculation_Sheet">
                <anchor>
                  <from>
                    <xdr:col>1</xdr:col>
                    <xdr:colOff>5410200</xdr:colOff>
                    <xdr:row>1</xdr:row>
                    <xdr:rowOff>123825</xdr:rowOff>
                  </from>
                  <to>
                    <xdr:col>2</xdr:col>
                    <xdr:colOff>209550</xdr:colOff>
                    <xdr:row>1</xdr:row>
                    <xdr:rowOff>514350</xdr:rowOff>
                  </to>
                </anchor>
              </controlPr>
            </control>
          </mc:Choice>
        </mc:AlternateContent>
        <mc:AlternateContent xmlns:mc="http://schemas.openxmlformats.org/markup-compatibility/2006">
          <mc:Choice Requires="x14">
            <control shapeId="1890487" r:id="rId6" name="Button 1207">
              <controlPr defaultSize="0" print="0" autoFill="0" autoPict="0" macro="[0]!Quick_Referencehelp1">
                <anchor>
                  <from>
                    <xdr:col>1</xdr:col>
                    <xdr:colOff>485775</xdr:colOff>
                    <xdr:row>3</xdr:row>
                    <xdr:rowOff>981075</xdr:rowOff>
                  </from>
                  <to>
                    <xdr:col>1</xdr:col>
                    <xdr:colOff>2647950</xdr:colOff>
                    <xdr:row>3</xdr:row>
                    <xdr:rowOff>1200150</xdr:rowOff>
                  </to>
                </anchor>
              </controlPr>
            </control>
          </mc:Choice>
        </mc:AlternateContent>
        <mc:AlternateContent xmlns:mc="http://schemas.openxmlformats.org/markup-compatibility/2006">
          <mc:Choice Requires="x14">
            <control shapeId="1890500" r:id="rId7" name="Button 1220">
              <controlPr defaultSize="0" print="0" autoFill="0" autoPict="0" macro="[0]!Quick_Referencehelp3">
                <anchor>
                  <from>
                    <xdr:col>1</xdr:col>
                    <xdr:colOff>3467100</xdr:colOff>
                    <xdr:row>3</xdr:row>
                    <xdr:rowOff>981075</xdr:rowOff>
                  </from>
                  <to>
                    <xdr:col>1</xdr:col>
                    <xdr:colOff>5629275</xdr:colOff>
                    <xdr:row>3</xdr:row>
                    <xdr:rowOff>1200150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27"/>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1:4" ht="15" customHeight="1" x14ac:dyDescent="0.25"/>
    <row r="2" spans="1:4" ht="45" customHeight="1" x14ac:dyDescent="0.25">
      <c r="B2" s="652" t="s">
        <v>601</v>
      </c>
    </row>
    <row r="3" spans="1:4" s="3" customFormat="1" ht="9.9499999999999993" customHeight="1" x14ac:dyDescent="0.2"/>
    <row r="4" spans="1:4" s="3" customFormat="1" ht="20.25" customHeight="1" x14ac:dyDescent="0.2">
      <c r="B4" s="647" t="s">
        <v>955</v>
      </c>
      <c r="C4" s="2"/>
      <c r="D4" s="2"/>
    </row>
    <row r="5" spans="1:4" s="3" customFormat="1" ht="15" customHeight="1" x14ac:dyDescent="0.2">
      <c r="B5" s="648" t="s">
        <v>597</v>
      </c>
      <c r="C5" s="2"/>
      <c r="D5" s="2"/>
    </row>
    <row r="6" spans="1:4" s="3" customFormat="1" ht="42.75" x14ac:dyDescent="0.2">
      <c r="B6" s="649" t="s">
        <v>590</v>
      </c>
      <c r="C6" s="2"/>
      <c r="D6" s="2"/>
    </row>
    <row r="7" spans="1:4" ht="15" customHeight="1" x14ac:dyDescent="0.25">
      <c r="B7" s="648" t="s">
        <v>595</v>
      </c>
    </row>
    <row r="8" spans="1:4" s="3" customFormat="1" ht="15" customHeight="1" x14ac:dyDescent="0.2">
      <c r="A8" s="6"/>
      <c r="B8" s="649" t="s">
        <v>589</v>
      </c>
      <c r="D8" s="2"/>
    </row>
    <row r="9" spans="1:4" s="3" customFormat="1" ht="28.5" x14ac:dyDescent="0.2">
      <c r="B9" s="648" t="s">
        <v>623</v>
      </c>
      <c r="C9" s="2"/>
      <c r="D9" s="2"/>
    </row>
    <row r="10" spans="1:4" s="3" customFormat="1" ht="29.25" x14ac:dyDescent="0.2">
      <c r="B10" s="649" t="s">
        <v>963</v>
      </c>
      <c r="C10" s="2"/>
      <c r="D10" s="2"/>
    </row>
    <row r="11" spans="1:4" s="3" customFormat="1" ht="15" x14ac:dyDescent="0.2">
      <c r="A11" s="6"/>
      <c r="B11" s="651" t="s">
        <v>592</v>
      </c>
      <c r="C11" s="2"/>
      <c r="D11" s="2"/>
    </row>
    <row r="12" spans="1:4" s="3" customFormat="1" ht="29.25" customHeight="1" x14ac:dyDescent="0.2">
      <c r="A12" s="6"/>
      <c r="B12" s="651" t="s">
        <v>596</v>
      </c>
      <c r="C12" s="2"/>
      <c r="D12" s="2"/>
    </row>
    <row r="13" spans="1:4" s="3" customFormat="1" ht="15" x14ac:dyDescent="0.2">
      <c r="A13" s="6"/>
      <c r="B13" s="651" t="s">
        <v>591</v>
      </c>
      <c r="C13" s="2"/>
      <c r="D13" s="2"/>
    </row>
    <row r="14" spans="1:4" s="3" customFormat="1" ht="43.5" x14ac:dyDescent="0.2">
      <c r="B14" s="649" t="s">
        <v>594</v>
      </c>
      <c r="C14" s="2"/>
      <c r="D14" s="2"/>
    </row>
    <row r="15" spans="1:4" s="3" customFormat="1" ht="42.75" customHeight="1" x14ac:dyDescent="0.2">
      <c r="B15" s="649" t="s">
        <v>608</v>
      </c>
      <c r="C15" s="2"/>
      <c r="D15" s="2"/>
    </row>
    <row r="16" spans="1:4" s="3" customFormat="1" ht="30" customHeight="1" x14ac:dyDescent="0.2">
      <c r="B16" s="650" t="s">
        <v>604</v>
      </c>
      <c r="C16" s="2"/>
      <c r="D16" s="2"/>
    </row>
    <row r="17" spans="1:4" s="3" customFormat="1" ht="30" customHeight="1" x14ac:dyDescent="0.2">
      <c r="B17" s="650" t="s">
        <v>609</v>
      </c>
      <c r="C17" s="2"/>
      <c r="D17" s="2"/>
    </row>
    <row r="18" spans="1:4" s="3" customFormat="1" ht="31.5" customHeight="1" x14ac:dyDescent="0.2">
      <c r="B18" s="649" t="s">
        <v>606</v>
      </c>
      <c r="C18" s="2"/>
      <c r="D18" s="2"/>
    </row>
    <row r="19" spans="1:4" s="3" customFormat="1" ht="45" customHeight="1" x14ac:dyDescent="0.2">
      <c r="B19" s="649" t="s">
        <v>607</v>
      </c>
      <c r="C19" s="2"/>
      <c r="D19" s="2"/>
    </row>
    <row r="20" spans="1:4" s="3" customFormat="1" ht="45" customHeight="1" x14ac:dyDescent="0.2">
      <c r="B20" s="649" t="s">
        <v>681</v>
      </c>
      <c r="C20" s="2"/>
      <c r="D20" s="2"/>
    </row>
    <row r="21" spans="1:4" s="3" customFormat="1" ht="30.75" customHeight="1" x14ac:dyDescent="0.2">
      <c r="B21" s="649" t="s">
        <v>878</v>
      </c>
      <c r="C21" s="2"/>
      <c r="D21" s="2"/>
    </row>
    <row r="22" spans="1:4" s="3" customFormat="1" ht="42.75" x14ac:dyDescent="0.2">
      <c r="B22" s="649" t="s">
        <v>680</v>
      </c>
      <c r="C22" s="2"/>
      <c r="D22" s="2"/>
    </row>
    <row r="23" spans="1:4" s="3" customFormat="1" ht="16.5" customHeight="1" x14ac:dyDescent="0.25">
      <c r="A23" s="2"/>
      <c r="B23"/>
      <c r="C23" s="2"/>
      <c r="D23" s="2"/>
    </row>
    <row r="24" spans="1:4" s="3" customFormat="1" ht="15" x14ac:dyDescent="0.2">
      <c r="C24" s="2"/>
      <c r="D24" s="2"/>
    </row>
    <row r="25" spans="1:4" s="3" customFormat="1" x14ac:dyDescent="0.25">
      <c r="B25"/>
    </row>
    <row r="26" spans="1:4" s="3" customFormat="1" x14ac:dyDescent="0.25">
      <c r="B26"/>
      <c r="C26" s="2"/>
      <c r="D26" s="2"/>
    </row>
    <row r="27" spans="1:4" s="3" customFormat="1" ht="16.5" customHeight="1" x14ac:dyDescent="0.25">
      <c r="B27"/>
    </row>
  </sheetData>
  <sheetProtection password="CAB5" sheet="1" objects="1" scenarios="1"/>
  <customSheetViews>
    <customSheetView guid="{3EA4A73F-A388-49D1-AD67-268667AF56E2}" showRuler="0" topLeftCell="A16">
      <selection activeCell="B25" sqref="B25"/>
      <pageMargins left="0.75" right="0.75" top="1" bottom="1" header="0.5" footer="0.5"/>
      <pageSetup paperSize="9" orientation="portrait" horizontalDpi="4294967293" verticalDpi="4294967293" r:id="rId1"/>
      <headerFooter alignWithMargins="0"/>
    </customSheetView>
  </customSheetViews>
  <phoneticPr fontId="0" type="noConversion"/>
  <hyperlinks>
    <hyperlink ref="B26" location="'Calculation Sheet'!A1" tooltip="To go to the calculation sheet click here" display="Calculation sheet"/>
  </hyperlinks>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5265" r:id="rId5" name="Button 1105">
              <controlPr defaultSize="0" print="0" autoFill="0" autoPict="0" macro="[0]!Goto_HomeHelp">
                <anchor>
                  <from>
                    <xdr:col>0</xdr:col>
                    <xdr:colOff>609600</xdr:colOff>
                    <xdr:row>1</xdr:row>
                    <xdr:rowOff>123825</xdr:rowOff>
                  </from>
                  <to>
                    <xdr:col>1</xdr:col>
                    <xdr:colOff>1152525</xdr:colOff>
                    <xdr:row>1</xdr:row>
                    <xdr:rowOff>504825</xdr:rowOff>
                  </to>
                </anchor>
              </controlPr>
            </control>
          </mc:Choice>
        </mc:AlternateContent>
        <mc:AlternateContent xmlns:mc="http://schemas.openxmlformats.org/markup-compatibility/2006">
          <mc:Choice Requires="x14">
            <control shapeId="1885266" r:id="rId6" name="Button 1106">
              <controlPr defaultSize="0" print="0" autoFill="0" autoPict="0" macro="[0]!Goto_Database1">
                <anchor>
                  <from>
                    <xdr:col>1</xdr:col>
                    <xdr:colOff>5286375</xdr:colOff>
                    <xdr:row>1</xdr:row>
                    <xdr:rowOff>123825</xdr:rowOff>
                  </from>
                  <to>
                    <xdr:col>2</xdr:col>
                    <xdr:colOff>85725</xdr:colOff>
                    <xdr:row>1</xdr:row>
                    <xdr:rowOff>514350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B6"/>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c r="B1" s="6"/>
    </row>
    <row r="2" spans="2:2" s="658" customFormat="1" ht="45" customHeight="1" x14ac:dyDescent="0.2">
      <c r="B2" s="659" t="s">
        <v>600</v>
      </c>
    </row>
    <row r="3" spans="2:2" s="658" customFormat="1" ht="9.9499999999999993" customHeight="1" x14ac:dyDescent="0.2">
      <c r="B3" s="659"/>
    </row>
    <row r="4" spans="2:2" s="111" customFormat="1" ht="105.95" customHeight="1" x14ac:dyDescent="0.2">
      <c r="B4" s="449" t="s">
        <v>781</v>
      </c>
    </row>
    <row r="5" spans="2:2" s="111" customFormat="1" ht="48.75" customHeight="1" x14ac:dyDescent="0.2">
      <c r="B5" s="449" t="s">
        <v>277</v>
      </c>
    </row>
    <row r="6" spans="2:2" s="111" customFormat="1" ht="48.75" customHeight="1" x14ac:dyDescent="0.2">
      <c r="B6" s="449" t="s">
        <v>243</v>
      </c>
    </row>
  </sheetData>
  <sheetProtection password="CAB5" sheet="1" objects="1" scenarios="1"/>
  <customSheetViews>
    <customSheetView guid="{662328B1-0775-4F70-9698-998A355FC5BA}" colorId="43" showGridLines="0" showRowCol="0" outlineSymbols="0" printArea="1" showRuler="0">
      <selection activeCell="B10" sqref="B10"/>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colorId="43" showGridLines="0" showRuler="0">
      <selection activeCell="B3" sqref="B3"/>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showRowCol="0" showRuler="0">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2397" r:id="rId14" name="Button 1069">
              <controlPr defaultSize="0" print="0" autoFill="0" autoPict="0" macro="[0]!Goto_HomeHelp">
                <anchor>
                  <from>
                    <xdr:col>0</xdr:col>
                    <xdr:colOff>495300</xdr:colOff>
                    <xdr:row>1</xdr:row>
                    <xdr:rowOff>133350</xdr:rowOff>
                  </from>
                  <to>
                    <xdr:col>1</xdr:col>
                    <xdr:colOff>1038225</xdr:colOff>
                    <xdr:row>1</xdr:row>
                    <xdr:rowOff>504825</xdr:rowOff>
                  </to>
                </anchor>
              </controlPr>
            </control>
          </mc:Choice>
        </mc:AlternateContent>
        <mc:AlternateContent xmlns:mc="http://schemas.openxmlformats.org/markup-compatibility/2006">
          <mc:Choice Requires="x14">
            <control shapeId="1892400" r:id="rId15" name="Button 1072">
              <controlPr defaultSize="0" print="0" autoFill="0" autoPict="0" macro="[0]!Goto_Database1">
                <anchor>
                  <from>
                    <xdr:col>9</xdr:col>
                    <xdr:colOff>238125</xdr:colOff>
                    <xdr:row>1</xdr:row>
                    <xdr:rowOff>400050</xdr:rowOff>
                  </from>
                  <to>
                    <xdr:col>11</xdr:col>
                    <xdr:colOff>9525</xdr:colOff>
                    <xdr:row>3</xdr:row>
                    <xdr:rowOff>95250</xdr:rowOff>
                  </to>
                </anchor>
              </controlPr>
            </control>
          </mc:Choice>
        </mc:AlternateContent>
        <mc:AlternateContent xmlns:mc="http://schemas.openxmlformats.org/markup-compatibility/2006">
          <mc:Choice Requires="x14">
            <control shapeId="1892401" r:id="rId16" name="Button 1073">
              <controlPr defaultSize="0" print="0" autoFill="0" autoPict="0" macro="[0]!Return_FBM_Sheet">
                <anchor>
                  <from>
                    <xdr:col>1</xdr:col>
                    <xdr:colOff>5362575</xdr:colOff>
                    <xdr:row>1</xdr:row>
                    <xdr:rowOff>114300</xdr:rowOff>
                  </from>
                  <to>
                    <xdr:col>2</xdr:col>
                    <xdr:colOff>161925</xdr:colOff>
                    <xdr:row>1</xdr:row>
                    <xdr:rowOff>504825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B1:B9"/>
  <sheetViews>
    <sheetView showGridLines="0" showRowColHeaders="0" zoomScaleNormal="10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45" customHeight="1" x14ac:dyDescent="0.2">
      <c r="B2" s="660" t="s">
        <v>749</v>
      </c>
    </row>
    <row r="3" spans="2:2" ht="9.9499999999999993" customHeight="1" x14ac:dyDescent="0.2">
      <c r="B3" s="11"/>
    </row>
    <row r="4" spans="2:2" ht="42.75" x14ac:dyDescent="0.2">
      <c r="B4" s="922" t="s">
        <v>780</v>
      </c>
    </row>
    <row r="5" spans="2:2" ht="33.75" customHeight="1" x14ac:dyDescent="0.2">
      <c r="B5" s="922" t="s">
        <v>905</v>
      </c>
    </row>
    <row r="6" spans="2:2" ht="77.25" customHeight="1" x14ac:dyDescent="0.2">
      <c r="B6" s="922" t="s">
        <v>906</v>
      </c>
    </row>
    <row r="7" spans="2:2" ht="48.75" customHeight="1" x14ac:dyDescent="0.2">
      <c r="B7" s="922" t="s">
        <v>879</v>
      </c>
    </row>
    <row r="8" spans="2:2" ht="48" customHeight="1" x14ac:dyDescent="0.2">
      <c r="B8" s="922" t="s">
        <v>911</v>
      </c>
    </row>
    <row r="9" spans="2:2" ht="46.5" customHeight="1" x14ac:dyDescent="0.2">
      <c r="B9" s="922" t="s">
        <v>880</v>
      </c>
    </row>
  </sheetData>
  <sheetProtection password="CAB5" sheet="1" objects="1" scenarios="1"/>
  <customSheetViews>
    <customSheetView guid="{662328B1-0775-4F70-9698-998A355FC5BA}" colorId="43" showGridLines="0" printArea="1" showRuler="0">
      <selection activeCell="B8" sqref="B8:C8"/>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colorId="43" showGridLines="0" showRuler="0">
      <selection activeCell="B5" sqref="B5"/>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showRowCol="0" showRuler="0">
      <selection activeCell="B9" sqref="B9"/>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4464" r:id="rId14" name="Button 1088">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1894465" r:id="rId15" name="Button 1089">
              <controlPr defaultSize="0" print="0" autoFill="0" autoPict="0" macro="[0]!Goto_PivotTable1">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autoPageBreaks="0"/>
  </sheetPr>
  <dimension ref="B1:B9"/>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53.25" customHeight="1" x14ac:dyDescent="0.2">
      <c r="B2" s="660" t="s">
        <v>748</v>
      </c>
    </row>
    <row r="3" spans="2:2" ht="27.75" customHeight="1" x14ac:dyDescent="0.2">
      <c r="B3" s="110" t="s">
        <v>817</v>
      </c>
    </row>
    <row r="4" spans="2:2" ht="45.75" customHeight="1" x14ac:dyDescent="0.2">
      <c r="B4" s="110" t="s">
        <v>875</v>
      </c>
    </row>
    <row r="5" spans="2:2" ht="42.75" x14ac:dyDescent="0.2">
      <c r="B5" s="110" t="s">
        <v>917</v>
      </c>
    </row>
    <row r="6" spans="2:2" ht="60" customHeight="1" x14ac:dyDescent="0.2">
      <c r="B6" s="110" t="s">
        <v>918</v>
      </c>
    </row>
    <row r="7" spans="2:2" ht="30" customHeight="1" x14ac:dyDescent="0.2">
      <c r="B7" s="110" t="s">
        <v>818</v>
      </c>
    </row>
    <row r="8" spans="2:2" ht="30.75" customHeight="1" x14ac:dyDescent="0.2">
      <c r="B8" s="110" t="s">
        <v>745</v>
      </c>
    </row>
    <row r="9" spans="2:2" ht="46.5" customHeight="1" x14ac:dyDescent="0.2">
      <c r="B9" s="110" t="s">
        <v>919</v>
      </c>
    </row>
  </sheetData>
  <sheetProtection password="CAB5" sheet="1" objects="1" scenarios="1"/>
  <pageMargins left="0.75" right="0.75" top="1" bottom="1" header="0.5" footer="0.5"/>
  <pageSetup paperSize="9" scale="65" orientation="portrait" horizontalDpi="4294967293" verticalDpi="4294967293"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241857" r:id="rId4" name="Button 1">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5241858" r:id="rId5" name="Button 2">
              <controlPr defaultSize="0" print="0" autoFill="0" autoPict="0" macro="[0]!GoTo_LogsCalculator">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B6"/>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2:2" ht="15" customHeight="1" x14ac:dyDescent="0.25"/>
    <row r="2" spans="2:2" ht="45" customHeight="1" x14ac:dyDescent="0.25">
      <c r="B2" s="660" t="s">
        <v>599</v>
      </c>
    </row>
    <row r="3" spans="2:2" ht="9.9499999999999993" customHeight="1" x14ac:dyDescent="0.25"/>
    <row r="4" spans="2:2" ht="33" customHeight="1" x14ac:dyDescent="0.25">
      <c r="B4" s="667" t="s">
        <v>750</v>
      </c>
    </row>
    <row r="5" spans="2:2" ht="25.5" x14ac:dyDescent="0.25">
      <c r="B5" s="667" t="s">
        <v>605</v>
      </c>
    </row>
    <row r="6" spans="2:2" ht="12.75" customHeight="1" x14ac:dyDescent="0.25"/>
  </sheetData>
  <sheetProtection password=""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0177" r:id="rId3" name="Button 1">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B1:D71"/>
  <sheetViews>
    <sheetView showGridLines="0" showRowColHeaders="0" workbookViewId="0"/>
  </sheetViews>
  <sheetFormatPr defaultRowHeight="15.75" x14ac:dyDescent="0.25"/>
  <cols>
    <col min="1" max="1" width="8.77734375" customWidth="1"/>
    <col min="2" max="2" width="22" customWidth="1"/>
    <col min="3" max="3" width="49" customWidth="1"/>
    <col min="4" max="4" width="38.109375" customWidth="1"/>
  </cols>
  <sheetData>
    <row r="1" spans="2:4" ht="15" customHeight="1" x14ac:dyDescent="0.25"/>
    <row r="2" spans="2:4" ht="45" customHeight="1" x14ac:dyDescent="0.3">
      <c r="C2" s="1043" t="s">
        <v>901</v>
      </c>
    </row>
    <row r="3" spans="2:4" ht="9.9499999999999993" customHeight="1" x14ac:dyDescent="0.25"/>
    <row r="4" spans="2:4" ht="24.75" customHeight="1" x14ac:dyDescent="0.25">
      <c r="B4" s="1126" t="s">
        <v>863</v>
      </c>
      <c r="C4" s="1126"/>
      <c r="D4" s="1126"/>
    </row>
    <row r="5" spans="2:4" ht="15" customHeight="1" x14ac:dyDescent="0.25">
      <c r="B5" s="947" t="s">
        <v>800</v>
      </c>
      <c r="C5" s="667" t="s">
        <v>801</v>
      </c>
      <c r="D5" s="667"/>
    </row>
    <row r="6" spans="2:4" ht="15" customHeight="1" x14ac:dyDescent="0.25">
      <c r="B6" s="947" t="s">
        <v>825</v>
      </c>
      <c r="C6" s="667" t="s">
        <v>828</v>
      </c>
      <c r="D6" s="667"/>
    </row>
    <row r="7" spans="2:4" ht="15" customHeight="1" x14ac:dyDescent="0.25">
      <c r="B7" s="947" t="s">
        <v>826</v>
      </c>
      <c r="C7" s="667" t="s">
        <v>827</v>
      </c>
      <c r="D7" s="667"/>
    </row>
    <row r="8" spans="2:4" ht="15" customHeight="1" x14ac:dyDescent="0.25">
      <c r="B8" s="947" t="s">
        <v>131</v>
      </c>
      <c r="C8" s="667" t="s">
        <v>810</v>
      </c>
      <c r="D8" s="667"/>
    </row>
    <row r="9" spans="2:4" ht="15" customHeight="1" x14ac:dyDescent="0.25">
      <c r="B9" s="947" t="s">
        <v>798</v>
      </c>
      <c r="C9" s="667" t="s">
        <v>803</v>
      </c>
      <c r="D9" s="667"/>
    </row>
    <row r="10" spans="2:4" ht="15" customHeight="1" x14ac:dyDescent="0.25">
      <c r="B10" s="947" t="s">
        <v>829</v>
      </c>
      <c r="C10" s="667" t="s">
        <v>830</v>
      </c>
      <c r="D10" s="667"/>
    </row>
    <row r="11" spans="2:4" ht="15" customHeight="1" x14ac:dyDescent="0.25">
      <c r="B11" s="947" t="s">
        <v>831</v>
      </c>
      <c r="C11" s="667" t="s">
        <v>832</v>
      </c>
      <c r="D11" s="667"/>
    </row>
    <row r="12" spans="2:4" ht="15" customHeight="1" x14ac:dyDescent="0.25">
      <c r="B12" s="947" t="s">
        <v>791</v>
      </c>
      <c r="C12" s="667" t="s">
        <v>820</v>
      </c>
      <c r="D12" s="667"/>
    </row>
    <row r="13" spans="2:4" ht="15" customHeight="1" x14ac:dyDescent="0.25">
      <c r="B13" s="947" t="s">
        <v>790</v>
      </c>
      <c r="C13" s="667" t="s">
        <v>819</v>
      </c>
      <c r="D13" s="667"/>
    </row>
    <row r="14" spans="2:4" ht="15" customHeight="1" x14ac:dyDescent="0.25">
      <c r="B14" s="947" t="s">
        <v>833</v>
      </c>
      <c r="C14" s="667" t="s">
        <v>900</v>
      </c>
      <c r="D14" s="667"/>
    </row>
    <row r="15" spans="2:4" ht="15" customHeight="1" x14ac:dyDescent="0.25">
      <c r="B15" s="947" t="s">
        <v>834</v>
      </c>
      <c r="C15" s="667" t="s">
        <v>837</v>
      </c>
      <c r="D15" s="667"/>
    </row>
    <row r="16" spans="2:4" ht="15" customHeight="1" x14ac:dyDescent="0.25">
      <c r="B16" s="947" t="s">
        <v>835</v>
      </c>
      <c r="C16" s="667" t="s">
        <v>836</v>
      </c>
      <c r="D16" s="667"/>
    </row>
    <row r="17" spans="2:4" ht="15" customHeight="1" x14ac:dyDescent="0.25">
      <c r="B17" s="947" t="s">
        <v>806</v>
      </c>
      <c r="C17" s="667" t="s">
        <v>807</v>
      </c>
      <c r="D17" s="667"/>
    </row>
    <row r="18" spans="2:4" ht="15" customHeight="1" x14ac:dyDescent="0.25">
      <c r="B18" s="947" t="s">
        <v>796</v>
      </c>
      <c r="C18" s="667" t="s">
        <v>804</v>
      </c>
      <c r="D18" s="667"/>
    </row>
    <row r="19" spans="2:4" ht="15" customHeight="1" x14ac:dyDescent="0.25">
      <c r="B19" s="947" t="s">
        <v>787</v>
      </c>
      <c r="C19" s="667" t="s">
        <v>792</v>
      </c>
      <c r="D19" s="667"/>
    </row>
    <row r="20" spans="2:4" ht="15" customHeight="1" x14ac:dyDescent="0.25">
      <c r="B20" s="947" t="s">
        <v>838</v>
      </c>
      <c r="C20" s="667" t="s">
        <v>839</v>
      </c>
      <c r="D20" s="667"/>
    </row>
    <row r="21" spans="2:4" ht="15" customHeight="1" x14ac:dyDescent="0.25">
      <c r="B21" s="947" t="s">
        <v>797</v>
      </c>
      <c r="C21" s="667" t="s">
        <v>805</v>
      </c>
      <c r="D21" s="667"/>
    </row>
    <row r="22" spans="2:4" ht="15" customHeight="1" x14ac:dyDescent="0.25">
      <c r="B22" s="947" t="s">
        <v>799</v>
      </c>
      <c r="C22" s="667" t="s">
        <v>802</v>
      </c>
      <c r="D22" s="667"/>
    </row>
    <row r="23" spans="2:4" ht="15" customHeight="1" x14ac:dyDescent="0.25">
      <c r="B23" s="947" t="s">
        <v>840</v>
      </c>
      <c r="C23" s="667" t="s">
        <v>841</v>
      </c>
      <c r="D23" s="667"/>
    </row>
    <row r="24" spans="2:4" ht="15" customHeight="1" x14ac:dyDescent="0.25">
      <c r="B24" s="947" t="s">
        <v>795</v>
      </c>
      <c r="C24" s="667" t="s">
        <v>765</v>
      </c>
      <c r="D24" s="667"/>
    </row>
    <row r="25" spans="2:4" ht="15" customHeight="1" x14ac:dyDescent="0.25">
      <c r="B25" s="947" t="s">
        <v>842</v>
      </c>
      <c r="C25" s="667" t="s">
        <v>843</v>
      </c>
      <c r="D25" s="667"/>
    </row>
    <row r="26" spans="2:4" ht="15" customHeight="1" x14ac:dyDescent="0.25">
      <c r="B26" s="947" t="s">
        <v>844</v>
      </c>
      <c r="C26" s="667" t="s">
        <v>845</v>
      </c>
      <c r="D26" s="667"/>
    </row>
    <row r="27" spans="2:4" ht="15" customHeight="1" x14ac:dyDescent="0.25">
      <c r="B27" s="947" t="s">
        <v>809</v>
      </c>
      <c r="C27" s="667" t="s">
        <v>812</v>
      </c>
      <c r="D27" s="667"/>
    </row>
    <row r="28" spans="2:4" ht="15" customHeight="1" x14ac:dyDescent="0.25">
      <c r="B28" s="947" t="s">
        <v>789</v>
      </c>
      <c r="C28" s="667" t="s">
        <v>794</v>
      </c>
      <c r="D28" s="667"/>
    </row>
    <row r="29" spans="2:4" ht="15" customHeight="1" x14ac:dyDescent="0.25">
      <c r="B29" s="947" t="s">
        <v>788</v>
      </c>
      <c r="C29" s="667" t="s">
        <v>793</v>
      </c>
      <c r="D29" s="667"/>
    </row>
    <row r="30" spans="2:4" ht="15" customHeight="1" x14ac:dyDescent="0.25">
      <c r="B30" s="947" t="s">
        <v>846</v>
      </c>
      <c r="C30" s="667" t="s">
        <v>847</v>
      </c>
      <c r="D30" s="667"/>
    </row>
    <row r="31" spans="2:4" ht="15" customHeight="1" x14ac:dyDescent="0.25">
      <c r="B31" s="947" t="s">
        <v>848</v>
      </c>
      <c r="C31" s="667" t="s">
        <v>849</v>
      </c>
      <c r="D31" s="667"/>
    </row>
    <row r="32" spans="2:4" ht="15" customHeight="1" x14ac:dyDescent="0.25">
      <c r="B32" s="947" t="s">
        <v>850</v>
      </c>
      <c r="C32" s="667" t="s">
        <v>851</v>
      </c>
      <c r="D32" s="667"/>
    </row>
    <row r="33" spans="2:4" ht="15" customHeight="1" x14ac:dyDescent="0.25">
      <c r="B33" s="947" t="s">
        <v>821</v>
      </c>
      <c r="C33" s="667" t="s">
        <v>852</v>
      </c>
      <c r="D33" s="667"/>
    </row>
    <row r="34" spans="2:4" ht="15" customHeight="1" x14ac:dyDescent="0.25">
      <c r="B34" s="947" t="s">
        <v>853</v>
      </c>
      <c r="C34" s="667" t="s">
        <v>854</v>
      </c>
      <c r="D34" s="667"/>
    </row>
    <row r="35" spans="2:4" ht="15" customHeight="1" x14ac:dyDescent="0.25">
      <c r="B35" s="947" t="s">
        <v>855</v>
      </c>
      <c r="C35" s="667" t="s">
        <v>856</v>
      </c>
      <c r="D35" s="667"/>
    </row>
    <row r="36" spans="2:4" ht="15" customHeight="1" x14ac:dyDescent="0.25">
      <c r="B36" s="947" t="s">
        <v>857</v>
      </c>
      <c r="C36" s="667" t="s">
        <v>858</v>
      </c>
      <c r="D36" s="667"/>
    </row>
    <row r="37" spans="2:4" ht="15" customHeight="1" x14ac:dyDescent="0.25">
      <c r="B37" s="947" t="s">
        <v>859</v>
      </c>
      <c r="C37" s="667" t="s">
        <v>860</v>
      </c>
      <c r="D37" s="667"/>
    </row>
    <row r="38" spans="2:4" ht="15" customHeight="1" x14ac:dyDescent="0.25">
      <c r="B38" s="947" t="s">
        <v>861</v>
      </c>
      <c r="C38" s="667" t="s">
        <v>862</v>
      </c>
      <c r="D38" s="667"/>
    </row>
    <row r="39" spans="2:4" ht="15" customHeight="1" x14ac:dyDescent="0.25">
      <c r="B39" s="947" t="s">
        <v>808</v>
      </c>
      <c r="C39" s="667" t="s">
        <v>811</v>
      </c>
      <c r="D39" s="667"/>
    </row>
    <row r="40" spans="2:4" ht="15" customHeight="1" x14ac:dyDescent="0.25">
      <c r="B40" s="947"/>
      <c r="C40" s="667"/>
      <c r="D40" s="667"/>
    </row>
    <row r="41" spans="2:4" ht="15" customHeight="1" x14ac:dyDescent="0.25">
      <c r="B41" s="947"/>
      <c r="C41" s="667"/>
      <c r="D41" s="667"/>
    </row>
    <row r="42" spans="2:4" ht="15" customHeight="1" x14ac:dyDescent="0.25">
      <c r="B42" s="947"/>
      <c r="C42" s="667"/>
      <c r="D42" s="667"/>
    </row>
    <row r="43" spans="2:4" ht="15" customHeight="1" x14ac:dyDescent="0.25">
      <c r="B43" s="947"/>
      <c r="C43" s="667"/>
      <c r="D43" s="667"/>
    </row>
    <row r="44" spans="2:4" x14ac:dyDescent="0.25">
      <c r="B44" s="947"/>
      <c r="C44" s="667"/>
      <c r="D44" s="667"/>
    </row>
    <row r="45" spans="2:4" x14ac:dyDescent="0.25">
      <c r="B45" s="947"/>
      <c r="C45" s="667"/>
      <c r="D45" s="667"/>
    </row>
    <row r="46" spans="2:4" x14ac:dyDescent="0.25">
      <c r="B46" s="947"/>
      <c r="C46" s="667"/>
      <c r="D46" s="667"/>
    </row>
    <row r="47" spans="2:4" x14ac:dyDescent="0.25">
      <c r="B47" s="947"/>
      <c r="C47" s="667"/>
      <c r="D47" s="667"/>
    </row>
    <row r="48" spans="2:4" x14ac:dyDescent="0.25">
      <c r="B48" s="947"/>
      <c r="C48" s="667"/>
      <c r="D48" s="667"/>
    </row>
    <row r="49" spans="2:4" x14ac:dyDescent="0.25">
      <c r="B49" s="947"/>
      <c r="C49" s="667"/>
      <c r="D49" s="667"/>
    </row>
    <row r="50" spans="2:4" x14ac:dyDescent="0.25">
      <c r="B50" s="947"/>
      <c r="C50" s="667"/>
      <c r="D50" s="667"/>
    </row>
    <row r="51" spans="2:4" x14ac:dyDescent="0.25">
      <c r="B51" s="947"/>
      <c r="C51" s="667"/>
      <c r="D51" s="667"/>
    </row>
    <row r="52" spans="2:4" x14ac:dyDescent="0.25">
      <c r="B52" s="947"/>
      <c r="C52" s="667"/>
      <c r="D52" s="667"/>
    </row>
    <row r="53" spans="2:4" x14ac:dyDescent="0.25">
      <c r="B53" s="947"/>
    </row>
    <row r="54" spans="2:4" x14ac:dyDescent="0.25">
      <c r="B54" s="947"/>
    </row>
    <row r="55" spans="2:4" x14ac:dyDescent="0.25">
      <c r="B55" s="947"/>
    </row>
    <row r="56" spans="2:4" x14ac:dyDescent="0.25">
      <c r="B56" s="947"/>
    </row>
    <row r="57" spans="2:4" x14ac:dyDescent="0.25">
      <c r="B57" s="947"/>
    </row>
    <row r="58" spans="2:4" x14ac:dyDescent="0.25">
      <c r="B58" s="947"/>
    </row>
    <row r="59" spans="2:4" x14ac:dyDescent="0.25">
      <c r="B59" s="947"/>
    </row>
    <row r="60" spans="2:4" x14ac:dyDescent="0.25">
      <c r="B60" s="947"/>
    </row>
    <row r="61" spans="2:4" x14ac:dyDescent="0.25">
      <c r="B61" s="947"/>
    </row>
    <row r="62" spans="2:4" x14ac:dyDescent="0.25">
      <c r="B62" s="947"/>
    </row>
    <row r="63" spans="2:4" x14ac:dyDescent="0.25">
      <c r="B63" s="947"/>
    </row>
    <row r="64" spans="2:4" x14ac:dyDescent="0.25">
      <c r="B64" s="947"/>
    </row>
    <row r="65" spans="2:2" x14ac:dyDescent="0.25">
      <c r="B65" s="947"/>
    </row>
    <row r="66" spans="2:2" x14ac:dyDescent="0.25">
      <c r="B66" s="947"/>
    </row>
    <row r="67" spans="2:2" x14ac:dyDescent="0.25">
      <c r="B67" s="947"/>
    </row>
    <row r="68" spans="2:2" x14ac:dyDescent="0.25">
      <c r="B68" s="947"/>
    </row>
    <row r="69" spans="2:2" x14ac:dyDescent="0.25">
      <c r="B69" s="947"/>
    </row>
    <row r="70" spans="2:2" x14ac:dyDescent="0.25">
      <c r="B70" s="947"/>
    </row>
    <row r="71" spans="2:2" x14ac:dyDescent="0.25">
      <c r="B71" s="947"/>
    </row>
  </sheetData>
  <sheetProtection password="" sheet="1" objects="1" scenarios="1"/>
  <mergeCells count="1">
    <mergeCell ref="B4:D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2129" r:id="rId4" name="Button 1">
              <controlPr defaultSize="0" print="0" autoFill="0" autoPict="0" macro="[0]!Goto_HomeHelp">
                <anchor>
                  <from>
                    <xdr:col>0</xdr:col>
                    <xdr:colOff>476250</xdr:colOff>
                    <xdr:row>1</xdr:row>
                    <xdr:rowOff>161925</xdr:rowOff>
                  </from>
                  <to>
                    <xdr:col>1</xdr:col>
                    <xdr:colOff>1019175</xdr:colOff>
                    <xdr:row>1</xdr:row>
                    <xdr:rowOff>533400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filterMode="1"/>
  <dimension ref="A1:AC261"/>
  <sheetViews>
    <sheetView showGridLines="0" showRowColHeaders="0" topLeftCell="B1" workbookViewId="0"/>
  </sheetViews>
  <sheetFormatPr defaultRowHeight="15.75" x14ac:dyDescent="0.25"/>
  <cols>
    <col min="1" max="1" width="14.21875" hidden="1" customWidth="1"/>
    <col min="2" max="2" width="1.77734375" style="106" customWidth="1"/>
    <col min="3" max="3" width="11.5546875" style="61" customWidth="1"/>
    <col min="4" max="4" width="42" customWidth="1"/>
    <col min="5" max="5" width="5.77734375" style="58" customWidth="1"/>
    <col min="6" max="6" width="6.88671875" style="58" hidden="1" customWidth="1"/>
    <col min="7" max="7" width="5.77734375" style="58" hidden="1" customWidth="1"/>
    <col min="8" max="8" width="7.21875" style="58" hidden="1" customWidth="1"/>
    <col min="9" max="9" width="6.109375" style="58" hidden="1" customWidth="1"/>
    <col min="10" max="10" width="5.77734375" style="58" hidden="1" customWidth="1"/>
    <col min="11" max="11" width="6.21875" style="58" hidden="1" customWidth="1"/>
    <col min="12" max="12" width="10" style="58" hidden="1" customWidth="1"/>
    <col min="13" max="13" width="9.21875" style="58" hidden="1" customWidth="1"/>
    <col min="14" max="14" width="6.77734375" style="58" hidden="1" customWidth="1"/>
    <col min="15" max="15" width="5.77734375" style="58" customWidth="1"/>
    <col min="16" max="16" width="6.5546875" style="285" customWidth="1"/>
    <col min="17" max="17" width="6.88671875" style="285" customWidth="1"/>
    <col min="18" max="18" width="5.5546875" style="285" customWidth="1"/>
    <col min="19" max="19" width="9.21875" style="285" customWidth="1"/>
    <col min="20" max="20" width="7.77734375" style="285" customWidth="1"/>
    <col min="21" max="21" width="6.33203125" style="285" customWidth="1"/>
    <col min="22" max="22" width="7.44140625" style="285" customWidth="1"/>
    <col min="23" max="26" width="5.5546875" style="285" customWidth="1"/>
    <col min="27" max="28" width="8.88671875" style="285" customWidth="1"/>
    <col min="29" max="29" width="8.88671875" style="285"/>
  </cols>
  <sheetData>
    <row r="1" spans="1:29" ht="10.5" customHeight="1" x14ac:dyDescent="0.25">
      <c r="A1" s="470"/>
    </row>
    <row r="2" spans="1:29" ht="20.100000000000001" customHeight="1" x14ac:dyDescent="0.3">
      <c r="C2"/>
      <c r="D2" s="64"/>
      <c r="E2" s="107" t="s">
        <v>299</v>
      </c>
      <c r="H2" s="64"/>
      <c r="I2" s="64"/>
      <c r="J2" s="64"/>
      <c r="K2" s="64"/>
      <c r="L2" s="64"/>
    </row>
    <row r="3" spans="1:29" ht="20.100000000000001" customHeight="1" x14ac:dyDescent="0.25">
      <c r="C3"/>
      <c r="D3" s="32"/>
      <c r="E3" s="41"/>
      <c r="F3" s="41"/>
      <c r="G3" s="41"/>
      <c r="H3" s="41"/>
      <c r="I3" s="41"/>
      <c r="J3" s="41"/>
      <c r="L3" s="41"/>
    </row>
    <row r="4" spans="1:29" ht="6.75" customHeight="1" x14ac:dyDescent="0.25">
      <c r="C4" s="109"/>
      <c r="D4" s="32"/>
      <c r="E4" s="41"/>
      <c r="F4" s="41"/>
      <c r="G4" s="41"/>
      <c r="H4" s="41"/>
      <c r="I4" s="41"/>
      <c r="J4" s="41"/>
      <c r="K4" s="83"/>
      <c r="L4" s="41"/>
      <c r="N4" s="108"/>
      <c r="O4" s="108"/>
    </row>
    <row r="5" spans="1:29" s="32" customFormat="1" ht="6.75" hidden="1" customHeight="1" x14ac:dyDescent="0.25">
      <c r="B5" s="104"/>
      <c r="C5" s="472"/>
      <c r="D5" s="473"/>
      <c r="E5" s="474"/>
      <c r="F5" s="474"/>
      <c r="G5" s="474"/>
      <c r="H5" s="474"/>
      <c r="I5" s="474"/>
      <c r="J5" s="474"/>
      <c r="K5" s="474"/>
      <c r="L5" s="474"/>
      <c r="M5" s="241"/>
      <c r="N5" s="476"/>
      <c r="O5" s="476"/>
      <c r="P5" s="477"/>
      <c r="Q5" s="286"/>
      <c r="R5" s="286"/>
      <c r="S5" s="286"/>
      <c r="T5" s="285"/>
      <c r="U5" s="285"/>
      <c r="V5" s="285"/>
      <c r="W5" s="285"/>
      <c r="X5" s="285"/>
      <c r="Y5" s="285"/>
      <c r="Z5" s="285"/>
      <c r="AA5" s="285"/>
      <c r="AB5" s="285"/>
      <c r="AC5" s="285"/>
    </row>
    <row r="6" spans="1:29" ht="17.25" hidden="1" customHeight="1" x14ac:dyDescent="0.3">
      <c r="C6" s="475"/>
      <c r="D6" s="471"/>
      <c r="E6" s="54"/>
      <c r="F6" s="54"/>
      <c r="G6" s="54"/>
      <c r="H6" s="54"/>
      <c r="I6" s="54"/>
      <c r="J6" s="54"/>
      <c r="K6" s="54"/>
      <c r="L6" s="54"/>
      <c r="M6" s="54"/>
      <c r="N6" s="241"/>
      <c r="O6" s="241"/>
      <c r="P6" s="477"/>
      <c r="R6" s="286"/>
      <c r="S6" s="286"/>
    </row>
    <row r="7" spans="1:29" ht="13.5" hidden="1" customHeight="1" x14ac:dyDescent="0.3">
      <c r="C7" s="475"/>
      <c r="D7" s="471"/>
      <c r="E7" s="54"/>
      <c r="F7" s="54"/>
      <c r="G7" s="54"/>
      <c r="H7" s="54"/>
      <c r="I7" s="54"/>
      <c r="J7" s="54"/>
      <c r="K7" s="54"/>
      <c r="L7" s="54"/>
      <c r="M7" s="54"/>
      <c r="N7" s="241"/>
      <c r="O7" s="241"/>
      <c r="P7" s="477"/>
      <c r="Q7" s="286"/>
      <c r="R7" s="286"/>
      <c r="S7" s="286"/>
    </row>
    <row r="8" spans="1:29" ht="6.75" customHeight="1" x14ac:dyDescent="0.25">
      <c r="C8" s="62"/>
      <c r="D8" s="1"/>
      <c r="E8" s="59"/>
      <c r="F8" s="60"/>
      <c r="G8" s="59"/>
      <c r="H8" s="59"/>
      <c r="I8" s="59"/>
      <c r="J8" s="59"/>
      <c r="K8" s="59"/>
      <c r="L8" s="59"/>
      <c r="M8" s="59"/>
      <c r="N8" s="59"/>
      <c r="O8" s="59"/>
      <c r="P8" s="286"/>
      <c r="Q8" s="286"/>
      <c r="R8" s="286"/>
      <c r="S8" s="286"/>
    </row>
    <row r="9" spans="1:29" ht="20.25" customHeight="1" x14ac:dyDescent="0.25">
      <c r="A9" s="566"/>
      <c r="C9" s="854"/>
      <c r="D9" s="542"/>
      <c r="E9" s="543" t="s">
        <v>314</v>
      </c>
      <c r="F9" s="543"/>
      <c r="G9" s="543"/>
      <c r="H9" s="543"/>
      <c r="I9" s="543"/>
      <c r="J9" s="543"/>
      <c r="K9" s="543"/>
      <c r="L9" s="543"/>
      <c r="M9" s="543"/>
      <c r="N9" s="855"/>
      <c r="O9" s="543"/>
      <c r="P9" s="543"/>
      <c r="Q9" s="546"/>
      <c r="R9" s="543"/>
      <c r="S9" s="543"/>
      <c r="T9" s="543"/>
      <c r="U9" s="543"/>
      <c r="V9" s="543"/>
      <c r="W9" s="543"/>
      <c r="X9" s="543"/>
      <c r="Y9" s="543"/>
      <c r="Z9" s="547"/>
    </row>
    <row r="10" spans="1:29" ht="39.950000000000003" customHeight="1" x14ac:dyDescent="0.25">
      <c r="A10" s="566"/>
      <c r="C10" s="544"/>
      <c r="D10" s="545"/>
      <c r="E10" s="516" t="s">
        <v>330</v>
      </c>
      <c r="F10" s="517" t="s">
        <v>245</v>
      </c>
      <c r="G10" s="517" t="s">
        <v>246</v>
      </c>
      <c r="H10" s="517" t="s">
        <v>119</v>
      </c>
      <c r="I10" s="517" t="s">
        <v>641</v>
      </c>
      <c r="J10" s="517" t="s">
        <v>643</v>
      </c>
      <c r="K10" s="517" t="s">
        <v>645</v>
      </c>
      <c r="L10" s="517" t="s">
        <v>646</v>
      </c>
      <c r="M10" s="517" t="s">
        <v>648</v>
      </c>
      <c r="N10" s="518" t="s">
        <v>649</v>
      </c>
      <c r="O10" s="517" t="s">
        <v>281</v>
      </c>
      <c r="P10" s="517" t="s">
        <v>313</v>
      </c>
      <c r="Q10" s="517" t="s">
        <v>283</v>
      </c>
      <c r="R10" s="517" t="s">
        <v>284</v>
      </c>
      <c r="S10" s="517" t="s">
        <v>351</v>
      </c>
      <c r="T10" s="517" t="s">
        <v>285</v>
      </c>
      <c r="U10" s="517" t="s">
        <v>352</v>
      </c>
      <c r="V10" s="517" t="s">
        <v>286</v>
      </c>
      <c r="W10" s="517" t="s">
        <v>287</v>
      </c>
      <c r="X10" s="517" t="s">
        <v>288</v>
      </c>
      <c r="Y10" s="517" t="s">
        <v>289</v>
      </c>
      <c r="Z10" s="548" t="s">
        <v>290</v>
      </c>
    </row>
    <row r="11" spans="1:29" ht="14.25" customHeight="1" x14ac:dyDescent="0.25">
      <c r="A11" s="473"/>
      <c r="C11" s="856" t="s">
        <v>181</v>
      </c>
      <c r="D11" s="857" t="s">
        <v>54</v>
      </c>
      <c r="E11" s="858" t="s">
        <v>117</v>
      </c>
      <c r="F11" s="859" t="s">
        <v>118</v>
      </c>
      <c r="G11" s="859" t="s">
        <v>118</v>
      </c>
      <c r="H11" s="858" t="s">
        <v>120</v>
      </c>
      <c r="I11" s="859" t="s">
        <v>120</v>
      </c>
      <c r="J11" s="859" t="s">
        <v>121</v>
      </c>
      <c r="K11" s="860" t="s">
        <v>120</v>
      </c>
      <c r="L11" s="860" t="s">
        <v>120</v>
      </c>
      <c r="M11" s="860" t="s">
        <v>348</v>
      </c>
      <c r="N11" s="861" t="s">
        <v>120</v>
      </c>
      <c r="O11" s="916" t="s">
        <v>312</v>
      </c>
      <c r="P11" s="917" t="s">
        <v>120</v>
      </c>
      <c r="Q11" s="917" t="s">
        <v>120</v>
      </c>
      <c r="R11" s="917" t="s">
        <v>120</v>
      </c>
      <c r="S11" s="917" t="s">
        <v>120</v>
      </c>
      <c r="T11" s="917" t="s">
        <v>120</v>
      </c>
      <c r="U11" s="916" t="s">
        <v>353</v>
      </c>
      <c r="V11" s="917" t="s">
        <v>279</v>
      </c>
      <c r="W11" s="917" t="s">
        <v>120</v>
      </c>
      <c r="X11" s="917" t="s">
        <v>348</v>
      </c>
      <c r="Y11" s="917" t="s">
        <v>120</v>
      </c>
      <c r="Z11" s="918" t="s">
        <v>348</v>
      </c>
      <c r="AA11"/>
      <c r="AB11"/>
      <c r="AC11"/>
    </row>
    <row r="12" spans="1:29" ht="14.25" customHeight="1" x14ac:dyDescent="0.25">
      <c r="C12" s="1096" t="s">
        <v>172</v>
      </c>
      <c r="D12" s="1097" t="s">
        <v>11</v>
      </c>
      <c r="E12" s="680">
        <v>897</v>
      </c>
      <c r="F12" s="681">
        <v>0</v>
      </c>
      <c r="G12" s="681">
        <v>99.5</v>
      </c>
      <c r="H12" s="680">
        <v>0</v>
      </c>
      <c r="I12" s="681">
        <v>0</v>
      </c>
      <c r="J12" s="680"/>
      <c r="K12" s="681">
        <v>0</v>
      </c>
      <c r="L12" s="680">
        <v>0</v>
      </c>
      <c r="M12" s="681">
        <v>0</v>
      </c>
      <c r="N12" s="681">
        <v>0.11</v>
      </c>
      <c r="O12" s="680">
        <v>0</v>
      </c>
      <c r="P12" s="682">
        <v>0</v>
      </c>
      <c r="Q12" s="682">
        <v>0</v>
      </c>
      <c r="R12" s="681">
        <v>0</v>
      </c>
      <c r="S12" s="681">
        <v>0</v>
      </c>
      <c r="T12" s="681">
        <v>0</v>
      </c>
      <c r="U12" s="681">
        <v>0</v>
      </c>
      <c r="V12" s="681">
        <v>0</v>
      </c>
      <c r="W12" s="681">
        <v>0</v>
      </c>
      <c r="X12" s="681">
        <v>2.5</v>
      </c>
      <c r="Y12" s="681">
        <v>0.6</v>
      </c>
      <c r="Z12" s="681">
        <v>0</v>
      </c>
    </row>
    <row r="13" spans="1:29" x14ac:dyDescent="0.25">
      <c r="A13" s="423"/>
      <c r="C13" s="1096" t="s">
        <v>248</v>
      </c>
      <c r="D13" s="1097" t="s">
        <v>563</v>
      </c>
      <c r="E13" s="680">
        <v>46</v>
      </c>
      <c r="F13" s="681">
        <v>0.1</v>
      </c>
      <c r="G13" s="681">
        <v>0.13</v>
      </c>
      <c r="H13" s="680">
        <v>8</v>
      </c>
      <c r="I13" s="681">
        <v>1.2E-2</v>
      </c>
      <c r="J13" s="680"/>
      <c r="K13" s="681">
        <v>0.12</v>
      </c>
      <c r="L13" s="680">
        <v>5</v>
      </c>
      <c r="M13" s="681">
        <v>0.1</v>
      </c>
      <c r="N13" s="681">
        <v>0.02</v>
      </c>
      <c r="O13" s="680">
        <v>0</v>
      </c>
      <c r="P13" s="682">
        <v>2.1000000000000001E-2</v>
      </c>
      <c r="Q13" s="682">
        <v>1.7000000000000001E-2</v>
      </c>
      <c r="R13" s="681">
        <v>7.2999999999999995E-2</v>
      </c>
      <c r="S13" s="681">
        <v>4.9000000000000002E-2</v>
      </c>
      <c r="T13" s="681">
        <v>1.7999999999999999E-2</v>
      </c>
      <c r="U13" s="681">
        <v>0</v>
      </c>
      <c r="V13" s="681">
        <v>0</v>
      </c>
      <c r="W13" s="681">
        <v>0.9</v>
      </c>
      <c r="X13" s="681">
        <v>0</v>
      </c>
      <c r="Y13" s="681">
        <v>0.01</v>
      </c>
      <c r="Z13" s="681">
        <v>0</v>
      </c>
      <c r="AA13"/>
      <c r="AB13"/>
      <c r="AC13"/>
    </row>
    <row r="14" spans="1:29" x14ac:dyDescent="0.25">
      <c r="C14" s="1096" t="s">
        <v>248</v>
      </c>
      <c r="D14" s="1097" t="s">
        <v>544</v>
      </c>
      <c r="E14" s="680">
        <v>52</v>
      </c>
      <c r="F14" s="681">
        <v>0.26</v>
      </c>
      <c r="G14" s="681">
        <v>0.17</v>
      </c>
      <c r="H14" s="680">
        <v>6</v>
      </c>
      <c r="I14" s="681">
        <v>2.7E-2</v>
      </c>
      <c r="J14" s="680"/>
      <c r="K14" s="681">
        <v>0.12</v>
      </c>
      <c r="L14" s="680">
        <v>5</v>
      </c>
      <c r="M14" s="681">
        <v>0</v>
      </c>
      <c r="N14" s="681">
        <v>0.04</v>
      </c>
      <c r="O14" s="680">
        <v>3</v>
      </c>
      <c r="P14" s="682">
        <v>1.7000000000000001E-2</v>
      </c>
      <c r="Q14" s="682">
        <v>2.5999999999999999E-2</v>
      </c>
      <c r="R14" s="681">
        <v>9.0999999999999998E-2</v>
      </c>
      <c r="S14" s="681">
        <v>6.0999999999999999E-2</v>
      </c>
      <c r="T14" s="681">
        <v>4.1000000000000002E-2</v>
      </c>
      <c r="U14" s="681">
        <v>3</v>
      </c>
      <c r="V14" s="681">
        <v>0</v>
      </c>
      <c r="W14" s="681">
        <v>4.5999999999999996</v>
      </c>
      <c r="X14" s="681">
        <v>0</v>
      </c>
      <c r="Y14" s="681">
        <v>0.18</v>
      </c>
      <c r="Z14" s="681">
        <v>2.2000000000000002</v>
      </c>
      <c r="AA14"/>
      <c r="AB14"/>
      <c r="AC14"/>
    </row>
    <row r="15" spans="1:29" x14ac:dyDescent="0.25">
      <c r="A15" s="65"/>
      <c r="C15" s="1096" t="s">
        <v>248</v>
      </c>
      <c r="D15" s="1097" t="s">
        <v>12</v>
      </c>
      <c r="E15" s="683">
        <v>320</v>
      </c>
      <c r="F15" s="684">
        <v>4.9000000000000004</v>
      </c>
      <c r="G15" s="684">
        <v>0.62</v>
      </c>
      <c r="H15" s="683">
        <v>61</v>
      </c>
      <c r="I15" s="684">
        <v>0.57599999999999996</v>
      </c>
      <c r="J15" s="683"/>
      <c r="K15" s="684">
        <v>6.31</v>
      </c>
      <c r="L15" s="683">
        <v>63</v>
      </c>
      <c r="M15" s="684"/>
      <c r="N15" s="684">
        <v>1</v>
      </c>
      <c r="O15" s="683">
        <v>633</v>
      </c>
      <c r="P15" s="685">
        <v>4.2999999999999997E-2</v>
      </c>
      <c r="Q15" s="685">
        <v>0.14799999999999999</v>
      </c>
      <c r="R15" s="684">
        <v>3.58</v>
      </c>
      <c r="S15" s="684">
        <v>1.0669999999999999</v>
      </c>
      <c r="T15" s="684">
        <v>0.52</v>
      </c>
      <c r="U15" s="684">
        <v>4</v>
      </c>
      <c r="V15" s="684">
        <v>0</v>
      </c>
      <c r="W15" s="684">
        <v>9.5</v>
      </c>
      <c r="X15" s="684">
        <v>0</v>
      </c>
      <c r="Y15" s="684"/>
      <c r="Z15" s="684"/>
      <c r="AA15"/>
      <c r="AB15"/>
      <c r="AC15"/>
    </row>
    <row r="16" spans="1:29" x14ac:dyDescent="0.25">
      <c r="A16" s="65"/>
      <c r="C16" s="1096" t="s">
        <v>248</v>
      </c>
      <c r="D16" s="1097" t="s">
        <v>13</v>
      </c>
      <c r="E16" s="683">
        <v>160</v>
      </c>
      <c r="F16" s="684">
        <v>2</v>
      </c>
      <c r="G16" s="684">
        <v>14.66</v>
      </c>
      <c r="H16" s="683">
        <v>12</v>
      </c>
      <c r="I16" s="684">
        <v>0.19</v>
      </c>
      <c r="J16" s="683"/>
      <c r="K16" s="684">
        <v>0.55000000000000004</v>
      </c>
      <c r="L16" s="683">
        <v>29</v>
      </c>
      <c r="M16" s="684">
        <v>0.4</v>
      </c>
      <c r="N16" s="684">
        <v>0.64</v>
      </c>
      <c r="O16" s="683">
        <v>7</v>
      </c>
      <c r="P16" s="685">
        <v>6.7000000000000004E-2</v>
      </c>
      <c r="Q16" s="685">
        <v>0.13</v>
      </c>
      <c r="R16" s="684">
        <v>1.738</v>
      </c>
      <c r="S16" s="684">
        <v>1.389</v>
      </c>
      <c r="T16" s="684">
        <v>0.25700000000000001</v>
      </c>
      <c r="U16" s="684">
        <v>81</v>
      </c>
      <c r="V16" s="684">
        <v>0</v>
      </c>
      <c r="W16" s="684">
        <v>10</v>
      </c>
      <c r="X16" s="684">
        <v>0</v>
      </c>
      <c r="Y16" s="684">
        <v>2.0699999999999998</v>
      </c>
      <c r="Z16" s="684">
        <v>21</v>
      </c>
      <c r="AA16"/>
      <c r="AB16"/>
      <c r="AC16"/>
    </row>
    <row r="17" spans="1:29" x14ac:dyDescent="0.25">
      <c r="A17" s="65"/>
      <c r="C17" s="1096" t="s">
        <v>248</v>
      </c>
      <c r="D17" s="1097" t="s">
        <v>14</v>
      </c>
      <c r="E17" s="683">
        <v>89</v>
      </c>
      <c r="F17" s="684">
        <v>1.0900000000000001</v>
      </c>
      <c r="G17" s="684">
        <v>0.33</v>
      </c>
      <c r="H17" s="683">
        <v>5</v>
      </c>
      <c r="I17" s="684">
        <v>7.8E-2</v>
      </c>
      <c r="J17" s="683"/>
      <c r="K17" s="684">
        <v>0.26</v>
      </c>
      <c r="L17" s="683">
        <v>27</v>
      </c>
      <c r="M17" s="684">
        <v>1</v>
      </c>
      <c r="N17" s="684">
        <v>0.15</v>
      </c>
      <c r="O17" s="683">
        <v>3</v>
      </c>
      <c r="P17" s="685">
        <v>3.1E-2</v>
      </c>
      <c r="Q17" s="685">
        <v>7.2999999999999995E-2</v>
      </c>
      <c r="R17" s="684">
        <v>0.66500000000000004</v>
      </c>
      <c r="S17" s="684">
        <v>0.33400000000000002</v>
      </c>
      <c r="T17" s="684">
        <v>0.36699999999999999</v>
      </c>
      <c r="U17" s="684">
        <v>20</v>
      </c>
      <c r="V17" s="684">
        <v>0</v>
      </c>
      <c r="W17" s="684">
        <v>8.6999999999999993</v>
      </c>
      <c r="X17" s="684">
        <v>0</v>
      </c>
      <c r="Y17" s="684">
        <v>0.1</v>
      </c>
      <c r="Z17" s="684">
        <v>0.5</v>
      </c>
      <c r="AA17"/>
      <c r="AB17"/>
      <c r="AC17"/>
    </row>
    <row r="18" spans="1:29" x14ac:dyDescent="0.25">
      <c r="A18" s="65"/>
      <c r="C18" s="1096" t="s">
        <v>175</v>
      </c>
      <c r="D18" s="1097" t="s">
        <v>946</v>
      </c>
      <c r="E18" s="680">
        <v>354</v>
      </c>
      <c r="F18" s="681">
        <v>12.48</v>
      </c>
      <c r="G18" s="681">
        <v>2.2999999999999998</v>
      </c>
      <c r="H18" s="680">
        <v>33</v>
      </c>
      <c r="I18" s="681">
        <v>0.498</v>
      </c>
      <c r="J18" s="680"/>
      <c r="K18" s="681">
        <v>3.6</v>
      </c>
      <c r="L18" s="680">
        <v>133</v>
      </c>
      <c r="M18" s="681">
        <v>37.700000000000003</v>
      </c>
      <c r="N18" s="681">
        <v>2.77</v>
      </c>
      <c r="O18" s="680">
        <v>1</v>
      </c>
      <c r="P18" s="682">
        <v>0.64600000000000002</v>
      </c>
      <c r="Q18" s="682">
        <v>0.28499999999999998</v>
      </c>
      <c r="R18" s="681">
        <v>4.6040000000000001</v>
      </c>
      <c r="S18" s="681">
        <v>0.28199999999999997</v>
      </c>
      <c r="T18" s="681">
        <v>0.318</v>
      </c>
      <c r="U18" s="681">
        <v>19</v>
      </c>
      <c r="V18" s="681">
        <v>0</v>
      </c>
      <c r="W18" s="681">
        <v>0</v>
      </c>
      <c r="X18" s="681">
        <v>0</v>
      </c>
      <c r="Y18" s="681">
        <v>0.56999999999999995</v>
      </c>
      <c r="Z18" s="681">
        <v>2.2000000000000002</v>
      </c>
      <c r="AA18"/>
      <c r="AB18"/>
      <c r="AC18"/>
    </row>
    <row r="19" spans="1:29" x14ac:dyDescent="0.25">
      <c r="A19" s="65"/>
      <c r="C19" s="1096" t="s">
        <v>173</v>
      </c>
      <c r="D19" s="1097" t="s">
        <v>940</v>
      </c>
      <c r="E19" s="683">
        <v>233</v>
      </c>
      <c r="F19" s="684">
        <v>22.98</v>
      </c>
      <c r="G19" s="684">
        <v>4.07</v>
      </c>
      <c r="H19" s="683">
        <v>2240</v>
      </c>
      <c r="I19" s="684">
        <v>2.1</v>
      </c>
      <c r="J19" s="683"/>
      <c r="K19" s="684">
        <v>89.8</v>
      </c>
      <c r="L19" s="683">
        <v>711</v>
      </c>
      <c r="M19" s="684">
        <v>3</v>
      </c>
      <c r="N19" s="684">
        <v>7.1</v>
      </c>
      <c r="O19" s="683">
        <v>37</v>
      </c>
      <c r="P19" s="685">
        <v>0.08</v>
      </c>
      <c r="Q19" s="685">
        <v>1.2</v>
      </c>
      <c r="R19" s="684">
        <v>4.9000000000000004</v>
      </c>
      <c r="S19" s="684">
        <v>0.83799999999999997</v>
      </c>
      <c r="T19" s="684">
        <v>1.34</v>
      </c>
      <c r="U19" s="684">
        <v>310</v>
      </c>
      <c r="V19" s="684">
        <v>0</v>
      </c>
      <c r="W19" s="684">
        <v>0.8</v>
      </c>
      <c r="X19" s="684">
        <v>0</v>
      </c>
      <c r="Y19" s="684">
        <v>10.7</v>
      </c>
      <c r="Z19" s="684">
        <v>1714.5</v>
      </c>
      <c r="AA19"/>
      <c r="AB19"/>
      <c r="AC19"/>
    </row>
    <row r="20" spans="1:29" x14ac:dyDescent="0.25">
      <c r="C20" s="931" t="s">
        <v>179</v>
      </c>
      <c r="D20" s="932" t="s">
        <v>564</v>
      </c>
      <c r="E20" s="683">
        <v>341</v>
      </c>
      <c r="F20" s="684">
        <v>21.6</v>
      </c>
      <c r="G20" s="684">
        <v>1.42</v>
      </c>
      <c r="H20" s="683">
        <v>123</v>
      </c>
      <c r="I20" s="684">
        <v>0.84099999999999997</v>
      </c>
      <c r="J20" s="683"/>
      <c r="K20" s="684">
        <v>5.0199999999999996</v>
      </c>
      <c r="L20" s="683">
        <v>171</v>
      </c>
      <c r="M20" s="684">
        <v>3.2</v>
      </c>
      <c r="N20" s="684">
        <v>3.65</v>
      </c>
      <c r="O20" s="683">
        <v>0</v>
      </c>
      <c r="P20" s="685">
        <v>0.9</v>
      </c>
      <c r="Q20" s="685">
        <v>0.193</v>
      </c>
      <c r="R20" s="684">
        <v>1.9550000000000001</v>
      </c>
      <c r="S20" s="684">
        <v>0.89900000000000002</v>
      </c>
      <c r="T20" s="684">
        <v>0.28599999999999998</v>
      </c>
      <c r="U20" s="684">
        <v>444</v>
      </c>
      <c r="V20" s="684">
        <v>0</v>
      </c>
      <c r="W20" s="686">
        <v>0</v>
      </c>
      <c r="X20" s="684">
        <v>0</v>
      </c>
      <c r="Y20" s="684">
        <v>0.21</v>
      </c>
      <c r="Z20" s="684">
        <v>5.6</v>
      </c>
      <c r="AA20"/>
      <c r="AB20"/>
      <c r="AC20"/>
    </row>
    <row r="21" spans="1:29" x14ac:dyDescent="0.25">
      <c r="A21" s="65"/>
      <c r="C21" s="931" t="s">
        <v>179</v>
      </c>
      <c r="D21" s="932" t="s">
        <v>9</v>
      </c>
      <c r="E21" s="683">
        <v>339.8</v>
      </c>
      <c r="F21" s="684">
        <v>22.029999999999998</v>
      </c>
      <c r="G21" s="684">
        <v>1.1659999999999999</v>
      </c>
      <c r="H21" s="683">
        <v>141.6</v>
      </c>
      <c r="I21" s="684">
        <v>0.86639999999999995</v>
      </c>
      <c r="J21" s="683"/>
      <c r="K21" s="684">
        <v>6.1999999999999993</v>
      </c>
      <c r="L21" s="683">
        <v>172.4</v>
      </c>
      <c r="M21" s="684">
        <v>13.6</v>
      </c>
      <c r="N21" s="684">
        <v>2.7160000000000002</v>
      </c>
      <c r="O21" s="683">
        <v>0</v>
      </c>
      <c r="P21" s="685">
        <v>0.68840000000000001</v>
      </c>
      <c r="Q21" s="685">
        <v>0.20480000000000001</v>
      </c>
      <c r="R21" s="684">
        <v>1.8538000000000001</v>
      </c>
      <c r="S21" s="684">
        <v>0.88080000000000003</v>
      </c>
      <c r="T21" s="684">
        <v>0.45459999999999995</v>
      </c>
      <c r="U21" s="684">
        <v>445.6</v>
      </c>
      <c r="V21" s="684">
        <v>0</v>
      </c>
      <c r="W21" s="684">
        <v>4.0250000000000004</v>
      </c>
      <c r="X21" s="684">
        <v>0</v>
      </c>
      <c r="Y21" s="684">
        <v>0.17599999999999999</v>
      </c>
      <c r="Z21" s="684">
        <v>7.7600000000000007</v>
      </c>
      <c r="AA21"/>
      <c r="AB21"/>
      <c r="AC21"/>
    </row>
    <row r="22" spans="1:29" x14ac:dyDescent="0.25">
      <c r="A22" s="480"/>
      <c r="B22" s="421"/>
      <c r="C22" s="931" t="s">
        <v>179</v>
      </c>
      <c r="D22" s="932" t="s">
        <v>565</v>
      </c>
      <c r="E22" s="683">
        <v>339</v>
      </c>
      <c r="F22" s="684">
        <v>21.86</v>
      </c>
      <c r="G22" s="684">
        <v>1.1399999999999999</v>
      </c>
      <c r="H22" s="683">
        <v>175</v>
      </c>
      <c r="I22" s="684">
        <v>0.83699999999999997</v>
      </c>
      <c r="J22" s="683"/>
      <c r="K22" s="684">
        <v>5.47</v>
      </c>
      <c r="L22" s="683">
        <v>189</v>
      </c>
      <c r="M22" s="684">
        <v>12.9</v>
      </c>
      <c r="N22" s="684">
        <v>2.31</v>
      </c>
      <c r="O22" s="683">
        <v>0</v>
      </c>
      <c r="P22" s="685">
        <v>0.65300000000000002</v>
      </c>
      <c r="Q22" s="685">
        <v>0.23699999999999999</v>
      </c>
      <c r="R22" s="684">
        <v>1.9550000000000001</v>
      </c>
      <c r="S22" s="684">
        <v>1.0980000000000001</v>
      </c>
      <c r="T22" s="684">
        <v>0.44700000000000001</v>
      </c>
      <c r="U22" s="684">
        <v>482</v>
      </c>
      <c r="V22" s="684">
        <v>0</v>
      </c>
      <c r="W22" s="684">
        <v>5.3</v>
      </c>
      <c r="X22" s="684">
        <v>0</v>
      </c>
      <c r="Y22" s="684">
        <v>0.22</v>
      </c>
      <c r="Z22" s="684">
        <v>6</v>
      </c>
      <c r="AA22"/>
      <c r="AB22"/>
      <c r="AC22"/>
    </row>
    <row r="23" spans="1:29" x14ac:dyDescent="0.25">
      <c r="A23" s="65"/>
      <c r="C23" s="931" t="s">
        <v>179</v>
      </c>
      <c r="D23" s="932" t="s">
        <v>566</v>
      </c>
      <c r="E23" s="683">
        <v>333</v>
      </c>
      <c r="F23" s="684">
        <v>23.58</v>
      </c>
      <c r="G23" s="684">
        <v>0.83</v>
      </c>
      <c r="H23" s="683">
        <v>143</v>
      </c>
      <c r="I23" s="684">
        <v>0.95799999999999996</v>
      </c>
      <c r="J23" s="683"/>
      <c r="K23" s="684">
        <v>8.1999999999999993</v>
      </c>
      <c r="L23" s="683">
        <v>140</v>
      </c>
      <c r="M23" s="684">
        <v>3.2</v>
      </c>
      <c r="N23" s="684">
        <v>2.79</v>
      </c>
      <c r="O23" s="683">
        <v>0</v>
      </c>
      <c r="P23" s="685">
        <v>0.52900000000000003</v>
      </c>
      <c r="Q23" s="685">
        <v>0.219</v>
      </c>
      <c r="R23" s="684">
        <v>2.06</v>
      </c>
      <c r="S23" s="684">
        <v>0.78</v>
      </c>
      <c r="T23" s="684">
        <v>0.39700000000000002</v>
      </c>
      <c r="U23" s="684">
        <v>394</v>
      </c>
      <c r="V23" s="684">
        <v>0</v>
      </c>
      <c r="W23" s="684">
        <v>4.5</v>
      </c>
      <c r="X23" s="684">
        <v>0</v>
      </c>
      <c r="Y23" s="684">
        <v>0.22</v>
      </c>
      <c r="Z23" s="684">
        <v>19</v>
      </c>
      <c r="AA23"/>
      <c r="AB23"/>
      <c r="AC23"/>
    </row>
    <row r="24" spans="1:29" x14ac:dyDescent="0.25">
      <c r="A24" s="65"/>
      <c r="C24" s="931" t="s">
        <v>179</v>
      </c>
      <c r="D24" s="932" t="s">
        <v>569</v>
      </c>
      <c r="E24" s="683">
        <v>337</v>
      </c>
      <c r="F24" s="684">
        <v>22.33</v>
      </c>
      <c r="G24" s="684">
        <v>1.5</v>
      </c>
      <c r="H24" s="683">
        <v>147</v>
      </c>
      <c r="I24" s="684">
        <v>0.83399999999999996</v>
      </c>
      <c r="J24" s="683"/>
      <c r="K24" s="684">
        <v>5.49</v>
      </c>
      <c r="L24" s="683">
        <v>175</v>
      </c>
      <c r="M24" s="684">
        <v>11</v>
      </c>
      <c r="N24" s="684">
        <v>3.65</v>
      </c>
      <c r="O24" s="683">
        <v>0</v>
      </c>
      <c r="P24" s="685">
        <v>0.77500000000000002</v>
      </c>
      <c r="Q24" s="685">
        <v>0.16400000000000001</v>
      </c>
      <c r="R24" s="684">
        <v>2.1880000000000002</v>
      </c>
      <c r="S24" s="684">
        <v>0.74399999999999999</v>
      </c>
      <c r="T24" s="684">
        <v>0.42799999999999999</v>
      </c>
      <c r="U24" s="684">
        <v>364</v>
      </c>
      <c r="V24" s="684">
        <v>0</v>
      </c>
      <c r="W24" s="684"/>
      <c r="X24" s="684">
        <v>0</v>
      </c>
      <c r="Y24" s="684">
        <v>0.02</v>
      </c>
      <c r="Z24" s="684">
        <v>2.5</v>
      </c>
      <c r="AA24"/>
      <c r="AB24"/>
      <c r="AC24"/>
    </row>
    <row r="25" spans="1:29" x14ac:dyDescent="0.25">
      <c r="A25" s="65"/>
      <c r="C25" s="931" t="s">
        <v>179</v>
      </c>
      <c r="D25" s="932" t="s">
        <v>567</v>
      </c>
      <c r="E25" s="683">
        <v>343</v>
      </c>
      <c r="F25" s="684">
        <v>20.96</v>
      </c>
      <c r="G25" s="684">
        <v>1.1299999999999999</v>
      </c>
      <c r="H25" s="683">
        <v>130</v>
      </c>
      <c r="I25" s="684">
        <v>0.81</v>
      </c>
      <c r="J25" s="683"/>
      <c r="K25" s="684">
        <v>6.77</v>
      </c>
      <c r="L25" s="683">
        <v>182</v>
      </c>
      <c r="M25" s="684">
        <v>13</v>
      </c>
      <c r="N25" s="684">
        <v>2.5499999999999998</v>
      </c>
      <c r="O25" s="683">
        <v>0</v>
      </c>
      <c r="P25" s="685">
        <v>0.77200000000000002</v>
      </c>
      <c r="Q25" s="685">
        <v>0.192</v>
      </c>
      <c r="R25" s="684">
        <v>1.8919999999999999</v>
      </c>
      <c r="S25" s="684">
        <v>0.997</v>
      </c>
      <c r="T25" s="684">
        <v>0.52700000000000002</v>
      </c>
      <c r="U25" s="684">
        <v>463</v>
      </c>
      <c r="V25" s="684">
        <v>0</v>
      </c>
      <c r="W25" s="684">
        <v>0</v>
      </c>
      <c r="X25" s="684">
        <v>0</v>
      </c>
      <c r="Y25" s="684">
        <v>0.21</v>
      </c>
      <c r="Z25" s="684">
        <v>5.7</v>
      </c>
      <c r="AA25"/>
      <c r="AB25"/>
      <c r="AC25"/>
    </row>
    <row r="26" spans="1:29" x14ac:dyDescent="0.25">
      <c r="A26" s="480"/>
      <c r="B26" s="421"/>
      <c r="C26" s="931" t="s">
        <v>179</v>
      </c>
      <c r="D26" s="932" t="s">
        <v>568</v>
      </c>
      <c r="E26" s="683">
        <v>347</v>
      </c>
      <c r="F26" s="684">
        <v>21.42</v>
      </c>
      <c r="G26" s="684">
        <v>1.23</v>
      </c>
      <c r="H26" s="683">
        <v>113</v>
      </c>
      <c r="I26" s="684">
        <v>0.89300000000000002</v>
      </c>
      <c r="J26" s="683"/>
      <c r="K26" s="684">
        <v>5.07</v>
      </c>
      <c r="L26" s="683">
        <v>176</v>
      </c>
      <c r="M26" s="684">
        <v>27.9</v>
      </c>
      <c r="N26" s="684">
        <v>2.2799999999999998</v>
      </c>
      <c r="O26" s="683">
        <v>0</v>
      </c>
      <c r="P26" s="685">
        <v>0.71299999999999997</v>
      </c>
      <c r="Q26" s="685">
        <v>0.21199999999999999</v>
      </c>
      <c r="R26" s="684">
        <v>1.1739999999999999</v>
      </c>
      <c r="S26" s="684">
        <v>0.78500000000000003</v>
      </c>
      <c r="T26" s="684">
        <v>0.47399999999999998</v>
      </c>
      <c r="U26" s="684">
        <v>525</v>
      </c>
      <c r="V26" s="684">
        <v>0</v>
      </c>
      <c r="W26" s="684">
        <v>6.3</v>
      </c>
      <c r="X26" s="684">
        <v>0</v>
      </c>
      <c r="Y26" s="684">
        <v>0.21</v>
      </c>
      <c r="Z26" s="684">
        <v>5.6</v>
      </c>
      <c r="AA26"/>
      <c r="AB26"/>
      <c r="AC26"/>
    </row>
    <row r="27" spans="1:29" x14ac:dyDescent="0.25">
      <c r="A27" s="65"/>
      <c r="C27" s="931" t="s">
        <v>179</v>
      </c>
      <c r="D27" s="932" t="s">
        <v>6</v>
      </c>
      <c r="E27" s="683">
        <v>446</v>
      </c>
      <c r="F27" s="684">
        <v>36.49</v>
      </c>
      <c r="G27" s="684">
        <v>19.940000000000001</v>
      </c>
      <c r="H27" s="683">
        <v>277</v>
      </c>
      <c r="I27" s="684">
        <v>1.6579999999999999</v>
      </c>
      <c r="J27" s="683"/>
      <c r="K27" s="684">
        <v>15.7</v>
      </c>
      <c r="L27" s="683">
        <v>280</v>
      </c>
      <c r="M27" s="684">
        <v>17.8</v>
      </c>
      <c r="N27" s="684">
        <v>4.8899999999999997</v>
      </c>
      <c r="O27" s="683">
        <v>1</v>
      </c>
      <c r="P27" s="685">
        <v>0.874</v>
      </c>
      <c r="Q27" s="685">
        <v>0.87</v>
      </c>
      <c r="R27" s="684">
        <v>1.623</v>
      </c>
      <c r="S27" s="684">
        <v>0.79300000000000004</v>
      </c>
      <c r="T27" s="684">
        <v>0.377</v>
      </c>
      <c r="U27" s="684">
        <v>375</v>
      </c>
      <c r="V27" s="684">
        <v>0</v>
      </c>
      <c r="W27" s="684">
        <v>6</v>
      </c>
      <c r="X27" s="684">
        <v>0</v>
      </c>
      <c r="Y27" s="684">
        <v>0.85</v>
      </c>
      <c r="Z27" s="684">
        <v>47</v>
      </c>
      <c r="AA27"/>
      <c r="AB27"/>
      <c r="AC27"/>
    </row>
    <row r="28" spans="1:29" x14ac:dyDescent="0.25">
      <c r="C28" s="931" t="s">
        <v>250</v>
      </c>
      <c r="D28" s="932" t="s">
        <v>417</v>
      </c>
      <c r="E28" s="687">
        <v>135</v>
      </c>
      <c r="F28" s="686">
        <v>20.36</v>
      </c>
      <c r="G28" s="686">
        <v>3.63</v>
      </c>
      <c r="H28" s="687">
        <v>5</v>
      </c>
      <c r="I28" s="686">
        <v>9.7550000000000008</v>
      </c>
      <c r="J28" s="687"/>
      <c r="K28" s="686">
        <v>4.9000000000000004</v>
      </c>
      <c r="L28" s="687">
        <v>18</v>
      </c>
      <c r="M28" s="686">
        <v>39.700000000000003</v>
      </c>
      <c r="N28" s="686">
        <v>4</v>
      </c>
      <c r="O28" s="687">
        <v>4968</v>
      </c>
      <c r="P28" s="688">
        <v>0.189</v>
      </c>
      <c r="Q28" s="688">
        <v>2.7549999999999999</v>
      </c>
      <c r="R28" s="686">
        <v>13.175000000000001</v>
      </c>
      <c r="S28" s="684">
        <v>7.173</v>
      </c>
      <c r="T28" s="684">
        <v>1.083</v>
      </c>
      <c r="U28" s="684">
        <v>290</v>
      </c>
      <c r="V28" s="684">
        <v>59.3</v>
      </c>
      <c r="W28" s="686">
        <v>1.3</v>
      </c>
      <c r="X28" s="684">
        <v>1.2</v>
      </c>
      <c r="Y28" s="684">
        <v>0.38</v>
      </c>
      <c r="Z28" s="684">
        <v>3.1</v>
      </c>
      <c r="AA28"/>
      <c r="AB28"/>
      <c r="AC28"/>
    </row>
    <row r="29" spans="1:29" s="423" customFormat="1" x14ac:dyDescent="0.25">
      <c r="A29"/>
      <c r="B29" s="106"/>
      <c r="C29" s="931" t="s">
        <v>250</v>
      </c>
      <c r="D29" s="1098" t="s">
        <v>15</v>
      </c>
      <c r="E29" s="687">
        <v>234</v>
      </c>
      <c r="F29" s="686">
        <v>18.68</v>
      </c>
      <c r="G29" s="686">
        <v>17.149999999999999</v>
      </c>
      <c r="H29" s="687">
        <v>7</v>
      </c>
      <c r="I29" s="686">
        <v>7.0999999999999994E-2</v>
      </c>
      <c r="J29" s="687"/>
      <c r="K29" s="686">
        <v>1.91</v>
      </c>
      <c r="L29" s="687">
        <v>19</v>
      </c>
      <c r="M29" s="686">
        <v>14</v>
      </c>
      <c r="N29" s="686">
        <v>3.75</v>
      </c>
      <c r="O29" s="687">
        <v>0</v>
      </c>
      <c r="P29" s="688">
        <v>0.1</v>
      </c>
      <c r="Q29" s="688">
        <v>0.16</v>
      </c>
      <c r="R29" s="686">
        <v>3.23</v>
      </c>
      <c r="S29" s="684">
        <v>0.32</v>
      </c>
      <c r="T29" s="684">
        <v>0.39</v>
      </c>
      <c r="U29" s="684">
        <v>6</v>
      </c>
      <c r="V29" s="684">
        <v>2.95</v>
      </c>
      <c r="W29" s="686">
        <v>0</v>
      </c>
      <c r="X29" s="684"/>
      <c r="Y29" s="684"/>
      <c r="Z29" s="684"/>
    </row>
    <row r="30" spans="1:29" x14ac:dyDescent="0.25">
      <c r="A30" s="565"/>
      <c r="C30" s="931" t="s">
        <v>954</v>
      </c>
      <c r="D30" s="1097" t="s">
        <v>947</v>
      </c>
      <c r="E30" s="683">
        <v>458</v>
      </c>
      <c r="F30" s="684">
        <v>14.7</v>
      </c>
      <c r="G30" s="684">
        <v>17</v>
      </c>
      <c r="H30" s="683">
        <v>600</v>
      </c>
      <c r="I30" s="684">
        <v>1</v>
      </c>
      <c r="J30" s="683">
        <v>100</v>
      </c>
      <c r="K30" s="684">
        <v>10</v>
      </c>
      <c r="L30" s="683">
        <v>120</v>
      </c>
      <c r="M30" s="684">
        <v>25</v>
      </c>
      <c r="N30" s="684">
        <v>10</v>
      </c>
      <c r="O30" s="683">
        <v>470.1</v>
      </c>
      <c r="P30" s="685">
        <v>0.52</v>
      </c>
      <c r="Q30" s="685">
        <v>0.8</v>
      </c>
      <c r="R30" s="684">
        <v>8</v>
      </c>
      <c r="S30" s="684">
        <v>3</v>
      </c>
      <c r="T30" s="684">
        <v>0.87</v>
      </c>
      <c r="U30" s="684">
        <v>221</v>
      </c>
      <c r="V30" s="684">
        <v>1.3</v>
      </c>
      <c r="W30" s="684">
        <v>40</v>
      </c>
      <c r="X30" s="684">
        <v>4.3</v>
      </c>
      <c r="Y30" s="684">
        <v>7</v>
      </c>
      <c r="Z30" s="684"/>
      <c r="AA30"/>
      <c r="AB30"/>
      <c r="AC30"/>
    </row>
    <row r="31" spans="1:29" x14ac:dyDescent="0.25">
      <c r="A31" s="565"/>
      <c r="C31" s="931" t="s">
        <v>173</v>
      </c>
      <c r="D31" s="932" t="s">
        <v>570</v>
      </c>
      <c r="E31" s="683">
        <v>270</v>
      </c>
      <c r="F31" s="684">
        <v>10.37</v>
      </c>
      <c r="G31" s="684">
        <v>3.44</v>
      </c>
      <c r="H31" s="683">
        <v>138</v>
      </c>
      <c r="I31" s="684">
        <v>0.161</v>
      </c>
      <c r="J31" s="683"/>
      <c r="K31" s="684">
        <v>3.52</v>
      </c>
      <c r="L31" s="683">
        <v>46</v>
      </c>
      <c r="M31" s="684">
        <v>28.8</v>
      </c>
      <c r="N31" s="684">
        <v>1.18</v>
      </c>
      <c r="O31" s="683">
        <v>0</v>
      </c>
      <c r="P31" s="685">
        <v>0.47099999999999997</v>
      </c>
      <c r="Q31" s="685">
        <v>0.27</v>
      </c>
      <c r="R31" s="684">
        <v>5.9329999999999998</v>
      </c>
      <c r="S31" s="684">
        <v>0.82</v>
      </c>
      <c r="T31" s="684">
        <v>0.107</v>
      </c>
      <c r="U31" s="684">
        <v>99</v>
      </c>
      <c r="V31" s="684">
        <v>0</v>
      </c>
      <c r="W31" s="684">
        <v>0.2</v>
      </c>
      <c r="X31" s="684">
        <v>0</v>
      </c>
      <c r="Y31" s="684">
        <v>0.19</v>
      </c>
      <c r="Z31" s="684">
        <v>4.9000000000000004</v>
      </c>
      <c r="AA31"/>
      <c r="AB31"/>
      <c r="AC31"/>
    </row>
    <row r="32" spans="1:29" x14ac:dyDescent="0.25">
      <c r="A32" s="565"/>
      <c r="C32" s="931" t="s">
        <v>178</v>
      </c>
      <c r="D32" s="932" t="s">
        <v>866</v>
      </c>
      <c r="E32" s="683">
        <v>70</v>
      </c>
      <c r="F32" s="684">
        <v>1.03</v>
      </c>
      <c r="G32" s="684">
        <v>4.38</v>
      </c>
      <c r="H32" s="683">
        <v>32</v>
      </c>
      <c r="I32" s="684">
        <v>5.1999999999999998E-2</v>
      </c>
      <c r="J32" s="683"/>
      <c r="K32" s="684">
        <v>0.03</v>
      </c>
      <c r="L32" s="683">
        <v>3</v>
      </c>
      <c r="M32" s="684">
        <v>1.8</v>
      </c>
      <c r="N32" s="684">
        <v>0.17</v>
      </c>
      <c r="O32" s="683">
        <v>61</v>
      </c>
      <c r="P32" s="685">
        <v>1.4E-2</v>
      </c>
      <c r="Q32" s="685">
        <v>3.5999999999999997E-2</v>
      </c>
      <c r="R32" s="684">
        <v>0.17699999999999999</v>
      </c>
      <c r="S32" s="684">
        <v>0.223</v>
      </c>
      <c r="T32" s="684">
        <v>1.0999999999999999E-2</v>
      </c>
      <c r="U32" s="684">
        <v>5</v>
      </c>
      <c r="V32" s="684">
        <v>0.05</v>
      </c>
      <c r="W32" s="684">
        <v>5</v>
      </c>
      <c r="X32" s="684">
        <v>0.1</v>
      </c>
      <c r="Y32" s="684">
        <v>0.08</v>
      </c>
      <c r="Z32" s="684">
        <v>0.3</v>
      </c>
      <c r="AA32"/>
      <c r="AB32"/>
      <c r="AC32"/>
    </row>
    <row r="33" spans="1:29" x14ac:dyDescent="0.25">
      <c r="A33" s="473"/>
      <c r="C33" s="931" t="s">
        <v>175</v>
      </c>
      <c r="D33" s="932" t="s">
        <v>871</v>
      </c>
      <c r="E33" s="683">
        <v>335</v>
      </c>
      <c r="F33" s="684">
        <v>12.62</v>
      </c>
      <c r="G33" s="684">
        <v>3.1</v>
      </c>
      <c r="H33" s="683">
        <v>41</v>
      </c>
      <c r="I33" s="684">
        <v>0.51500000000000001</v>
      </c>
      <c r="J33" s="683"/>
      <c r="K33" s="684">
        <v>4.0599999999999996</v>
      </c>
      <c r="L33" s="683">
        <v>251</v>
      </c>
      <c r="M33" s="684">
        <v>5.7</v>
      </c>
      <c r="N33" s="684">
        <v>3.12</v>
      </c>
      <c r="O33" s="683">
        <v>0</v>
      </c>
      <c r="P33" s="685">
        <v>0.41699999999999998</v>
      </c>
      <c r="Q33" s="685">
        <v>0.19</v>
      </c>
      <c r="R33" s="684">
        <v>6.15</v>
      </c>
      <c r="S33" s="684">
        <v>0.44</v>
      </c>
      <c r="T33" s="684">
        <v>0.58199999999999996</v>
      </c>
      <c r="U33" s="684">
        <v>54</v>
      </c>
      <c r="V33" s="684">
        <v>0</v>
      </c>
      <c r="W33" s="684">
        <v>0</v>
      </c>
      <c r="X33" s="684">
        <v>0</v>
      </c>
      <c r="Y33" s="684">
        <v>0.32</v>
      </c>
      <c r="Z33" s="684">
        <v>7</v>
      </c>
      <c r="AA33"/>
      <c r="AB33"/>
      <c r="AC33"/>
    </row>
    <row r="34" spans="1:29" x14ac:dyDescent="0.25">
      <c r="C34" s="931" t="s">
        <v>175</v>
      </c>
      <c r="D34" s="932" t="s">
        <v>870</v>
      </c>
      <c r="E34" s="683">
        <v>343</v>
      </c>
      <c r="F34" s="684">
        <v>13.25</v>
      </c>
      <c r="G34" s="684">
        <v>3.4</v>
      </c>
      <c r="H34" s="683">
        <v>18</v>
      </c>
      <c r="I34" s="684">
        <v>1.1000000000000001</v>
      </c>
      <c r="J34" s="683"/>
      <c r="K34" s="684">
        <v>2.2000000000000002</v>
      </c>
      <c r="L34" s="683">
        <v>231</v>
      </c>
      <c r="M34" s="684">
        <v>8.3000000000000007</v>
      </c>
      <c r="N34" s="684">
        <v>2.4</v>
      </c>
      <c r="O34" s="683">
        <v>0</v>
      </c>
      <c r="P34" s="685">
        <v>0.10100000000000001</v>
      </c>
      <c r="Q34" s="685">
        <v>0.42499999999999999</v>
      </c>
      <c r="R34" s="684">
        <v>7.02</v>
      </c>
      <c r="S34" s="684">
        <v>1.2330000000000001</v>
      </c>
      <c r="T34" s="684">
        <v>0.21</v>
      </c>
      <c r="U34" s="684">
        <v>30</v>
      </c>
      <c r="V34" s="684">
        <v>0</v>
      </c>
      <c r="W34" s="684">
        <v>0</v>
      </c>
      <c r="X34" s="684">
        <v>0</v>
      </c>
      <c r="Y34" s="684"/>
      <c r="Z34" s="684"/>
      <c r="AA34"/>
      <c r="AB34"/>
      <c r="AC34"/>
    </row>
    <row r="35" spans="1:29" x14ac:dyDescent="0.25">
      <c r="A35" s="421"/>
      <c r="B35" s="421"/>
      <c r="C35" s="931" t="s">
        <v>175</v>
      </c>
      <c r="D35" s="932" t="s">
        <v>16</v>
      </c>
      <c r="E35" s="683">
        <v>342</v>
      </c>
      <c r="F35" s="684">
        <v>12.29</v>
      </c>
      <c r="G35" s="684">
        <v>1.33</v>
      </c>
      <c r="H35" s="683">
        <v>35</v>
      </c>
      <c r="I35" s="684">
        <v>0.33500000000000002</v>
      </c>
      <c r="J35" s="683"/>
      <c r="K35" s="684">
        <v>2.46</v>
      </c>
      <c r="L35" s="683">
        <v>164</v>
      </c>
      <c r="M35" s="684">
        <v>2.2999999999999998</v>
      </c>
      <c r="N35" s="684">
        <v>1.93</v>
      </c>
      <c r="O35" s="683">
        <v>0</v>
      </c>
      <c r="P35" s="685">
        <v>0.23200000000000001</v>
      </c>
      <c r="Q35" s="685">
        <v>0.115</v>
      </c>
      <c r="R35" s="684">
        <v>5.1139999999999999</v>
      </c>
      <c r="S35" s="684">
        <v>1.0449999999999999</v>
      </c>
      <c r="T35" s="684">
        <v>0.34200000000000003</v>
      </c>
      <c r="U35" s="684">
        <v>27</v>
      </c>
      <c r="V35" s="684">
        <v>0</v>
      </c>
      <c r="W35" s="684">
        <v>0</v>
      </c>
      <c r="X35" s="684">
        <v>0</v>
      </c>
      <c r="Y35" s="684">
        <v>0.06</v>
      </c>
      <c r="Z35" s="684">
        <v>1.9</v>
      </c>
      <c r="AA35"/>
      <c r="AB35"/>
      <c r="AC35"/>
    </row>
    <row r="36" spans="1:29" x14ac:dyDescent="0.25">
      <c r="A36" s="65"/>
      <c r="C36" s="931" t="s">
        <v>175</v>
      </c>
      <c r="D36" s="932" t="s">
        <v>510</v>
      </c>
      <c r="E36" s="683">
        <v>342</v>
      </c>
      <c r="F36" s="684">
        <v>12.29</v>
      </c>
      <c r="G36" s="684">
        <v>1.33</v>
      </c>
      <c r="H36" s="683">
        <v>35</v>
      </c>
      <c r="I36" s="684"/>
      <c r="J36" s="683"/>
      <c r="K36" s="684">
        <v>6.46</v>
      </c>
      <c r="L36" s="683">
        <v>164</v>
      </c>
      <c r="M36" s="684"/>
      <c r="N36" s="684">
        <v>4.33</v>
      </c>
      <c r="O36" s="683">
        <v>110</v>
      </c>
      <c r="P36" s="685">
        <v>0.63</v>
      </c>
      <c r="Q36" s="685">
        <v>0.52</v>
      </c>
      <c r="R36" s="684">
        <v>9.11</v>
      </c>
      <c r="S36" s="684"/>
      <c r="T36" s="684">
        <v>0.74</v>
      </c>
      <c r="U36" s="684">
        <v>181</v>
      </c>
      <c r="V36" s="684">
        <v>11</v>
      </c>
      <c r="W36" s="684">
        <v>0</v>
      </c>
      <c r="X36" s="684">
        <v>2</v>
      </c>
      <c r="Y36" s="684">
        <v>0.06</v>
      </c>
      <c r="Z36" s="684">
        <v>1.9</v>
      </c>
      <c r="AA36"/>
      <c r="AB36"/>
      <c r="AC36"/>
    </row>
    <row r="37" spans="1:29" x14ac:dyDescent="0.25">
      <c r="A37" s="479"/>
      <c r="B37" s="423"/>
      <c r="C37" s="931" t="s">
        <v>172</v>
      </c>
      <c r="D37" s="932" t="s">
        <v>371</v>
      </c>
      <c r="E37" s="683">
        <v>717</v>
      </c>
      <c r="F37" s="684">
        <v>0.85</v>
      </c>
      <c r="G37" s="684">
        <v>81.11</v>
      </c>
      <c r="H37" s="683">
        <v>24</v>
      </c>
      <c r="I37" s="684">
        <v>0</v>
      </c>
      <c r="J37" s="683"/>
      <c r="K37" s="684">
        <v>0.02</v>
      </c>
      <c r="L37" s="683">
        <v>2</v>
      </c>
      <c r="M37" s="684">
        <v>1</v>
      </c>
      <c r="N37" s="684">
        <v>0.09</v>
      </c>
      <c r="O37" s="683">
        <v>684</v>
      </c>
      <c r="P37" s="685">
        <v>5.0000000000000001E-3</v>
      </c>
      <c r="Q37" s="685">
        <v>3.4000000000000002E-2</v>
      </c>
      <c r="R37" s="684">
        <v>4.2000000000000003E-2</v>
      </c>
      <c r="S37" s="684">
        <v>0.11</v>
      </c>
      <c r="T37" s="684">
        <v>3.0000000000000001E-3</v>
      </c>
      <c r="U37" s="684">
        <v>3</v>
      </c>
      <c r="V37" s="684">
        <v>0.17</v>
      </c>
      <c r="W37" s="684">
        <v>0</v>
      </c>
      <c r="X37" s="684">
        <v>1.5</v>
      </c>
      <c r="Y37" s="684">
        <v>2.3199999999999998</v>
      </c>
      <c r="Z37" s="684">
        <v>7</v>
      </c>
      <c r="AA37"/>
      <c r="AB37"/>
      <c r="AC37"/>
    </row>
    <row r="38" spans="1:29" x14ac:dyDescent="0.25">
      <c r="C38" s="931" t="s">
        <v>176</v>
      </c>
      <c r="D38" s="932" t="s">
        <v>546</v>
      </c>
      <c r="E38" s="683">
        <v>25</v>
      </c>
      <c r="F38" s="684">
        <v>1.28</v>
      </c>
      <c r="G38" s="684">
        <v>0.1</v>
      </c>
      <c r="H38" s="683">
        <v>40</v>
      </c>
      <c r="I38" s="684">
        <v>1.9E-2</v>
      </c>
      <c r="J38" s="683"/>
      <c r="K38" s="684">
        <v>0.47</v>
      </c>
      <c r="L38" s="683">
        <v>12</v>
      </c>
      <c r="M38" s="684">
        <v>0.3</v>
      </c>
      <c r="N38" s="684">
        <v>0.18</v>
      </c>
      <c r="O38" s="683">
        <v>5</v>
      </c>
      <c r="P38" s="685">
        <v>6.0999999999999999E-2</v>
      </c>
      <c r="Q38" s="685">
        <v>0.04</v>
      </c>
      <c r="R38" s="684">
        <v>0.23400000000000001</v>
      </c>
      <c r="S38" s="684">
        <v>0.21199999999999999</v>
      </c>
      <c r="T38" s="684">
        <v>0.124</v>
      </c>
      <c r="U38" s="684">
        <v>43</v>
      </c>
      <c r="V38" s="684">
        <v>0</v>
      </c>
      <c r="W38" s="684">
        <v>36.6</v>
      </c>
      <c r="X38" s="684">
        <v>0</v>
      </c>
      <c r="Y38" s="684">
        <v>0.15</v>
      </c>
      <c r="Z38" s="684">
        <v>76</v>
      </c>
      <c r="AA38"/>
      <c r="AB38"/>
      <c r="AC38"/>
    </row>
    <row r="39" spans="1:29" x14ac:dyDescent="0.25">
      <c r="C39" s="931" t="s">
        <v>173</v>
      </c>
      <c r="D39" s="932" t="s">
        <v>571</v>
      </c>
      <c r="E39" s="683">
        <v>290</v>
      </c>
      <c r="F39" s="684">
        <v>5.4</v>
      </c>
      <c r="G39" s="684">
        <v>2.7</v>
      </c>
      <c r="H39" s="683">
        <v>70</v>
      </c>
      <c r="I39" s="684">
        <v>6.2E-2</v>
      </c>
      <c r="J39" s="683"/>
      <c r="K39" s="684">
        <v>2.72</v>
      </c>
      <c r="L39" s="683">
        <v>11</v>
      </c>
      <c r="M39" s="684">
        <v>9.1</v>
      </c>
      <c r="N39" s="684">
        <v>0.51</v>
      </c>
      <c r="O39" s="683">
        <v>44</v>
      </c>
      <c r="P39" s="685">
        <v>0.24299999999999999</v>
      </c>
      <c r="Q39" s="685">
        <v>0.26900000000000002</v>
      </c>
      <c r="R39" s="684">
        <v>1.9319999999999999</v>
      </c>
      <c r="S39" s="684">
        <v>0.47799999999999998</v>
      </c>
      <c r="T39" s="684">
        <v>5.1999999999999998E-2</v>
      </c>
      <c r="U39" s="684">
        <v>71</v>
      </c>
      <c r="V39" s="684">
        <v>0.24</v>
      </c>
      <c r="W39" s="684">
        <v>0</v>
      </c>
      <c r="X39" s="684">
        <v>0.2</v>
      </c>
      <c r="Y39" s="684">
        <v>0.24</v>
      </c>
      <c r="Z39" s="684">
        <v>0.2</v>
      </c>
      <c r="AA39"/>
      <c r="AB39"/>
      <c r="AC39"/>
    </row>
    <row r="40" spans="1:29" x14ac:dyDescent="0.25">
      <c r="A40" s="65"/>
      <c r="C40" s="931" t="s">
        <v>250</v>
      </c>
      <c r="D40" s="932" t="s">
        <v>17</v>
      </c>
      <c r="E40" s="683">
        <v>220</v>
      </c>
      <c r="F40" s="684">
        <v>21</v>
      </c>
      <c r="G40" s="684">
        <v>15</v>
      </c>
      <c r="H40" s="683">
        <v>14</v>
      </c>
      <c r="I40" s="684"/>
      <c r="J40" s="683"/>
      <c r="K40" s="684">
        <v>4.0999999999999996</v>
      </c>
      <c r="L40" s="683"/>
      <c r="M40" s="684"/>
      <c r="N40" s="684"/>
      <c r="O40" s="683">
        <v>0</v>
      </c>
      <c r="P40" s="685">
        <v>0.2</v>
      </c>
      <c r="Q40" s="685">
        <v>0.23</v>
      </c>
      <c r="R40" s="684">
        <v>3.2</v>
      </c>
      <c r="S40" s="684"/>
      <c r="T40" s="684"/>
      <c r="U40" s="684"/>
      <c r="V40" s="684"/>
      <c r="W40" s="684">
        <v>0</v>
      </c>
      <c r="X40" s="684"/>
      <c r="Y40" s="684"/>
      <c r="Z40" s="684"/>
      <c r="AA40"/>
      <c r="AB40"/>
      <c r="AC40"/>
    </row>
    <row r="41" spans="1:29" x14ac:dyDescent="0.25">
      <c r="A41" s="65"/>
      <c r="C41" s="931" t="s">
        <v>173</v>
      </c>
      <c r="D41" s="932" t="s">
        <v>945</v>
      </c>
      <c r="E41" s="683">
        <v>311</v>
      </c>
      <c r="F41" s="684">
        <v>10.76</v>
      </c>
      <c r="G41" s="684">
        <v>6.7</v>
      </c>
      <c r="H41" s="683">
        <v>383</v>
      </c>
      <c r="I41" s="684">
        <v>0.38300000000000001</v>
      </c>
      <c r="J41" s="683"/>
      <c r="K41" s="684">
        <v>13.97</v>
      </c>
      <c r="L41" s="683">
        <v>229</v>
      </c>
      <c r="M41" s="684"/>
      <c r="N41" s="684">
        <v>7.47</v>
      </c>
      <c r="O41" s="683">
        <v>0</v>
      </c>
      <c r="P41" s="685">
        <v>0.19800000000000001</v>
      </c>
      <c r="Q41" s="685">
        <v>0.182</v>
      </c>
      <c r="R41" s="684">
        <v>1.1020000000000001</v>
      </c>
      <c r="S41" s="684"/>
      <c r="T41" s="684">
        <v>0.23</v>
      </c>
      <c r="U41" s="684"/>
      <c r="V41" s="684">
        <v>0</v>
      </c>
      <c r="W41" s="684">
        <v>21</v>
      </c>
      <c r="X41" s="684">
        <v>0</v>
      </c>
      <c r="Y41" s="684"/>
      <c r="Z41" s="684"/>
      <c r="AA41"/>
      <c r="AB41"/>
      <c r="AC41"/>
    </row>
    <row r="42" spans="1:29" x14ac:dyDescent="0.25">
      <c r="C42" s="931" t="s">
        <v>176</v>
      </c>
      <c r="D42" s="932" t="s">
        <v>558</v>
      </c>
      <c r="E42" s="683">
        <v>23</v>
      </c>
      <c r="F42" s="684">
        <v>0.59</v>
      </c>
      <c r="G42" s="684">
        <v>0.14000000000000001</v>
      </c>
      <c r="H42" s="683">
        <v>31</v>
      </c>
      <c r="I42" s="684">
        <v>0.10299999999999999</v>
      </c>
      <c r="J42" s="683"/>
      <c r="K42" s="684">
        <v>0.52</v>
      </c>
      <c r="L42" s="683">
        <v>9</v>
      </c>
      <c r="M42" s="684">
        <v>0.4</v>
      </c>
      <c r="N42" s="684">
        <v>0.28999999999999998</v>
      </c>
      <c r="O42" s="683">
        <v>558</v>
      </c>
      <c r="P42" s="685">
        <v>1.9E-2</v>
      </c>
      <c r="Q42" s="685">
        <v>2.7E-2</v>
      </c>
      <c r="R42" s="684">
        <v>0.42099999999999999</v>
      </c>
      <c r="S42" s="684">
        <v>0.13900000000000001</v>
      </c>
      <c r="T42" s="684">
        <v>0.112</v>
      </c>
      <c r="U42" s="684">
        <v>8</v>
      </c>
      <c r="V42" s="684">
        <v>0</v>
      </c>
      <c r="W42" s="684">
        <v>2</v>
      </c>
      <c r="X42" s="684">
        <v>0</v>
      </c>
      <c r="Y42" s="684">
        <v>0.73</v>
      </c>
      <c r="Z42" s="684">
        <v>9.8000000000000007</v>
      </c>
      <c r="AA42"/>
      <c r="AB42"/>
      <c r="AC42"/>
    </row>
    <row r="43" spans="1:29" s="421" customFormat="1" x14ac:dyDescent="0.25">
      <c r="A43"/>
      <c r="B43" s="106"/>
      <c r="C43" s="931" t="s">
        <v>176</v>
      </c>
      <c r="D43" s="932" t="s">
        <v>550</v>
      </c>
      <c r="E43" s="683">
        <v>41</v>
      </c>
      <c r="F43" s="684">
        <v>0.93</v>
      </c>
      <c r="G43" s="684">
        <v>0.24</v>
      </c>
      <c r="H43" s="683">
        <v>33</v>
      </c>
      <c r="I43" s="684">
        <v>4.4999999999999998E-2</v>
      </c>
      <c r="J43" s="683"/>
      <c r="K43" s="684">
        <v>0.3</v>
      </c>
      <c r="L43" s="683">
        <v>12</v>
      </c>
      <c r="M43" s="684">
        <v>0.1</v>
      </c>
      <c r="N43" s="684">
        <v>0.24</v>
      </c>
      <c r="O43" s="683">
        <v>835</v>
      </c>
      <c r="P43" s="685">
        <v>6.6000000000000003E-2</v>
      </c>
      <c r="Q43" s="685">
        <v>5.8000000000000003E-2</v>
      </c>
      <c r="R43" s="684">
        <v>0.98299999999999998</v>
      </c>
      <c r="S43" s="684">
        <v>0.27300000000000002</v>
      </c>
      <c r="T43" s="684">
        <v>0.13800000000000001</v>
      </c>
      <c r="U43" s="684">
        <v>19</v>
      </c>
      <c r="V43" s="684">
        <v>0</v>
      </c>
      <c r="W43" s="684">
        <v>5.9</v>
      </c>
      <c r="X43" s="684">
        <v>0</v>
      </c>
      <c r="Y43" s="684">
        <v>0.66</v>
      </c>
      <c r="Z43" s="684">
        <v>13.2</v>
      </c>
    </row>
    <row r="44" spans="1:29" s="421" customFormat="1" x14ac:dyDescent="0.25">
      <c r="A44"/>
      <c r="B44" s="106"/>
      <c r="C44" s="931" t="s">
        <v>179</v>
      </c>
      <c r="D44" s="932" t="s">
        <v>378</v>
      </c>
      <c r="E44" s="683">
        <v>553</v>
      </c>
      <c r="F44" s="684">
        <v>18.22</v>
      </c>
      <c r="G44" s="684">
        <v>43.85</v>
      </c>
      <c r="H44" s="683">
        <v>37</v>
      </c>
      <c r="I44" s="684">
        <v>2.1949999999999998</v>
      </c>
      <c r="J44" s="683"/>
      <c r="K44" s="684">
        <v>6.68</v>
      </c>
      <c r="L44" s="683">
        <v>292</v>
      </c>
      <c r="M44" s="684">
        <v>19.899999999999999</v>
      </c>
      <c r="N44" s="684">
        <v>5.78</v>
      </c>
      <c r="O44" s="683">
        <v>0</v>
      </c>
      <c r="P44" s="685">
        <v>0.42299999999999999</v>
      </c>
      <c r="Q44" s="685">
        <v>5.8000000000000003E-2</v>
      </c>
      <c r="R44" s="684">
        <v>1.0620000000000001</v>
      </c>
      <c r="S44" s="684">
        <v>0.86399999999999999</v>
      </c>
      <c r="T44" s="684">
        <v>0.41699999999999998</v>
      </c>
      <c r="U44" s="684">
        <v>25</v>
      </c>
      <c r="V44" s="684">
        <v>0</v>
      </c>
      <c r="W44" s="684">
        <v>0.5</v>
      </c>
      <c r="X44" s="684">
        <v>0</v>
      </c>
      <c r="Y44" s="684">
        <v>0.9</v>
      </c>
      <c r="Z44" s="684">
        <v>34.1</v>
      </c>
    </row>
    <row r="45" spans="1:29" s="421" customFormat="1" x14ac:dyDescent="0.25">
      <c r="A45"/>
      <c r="B45" s="106"/>
      <c r="C45" s="931" t="s">
        <v>177</v>
      </c>
      <c r="D45" s="932" t="s">
        <v>889</v>
      </c>
      <c r="E45" s="683">
        <v>358</v>
      </c>
      <c r="F45" s="684">
        <v>1.3</v>
      </c>
      <c r="G45" s="684">
        <v>0.5</v>
      </c>
      <c r="H45" s="683">
        <v>37</v>
      </c>
      <c r="I45" s="684">
        <v>1.4</v>
      </c>
      <c r="J45" s="683"/>
      <c r="K45" s="684">
        <v>3.1</v>
      </c>
      <c r="L45" s="683"/>
      <c r="M45" s="684"/>
      <c r="N45" s="684">
        <v>1.5</v>
      </c>
      <c r="O45" s="683">
        <v>0</v>
      </c>
      <c r="P45" s="685">
        <v>7.0000000000000007E-2</v>
      </c>
      <c r="Q45" s="685">
        <v>0.03</v>
      </c>
      <c r="R45" s="684">
        <v>1</v>
      </c>
      <c r="S45" s="684"/>
      <c r="T45" s="684"/>
      <c r="U45" s="684"/>
      <c r="V45" s="684">
        <v>0</v>
      </c>
      <c r="W45" s="684">
        <v>7</v>
      </c>
      <c r="X45" s="684">
        <v>0</v>
      </c>
      <c r="Y45" s="684"/>
      <c r="Z45" s="684"/>
    </row>
    <row r="46" spans="1:29" x14ac:dyDescent="0.25">
      <c r="A46" s="421"/>
      <c r="B46" s="421"/>
      <c r="C46" s="931" t="s">
        <v>177</v>
      </c>
      <c r="D46" s="932" t="s">
        <v>380</v>
      </c>
      <c r="E46" s="683">
        <v>160</v>
      </c>
      <c r="F46" s="684">
        <v>1.36</v>
      </c>
      <c r="G46" s="684">
        <v>0.28000000000000003</v>
      </c>
      <c r="H46" s="683">
        <v>16</v>
      </c>
      <c r="I46" s="684">
        <v>0.1</v>
      </c>
      <c r="J46" s="683"/>
      <c r="K46" s="684">
        <v>0.27</v>
      </c>
      <c r="L46" s="683">
        <v>21</v>
      </c>
      <c r="M46" s="684">
        <v>0.7</v>
      </c>
      <c r="N46" s="684">
        <v>0.34</v>
      </c>
      <c r="O46" s="683">
        <v>1</v>
      </c>
      <c r="P46" s="685">
        <v>8.6999999999999994E-2</v>
      </c>
      <c r="Q46" s="685">
        <v>4.8000000000000001E-2</v>
      </c>
      <c r="R46" s="684">
        <v>0.85399999999999998</v>
      </c>
      <c r="S46" s="684">
        <v>0.107</v>
      </c>
      <c r="T46" s="684">
        <v>8.7999999999999995E-2</v>
      </c>
      <c r="U46" s="684">
        <v>27</v>
      </c>
      <c r="V46" s="684">
        <v>0</v>
      </c>
      <c r="W46" s="684">
        <v>20.6</v>
      </c>
      <c r="X46" s="684">
        <v>0</v>
      </c>
      <c r="Y46" s="684">
        <v>0.19</v>
      </c>
      <c r="Z46" s="684">
        <v>1.9</v>
      </c>
      <c r="AA46"/>
      <c r="AB46"/>
      <c r="AC46"/>
    </row>
    <row r="47" spans="1:29" x14ac:dyDescent="0.25">
      <c r="A47" s="421"/>
      <c r="B47" s="421"/>
      <c r="C47" s="931" t="s">
        <v>178</v>
      </c>
      <c r="D47" s="932" t="s">
        <v>18</v>
      </c>
      <c r="E47" s="683">
        <v>355</v>
      </c>
      <c r="F47" s="684">
        <v>22.5</v>
      </c>
      <c r="G47" s="684">
        <v>28</v>
      </c>
      <c r="H47" s="683">
        <v>630</v>
      </c>
      <c r="I47" s="684"/>
      <c r="J47" s="683">
        <v>39</v>
      </c>
      <c r="K47" s="684">
        <v>0.2</v>
      </c>
      <c r="L47" s="683"/>
      <c r="M47" s="684"/>
      <c r="N47" s="684"/>
      <c r="O47" s="683">
        <v>120</v>
      </c>
      <c r="P47" s="685">
        <v>0.03</v>
      </c>
      <c r="Q47" s="685">
        <v>0.45</v>
      </c>
      <c r="R47" s="684">
        <v>0.2</v>
      </c>
      <c r="S47" s="684"/>
      <c r="T47" s="684"/>
      <c r="U47" s="684"/>
      <c r="V47" s="684"/>
      <c r="W47" s="684">
        <v>0</v>
      </c>
      <c r="X47" s="684"/>
      <c r="Y47" s="684"/>
      <c r="Z47" s="684"/>
    </row>
    <row r="48" spans="1:29" x14ac:dyDescent="0.25">
      <c r="A48" s="65"/>
      <c r="C48" s="931" t="s">
        <v>250</v>
      </c>
      <c r="D48" s="932" t="s">
        <v>517</v>
      </c>
      <c r="E48" s="683">
        <v>215</v>
      </c>
      <c r="F48" s="684">
        <v>18.600000000000001</v>
      </c>
      <c r="G48" s="684">
        <v>15.06</v>
      </c>
      <c r="H48" s="683">
        <v>11</v>
      </c>
      <c r="I48" s="684">
        <v>4.8000000000000001E-2</v>
      </c>
      <c r="J48" s="683"/>
      <c r="K48" s="684">
        <v>0.9</v>
      </c>
      <c r="L48" s="683">
        <v>20</v>
      </c>
      <c r="M48" s="684">
        <v>14.4</v>
      </c>
      <c r="N48" s="684">
        <v>1.31</v>
      </c>
      <c r="O48" s="683">
        <v>41</v>
      </c>
      <c r="P48" s="685">
        <v>0.06</v>
      </c>
      <c r="Q48" s="685">
        <v>0.12</v>
      </c>
      <c r="R48" s="684">
        <v>6.8010000000000002</v>
      </c>
      <c r="S48" s="684">
        <v>0.91</v>
      </c>
      <c r="T48" s="684">
        <v>0.35</v>
      </c>
      <c r="U48" s="684">
        <v>6</v>
      </c>
      <c r="V48" s="684">
        <v>0.31</v>
      </c>
      <c r="W48" s="684">
        <v>1.6</v>
      </c>
      <c r="X48" s="684">
        <v>0.2</v>
      </c>
      <c r="Y48" s="684">
        <v>0.3</v>
      </c>
      <c r="Z48" s="684">
        <v>1.5</v>
      </c>
    </row>
    <row r="49" spans="1:29" x14ac:dyDescent="0.25">
      <c r="C49" s="931" t="s">
        <v>250</v>
      </c>
      <c r="D49" s="932" t="s">
        <v>516</v>
      </c>
      <c r="E49" s="683">
        <v>185</v>
      </c>
      <c r="F49" s="684">
        <v>25.3</v>
      </c>
      <c r="G49" s="684">
        <v>8.1</v>
      </c>
      <c r="H49" s="683">
        <v>14</v>
      </c>
      <c r="I49" s="684">
        <v>0.05</v>
      </c>
      <c r="J49" s="683"/>
      <c r="K49" s="684">
        <v>1.3</v>
      </c>
      <c r="L49" s="683">
        <v>19</v>
      </c>
      <c r="M49" s="684">
        <v>18.399999999999999</v>
      </c>
      <c r="N49" s="684">
        <v>2.5</v>
      </c>
      <c r="O49" s="683">
        <v>53</v>
      </c>
      <c r="P49" s="685">
        <v>0</v>
      </c>
      <c r="Q49" s="685">
        <v>0.1</v>
      </c>
      <c r="R49" s="684">
        <v>2.4</v>
      </c>
      <c r="S49" s="684"/>
      <c r="T49" s="684">
        <v>0.19</v>
      </c>
      <c r="U49" s="684">
        <v>2</v>
      </c>
      <c r="V49" s="684">
        <v>1</v>
      </c>
      <c r="W49" s="684">
        <v>0</v>
      </c>
      <c r="X49" s="684">
        <v>0.1</v>
      </c>
      <c r="Y49" s="684">
        <v>0.32</v>
      </c>
      <c r="Z49" s="684">
        <v>2.2999999999999998</v>
      </c>
    </row>
    <row r="50" spans="1:29" x14ac:dyDescent="0.25">
      <c r="A50" s="473"/>
      <c r="C50" s="931" t="s">
        <v>179</v>
      </c>
      <c r="D50" s="932" t="s">
        <v>498</v>
      </c>
      <c r="E50" s="683">
        <v>364</v>
      </c>
      <c r="F50" s="684">
        <v>19.3</v>
      </c>
      <c r="G50" s="684">
        <v>6.04</v>
      </c>
      <c r="H50" s="683">
        <v>105</v>
      </c>
      <c r="I50" s="684">
        <v>0.84699999999999998</v>
      </c>
      <c r="J50" s="683"/>
      <c r="K50" s="684">
        <v>6.24</v>
      </c>
      <c r="L50" s="683">
        <v>115</v>
      </c>
      <c r="M50" s="684">
        <v>8.1999999999999993</v>
      </c>
      <c r="N50" s="684">
        <v>3.43</v>
      </c>
      <c r="O50" s="683">
        <v>3</v>
      </c>
      <c r="P50" s="685">
        <v>0.47699999999999998</v>
      </c>
      <c r="Q50" s="685">
        <v>0.21199999999999999</v>
      </c>
      <c r="R50" s="684">
        <v>1.5409999999999999</v>
      </c>
      <c r="S50" s="684">
        <v>1.5880000000000001</v>
      </c>
      <c r="T50" s="684">
        <v>0.53500000000000003</v>
      </c>
      <c r="U50" s="684">
        <v>557</v>
      </c>
      <c r="V50" s="684">
        <v>0</v>
      </c>
      <c r="W50" s="684">
        <v>4</v>
      </c>
      <c r="X50" s="684">
        <v>0</v>
      </c>
      <c r="Y50" s="684">
        <v>0.82</v>
      </c>
      <c r="Z50" s="684">
        <v>9</v>
      </c>
    </row>
    <row r="51" spans="1:29" x14ac:dyDescent="0.25">
      <c r="C51" s="931" t="s">
        <v>173</v>
      </c>
      <c r="D51" s="932" t="s">
        <v>383</v>
      </c>
      <c r="E51" s="683">
        <v>228</v>
      </c>
      <c r="F51" s="684">
        <v>19.600000000000001</v>
      </c>
      <c r="G51" s="684">
        <v>13.7</v>
      </c>
      <c r="H51" s="683">
        <v>128</v>
      </c>
      <c r="I51" s="684">
        <v>3.7879999999999998</v>
      </c>
      <c r="J51" s="683"/>
      <c r="K51" s="684">
        <v>13.86</v>
      </c>
      <c r="L51" s="683">
        <v>499</v>
      </c>
      <c r="M51" s="684">
        <v>14.3</v>
      </c>
      <c r="N51" s="684">
        <v>6.81</v>
      </c>
      <c r="O51" s="683">
        <v>0</v>
      </c>
      <c r="P51" s="685">
        <v>7.8E-2</v>
      </c>
      <c r="Q51" s="685">
        <v>0.24099999999999999</v>
      </c>
      <c r="R51" s="684">
        <v>2.1850000000000001</v>
      </c>
      <c r="S51" s="684">
        <v>0.254</v>
      </c>
      <c r="T51" s="684">
        <v>0.11799999999999999</v>
      </c>
      <c r="U51" s="684">
        <v>32</v>
      </c>
      <c r="V51" s="684">
        <v>0</v>
      </c>
      <c r="W51" s="684">
        <v>0</v>
      </c>
      <c r="X51" s="684">
        <v>0</v>
      </c>
      <c r="Y51" s="684">
        <v>0.1</v>
      </c>
      <c r="Z51" s="684">
        <v>2.5</v>
      </c>
    </row>
    <row r="52" spans="1:29" s="421" customFormat="1" x14ac:dyDescent="0.25">
      <c r="A52"/>
      <c r="B52" s="106"/>
      <c r="C52" s="931" t="s">
        <v>179</v>
      </c>
      <c r="D52" s="932" t="s">
        <v>19</v>
      </c>
      <c r="E52" s="683">
        <v>354</v>
      </c>
      <c r="F52" s="684">
        <v>3.33</v>
      </c>
      <c r="G52" s="684">
        <v>33.49</v>
      </c>
      <c r="H52" s="683">
        <v>14</v>
      </c>
      <c r="I52" s="684">
        <v>0.435</v>
      </c>
      <c r="J52" s="683"/>
      <c r="K52" s="684">
        <v>2.4300000000000002</v>
      </c>
      <c r="L52" s="683">
        <v>32</v>
      </c>
      <c r="M52" s="684">
        <v>10.1</v>
      </c>
      <c r="N52" s="684">
        <v>1.1000000000000001</v>
      </c>
      <c r="O52" s="683">
        <v>0</v>
      </c>
      <c r="P52" s="685">
        <v>6.6000000000000003E-2</v>
      </c>
      <c r="Q52" s="685">
        <v>0.02</v>
      </c>
      <c r="R52" s="684">
        <v>0.54</v>
      </c>
      <c r="S52" s="684">
        <v>0.3</v>
      </c>
      <c r="T52" s="684">
        <v>5.3999999999999999E-2</v>
      </c>
      <c r="U52" s="684">
        <v>26</v>
      </c>
      <c r="V52" s="684">
        <v>0</v>
      </c>
      <c r="W52" s="684">
        <v>3.3</v>
      </c>
      <c r="X52" s="684">
        <v>0</v>
      </c>
      <c r="Y52" s="684">
        <v>0.24</v>
      </c>
      <c r="Z52" s="684">
        <v>0.2</v>
      </c>
      <c r="AA52" s="422"/>
      <c r="AB52" s="422"/>
      <c r="AC52" s="422"/>
    </row>
    <row r="53" spans="1:29" x14ac:dyDescent="0.25">
      <c r="A53" s="65"/>
      <c r="C53" s="931" t="s">
        <v>173</v>
      </c>
      <c r="D53" s="932" t="s">
        <v>756</v>
      </c>
      <c r="E53" s="683">
        <v>1</v>
      </c>
      <c r="F53" s="684">
        <v>0.12</v>
      </c>
      <c r="G53" s="684">
        <v>0.02</v>
      </c>
      <c r="H53" s="683">
        <v>2</v>
      </c>
      <c r="I53" s="684">
        <v>2E-3</v>
      </c>
      <c r="J53" s="683"/>
      <c r="K53" s="684">
        <v>0.01</v>
      </c>
      <c r="L53" s="683">
        <v>3</v>
      </c>
      <c r="M53" s="684">
        <v>0</v>
      </c>
      <c r="N53" s="684">
        <v>0.02</v>
      </c>
      <c r="O53" s="683">
        <v>0</v>
      </c>
      <c r="P53" s="685">
        <v>1.4E-2</v>
      </c>
      <c r="Q53" s="685">
        <v>7.5999999999999998E-2</v>
      </c>
      <c r="R53" s="684">
        <v>0.191</v>
      </c>
      <c r="S53" s="684">
        <v>0.254</v>
      </c>
      <c r="T53" s="684">
        <v>1E-3</v>
      </c>
      <c r="U53" s="684">
        <v>2</v>
      </c>
      <c r="V53" s="684">
        <v>0</v>
      </c>
      <c r="W53" s="684">
        <v>0</v>
      </c>
      <c r="X53" s="684">
        <v>0</v>
      </c>
      <c r="Y53" s="684">
        <v>0.01</v>
      </c>
      <c r="Z53" s="684">
        <v>0.1</v>
      </c>
      <c r="AA53"/>
      <c r="AB53"/>
      <c r="AC53"/>
    </row>
    <row r="54" spans="1:29" x14ac:dyDescent="0.25">
      <c r="A54" s="422"/>
      <c r="C54" s="931" t="s">
        <v>247</v>
      </c>
      <c r="D54" s="932" t="s">
        <v>514</v>
      </c>
      <c r="E54" s="683">
        <v>380</v>
      </c>
      <c r="F54" s="684">
        <v>13.3</v>
      </c>
      <c r="G54" s="684">
        <v>2.5</v>
      </c>
      <c r="H54" s="683">
        <v>512</v>
      </c>
      <c r="I54" s="684"/>
      <c r="J54" s="683">
        <v>40</v>
      </c>
      <c r="K54" s="684">
        <v>2.5</v>
      </c>
      <c r="L54" s="683"/>
      <c r="M54" s="684"/>
      <c r="N54" s="684">
        <v>7.71</v>
      </c>
      <c r="O54" s="683">
        <v>1198.56</v>
      </c>
      <c r="P54" s="685">
        <v>0.68</v>
      </c>
      <c r="Q54" s="685">
        <v>1.73</v>
      </c>
      <c r="R54" s="684">
        <v>11.18</v>
      </c>
      <c r="S54" s="684">
        <v>2.1800000000000002</v>
      </c>
      <c r="T54" s="684">
        <v>1.56</v>
      </c>
      <c r="U54" s="684">
        <v>200</v>
      </c>
      <c r="V54" s="684">
        <v>2</v>
      </c>
      <c r="W54" s="684">
        <v>91.2</v>
      </c>
      <c r="X54" s="684">
        <v>11.04025</v>
      </c>
      <c r="Y54" s="684">
        <v>8.85</v>
      </c>
      <c r="Z54" s="684">
        <v>39.6</v>
      </c>
      <c r="AA54"/>
      <c r="AB54"/>
      <c r="AC54"/>
    </row>
    <row r="55" spans="1:29" x14ac:dyDescent="0.25">
      <c r="C55" s="931" t="s">
        <v>250</v>
      </c>
      <c r="D55" s="1099" t="s">
        <v>20</v>
      </c>
      <c r="E55" s="683">
        <v>250</v>
      </c>
      <c r="F55" s="684">
        <v>27.1</v>
      </c>
      <c r="G55" s="684">
        <v>14.93</v>
      </c>
      <c r="H55" s="683">
        <v>12</v>
      </c>
      <c r="I55" s="684">
        <v>6.4000000000000001E-2</v>
      </c>
      <c r="J55" s="683"/>
      <c r="K55" s="684">
        <v>2.08</v>
      </c>
      <c r="L55" s="683">
        <v>14</v>
      </c>
      <c r="M55" s="684">
        <v>42.9</v>
      </c>
      <c r="N55" s="684">
        <v>3.57</v>
      </c>
      <c r="O55" s="683">
        <v>0</v>
      </c>
      <c r="P55" s="685">
        <v>0.02</v>
      </c>
      <c r="Q55" s="685">
        <v>0.14699999999999999</v>
      </c>
      <c r="R55" s="684">
        <v>2.4300000000000002</v>
      </c>
      <c r="S55" s="684">
        <v>0.626</v>
      </c>
      <c r="T55" s="684">
        <v>0.13</v>
      </c>
      <c r="U55" s="684">
        <v>9</v>
      </c>
      <c r="V55" s="684">
        <v>1.62</v>
      </c>
      <c r="W55" s="684">
        <v>0</v>
      </c>
      <c r="X55" s="684">
        <v>0.2</v>
      </c>
      <c r="Y55" s="684">
        <v>0.15</v>
      </c>
      <c r="Z55" s="684">
        <v>1.6</v>
      </c>
      <c r="AA55"/>
      <c r="AB55"/>
      <c r="AC55"/>
    </row>
    <row r="56" spans="1:29" x14ac:dyDescent="0.25">
      <c r="C56" s="931" t="s">
        <v>175</v>
      </c>
      <c r="D56" s="1099" t="s">
        <v>437</v>
      </c>
      <c r="E56" s="683">
        <v>376</v>
      </c>
      <c r="F56" s="684">
        <v>12.76</v>
      </c>
      <c r="G56" s="684">
        <v>0.64</v>
      </c>
      <c r="H56" s="683">
        <v>24</v>
      </c>
      <c r="I56" s="684">
        <v>0.247</v>
      </c>
      <c r="J56" s="683"/>
      <c r="K56" s="684">
        <v>1.08</v>
      </c>
      <c r="L56" s="683">
        <v>44</v>
      </c>
      <c r="M56" s="684"/>
      <c r="N56" s="684">
        <v>0.83</v>
      </c>
      <c r="O56" s="683">
        <v>0</v>
      </c>
      <c r="P56" s="685">
        <v>0.16300000000000001</v>
      </c>
      <c r="Q56" s="685">
        <v>7.8E-2</v>
      </c>
      <c r="R56" s="684">
        <v>3.49</v>
      </c>
      <c r="S56" s="684">
        <v>1.2430000000000001</v>
      </c>
      <c r="T56" s="684">
        <v>0.11</v>
      </c>
      <c r="U56" s="684">
        <v>20</v>
      </c>
      <c r="V56" s="684">
        <v>0</v>
      </c>
      <c r="W56" s="684">
        <v>0</v>
      </c>
      <c r="X56" s="684">
        <v>0</v>
      </c>
      <c r="Y56" s="684"/>
      <c r="Z56" s="684"/>
      <c r="AA56"/>
      <c r="AB56"/>
      <c r="AC56"/>
    </row>
    <row r="57" spans="1:29" x14ac:dyDescent="0.25">
      <c r="C57" s="931" t="s">
        <v>179</v>
      </c>
      <c r="D57" s="1099" t="s">
        <v>254</v>
      </c>
      <c r="E57" s="683">
        <v>336</v>
      </c>
      <c r="F57" s="684">
        <v>23.52</v>
      </c>
      <c r="G57" s="684">
        <v>1.26</v>
      </c>
      <c r="H57" s="683">
        <v>110</v>
      </c>
      <c r="I57" s="684">
        <v>0.84499999999999997</v>
      </c>
      <c r="J57" s="683"/>
      <c r="K57" s="684">
        <v>8.27</v>
      </c>
      <c r="L57" s="683">
        <v>184</v>
      </c>
      <c r="M57" s="684">
        <v>9</v>
      </c>
      <c r="N57" s="684">
        <v>3.37</v>
      </c>
      <c r="O57" s="683">
        <v>3</v>
      </c>
      <c r="P57" s="685">
        <v>0.85299999999999998</v>
      </c>
      <c r="Q57" s="685">
        <v>0.22600000000000001</v>
      </c>
      <c r="R57" s="684">
        <v>2.0750000000000002</v>
      </c>
      <c r="S57" s="684">
        <v>1.496</v>
      </c>
      <c r="T57" s="684">
        <v>0.35699999999999998</v>
      </c>
      <c r="U57" s="684">
        <v>633</v>
      </c>
      <c r="V57" s="684">
        <v>0</v>
      </c>
      <c r="W57" s="684">
        <v>1.5</v>
      </c>
      <c r="X57" s="684">
        <v>0</v>
      </c>
      <c r="Y57" s="684">
        <v>0.39</v>
      </c>
      <c r="Z57" s="684">
        <v>5</v>
      </c>
      <c r="AA57"/>
      <c r="AB57"/>
      <c r="AC57"/>
    </row>
    <row r="58" spans="1:29" x14ac:dyDescent="0.25">
      <c r="A58" s="565"/>
      <c r="C58" s="931" t="s">
        <v>247</v>
      </c>
      <c r="D58" s="1099" t="s">
        <v>657</v>
      </c>
      <c r="E58" s="683">
        <v>381.42</v>
      </c>
      <c r="F58" s="684">
        <v>15.55</v>
      </c>
      <c r="G58" s="684">
        <v>8.23</v>
      </c>
      <c r="H58" s="683">
        <v>401.2</v>
      </c>
      <c r="I58" s="684">
        <v>0.46</v>
      </c>
      <c r="J58" s="683">
        <v>40</v>
      </c>
      <c r="K58" s="684">
        <v>9.19</v>
      </c>
      <c r="L58" s="683"/>
      <c r="M58" s="684">
        <v>14.65</v>
      </c>
      <c r="N58" s="684">
        <v>7.56</v>
      </c>
      <c r="O58" s="683">
        <v>545.9</v>
      </c>
      <c r="P58" s="685">
        <v>0.55000000000000004</v>
      </c>
      <c r="Q58" s="685">
        <v>0.71</v>
      </c>
      <c r="R58" s="684">
        <v>13.48</v>
      </c>
      <c r="S58" s="684">
        <v>1.99</v>
      </c>
      <c r="T58" s="684">
        <v>1.45</v>
      </c>
      <c r="U58" s="684">
        <v>163.41</v>
      </c>
      <c r="V58" s="684">
        <v>2</v>
      </c>
      <c r="W58" s="684">
        <v>101.1</v>
      </c>
      <c r="X58" s="684">
        <v>6</v>
      </c>
      <c r="Y58" s="684">
        <v>9.7200000000000006</v>
      </c>
      <c r="Z58" s="684"/>
      <c r="AA58"/>
      <c r="AB58"/>
      <c r="AC58"/>
    </row>
    <row r="59" spans="1:29" x14ac:dyDescent="0.25">
      <c r="C59" s="931" t="s">
        <v>247</v>
      </c>
      <c r="D59" s="1099" t="s">
        <v>656</v>
      </c>
      <c r="E59" s="683">
        <v>390.72</v>
      </c>
      <c r="F59" s="684">
        <v>15.15</v>
      </c>
      <c r="G59" s="684">
        <v>10.02</v>
      </c>
      <c r="H59" s="683">
        <v>399.79</v>
      </c>
      <c r="I59" s="684">
        <v>0.45</v>
      </c>
      <c r="J59" s="683">
        <v>40</v>
      </c>
      <c r="K59" s="684">
        <v>9.15</v>
      </c>
      <c r="L59" s="683"/>
      <c r="M59" s="684">
        <v>14.45</v>
      </c>
      <c r="N59" s="684">
        <v>7.52</v>
      </c>
      <c r="O59" s="683">
        <v>545.9</v>
      </c>
      <c r="P59" s="685">
        <v>0.55000000000000004</v>
      </c>
      <c r="Q59" s="685">
        <v>0.7</v>
      </c>
      <c r="R59" s="684">
        <v>10.57</v>
      </c>
      <c r="S59" s="684">
        <v>1.98</v>
      </c>
      <c r="T59" s="684">
        <v>1.45</v>
      </c>
      <c r="U59" s="684">
        <v>161.36000000000001</v>
      </c>
      <c r="V59" s="684">
        <v>2</v>
      </c>
      <c r="W59" s="684">
        <v>101.06</v>
      </c>
      <c r="X59" s="684">
        <v>6</v>
      </c>
      <c r="Y59" s="684">
        <v>9.86</v>
      </c>
      <c r="Z59" s="684"/>
      <c r="AA59"/>
      <c r="AB59"/>
      <c r="AC59"/>
    </row>
    <row r="60" spans="1:29" x14ac:dyDescent="0.25">
      <c r="A60" s="285"/>
      <c r="C60" s="931" t="s">
        <v>247</v>
      </c>
      <c r="D60" s="1099" t="s">
        <v>662</v>
      </c>
      <c r="E60" s="683">
        <v>375.78</v>
      </c>
      <c r="F60" s="684">
        <v>15.29</v>
      </c>
      <c r="G60" s="684">
        <v>8.0299999999999994</v>
      </c>
      <c r="H60" s="683">
        <v>396.48</v>
      </c>
      <c r="I60" s="684">
        <v>0.47</v>
      </c>
      <c r="J60" s="683">
        <v>40</v>
      </c>
      <c r="K60" s="684">
        <v>9.41</v>
      </c>
      <c r="L60" s="683"/>
      <c r="M60" s="684">
        <v>15.99</v>
      </c>
      <c r="N60" s="684">
        <v>7.68</v>
      </c>
      <c r="O60" s="683">
        <v>554.97</v>
      </c>
      <c r="P60" s="685">
        <v>0.59</v>
      </c>
      <c r="Q60" s="685">
        <v>0.71</v>
      </c>
      <c r="R60" s="684">
        <v>11.05</v>
      </c>
      <c r="S60" s="684">
        <v>2.02</v>
      </c>
      <c r="T60" s="684">
        <v>1.53</v>
      </c>
      <c r="U60" s="684">
        <v>157.87</v>
      </c>
      <c r="V60" s="684">
        <v>2</v>
      </c>
      <c r="W60" s="684">
        <v>100.92</v>
      </c>
      <c r="X60" s="684">
        <v>6</v>
      </c>
      <c r="Y60" s="684">
        <v>9.6</v>
      </c>
      <c r="Z60" s="684"/>
      <c r="AA60"/>
      <c r="AB60"/>
      <c r="AC60"/>
    </row>
    <row r="61" spans="1:29" x14ac:dyDescent="0.25">
      <c r="A61" s="565"/>
      <c r="B61" s="421"/>
      <c r="C61" s="931" t="s">
        <v>247</v>
      </c>
      <c r="D61" s="1099" t="s">
        <v>661</v>
      </c>
      <c r="E61" s="683">
        <v>375.78</v>
      </c>
      <c r="F61" s="684">
        <v>15.29</v>
      </c>
      <c r="G61" s="684">
        <v>8.0299999999999994</v>
      </c>
      <c r="H61" s="683">
        <v>396.48</v>
      </c>
      <c r="I61" s="684">
        <v>0.47</v>
      </c>
      <c r="J61" s="683">
        <v>0</v>
      </c>
      <c r="K61" s="684">
        <v>9.41</v>
      </c>
      <c r="L61" s="683"/>
      <c r="M61" s="684">
        <v>15.99</v>
      </c>
      <c r="N61" s="684">
        <v>7.68</v>
      </c>
      <c r="O61" s="683">
        <v>554.98</v>
      </c>
      <c r="P61" s="685">
        <v>0.59</v>
      </c>
      <c r="Q61" s="685">
        <v>0.71</v>
      </c>
      <c r="R61" s="684">
        <v>11.05</v>
      </c>
      <c r="S61" s="684">
        <v>2.02</v>
      </c>
      <c r="T61" s="684">
        <v>1.53</v>
      </c>
      <c r="U61" s="684">
        <v>157.87</v>
      </c>
      <c r="V61" s="684">
        <v>2</v>
      </c>
      <c r="W61" s="684">
        <v>100.92</v>
      </c>
      <c r="X61" s="684">
        <v>6</v>
      </c>
      <c r="Y61" s="684">
        <v>9.6</v>
      </c>
      <c r="Z61" s="684"/>
      <c r="AA61"/>
      <c r="AB61"/>
      <c r="AC61"/>
    </row>
    <row r="62" spans="1:29" x14ac:dyDescent="0.25">
      <c r="A62" s="565"/>
      <c r="C62" s="931" t="s">
        <v>247</v>
      </c>
      <c r="D62" s="932" t="s">
        <v>660</v>
      </c>
      <c r="E62" s="683">
        <v>375.78</v>
      </c>
      <c r="F62" s="684">
        <v>15.29</v>
      </c>
      <c r="G62" s="684">
        <v>8.0299999999999994</v>
      </c>
      <c r="H62" s="683">
        <v>396.48</v>
      </c>
      <c r="I62" s="684">
        <v>0.47</v>
      </c>
      <c r="J62" s="683">
        <v>40</v>
      </c>
      <c r="K62" s="684">
        <v>9.41</v>
      </c>
      <c r="L62" s="683"/>
      <c r="M62" s="684">
        <v>15.99</v>
      </c>
      <c r="N62" s="684">
        <v>7.68</v>
      </c>
      <c r="O62" s="683">
        <v>554.98</v>
      </c>
      <c r="P62" s="685">
        <v>0.59</v>
      </c>
      <c r="Q62" s="685">
        <v>0.71</v>
      </c>
      <c r="R62" s="684">
        <v>11.05</v>
      </c>
      <c r="S62" s="684">
        <v>2.02</v>
      </c>
      <c r="T62" s="684">
        <v>1.53</v>
      </c>
      <c r="U62" s="684">
        <v>157.87</v>
      </c>
      <c r="V62" s="684">
        <v>2</v>
      </c>
      <c r="W62" s="684">
        <v>100.92</v>
      </c>
      <c r="X62" s="684">
        <v>6</v>
      </c>
      <c r="Y62" s="684">
        <v>9.6</v>
      </c>
      <c r="Z62" s="684"/>
    </row>
    <row r="63" spans="1:29" x14ac:dyDescent="0.25">
      <c r="A63" s="424"/>
      <c r="C63" s="931" t="s">
        <v>247</v>
      </c>
      <c r="D63" s="932" t="s">
        <v>659</v>
      </c>
      <c r="E63" s="683">
        <v>375.78</v>
      </c>
      <c r="F63" s="684">
        <v>15.29</v>
      </c>
      <c r="G63" s="684">
        <v>8.0299999999999994</v>
      </c>
      <c r="H63" s="683">
        <v>396.48</v>
      </c>
      <c r="I63" s="684">
        <v>0.47</v>
      </c>
      <c r="J63" s="683">
        <v>40</v>
      </c>
      <c r="K63" s="684">
        <v>9.41</v>
      </c>
      <c r="L63" s="683"/>
      <c r="M63" s="684">
        <v>15.99</v>
      </c>
      <c r="N63" s="684">
        <v>7.68</v>
      </c>
      <c r="O63" s="683">
        <v>554.98</v>
      </c>
      <c r="P63" s="685">
        <v>0.59</v>
      </c>
      <c r="Q63" s="685">
        <v>0.71</v>
      </c>
      <c r="R63" s="684">
        <v>11.05</v>
      </c>
      <c r="S63" s="684">
        <v>2.02</v>
      </c>
      <c r="T63" s="684">
        <v>1.53</v>
      </c>
      <c r="U63" s="684">
        <v>157.87</v>
      </c>
      <c r="V63" s="684">
        <v>2</v>
      </c>
      <c r="W63" s="684">
        <v>100.92</v>
      </c>
      <c r="X63" s="684">
        <v>6</v>
      </c>
      <c r="Y63" s="684">
        <v>9.6</v>
      </c>
      <c r="Z63" s="684"/>
      <c r="AA63"/>
      <c r="AB63"/>
      <c r="AC63"/>
    </row>
    <row r="64" spans="1:29" x14ac:dyDescent="0.25">
      <c r="C64" s="931" t="s">
        <v>247</v>
      </c>
      <c r="D64" s="932" t="s">
        <v>658</v>
      </c>
      <c r="E64" s="683">
        <v>393.67</v>
      </c>
      <c r="F64" s="684">
        <v>16.3</v>
      </c>
      <c r="G64" s="684">
        <v>10.15</v>
      </c>
      <c r="H64" s="683">
        <v>495.74</v>
      </c>
      <c r="I64" s="684">
        <v>0.4</v>
      </c>
      <c r="J64" s="683">
        <v>58.8</v>
      </c>
      <c r="K64" s="684">
        <v>8.9</v>
      </c>
      <c r="L64" s="683"/>
      <c r="M64" s="684">
        <v>15.14</v>
      </c>
      <c r="N64" s="684">
        <v>7.57</v>
      </c>
      <c r="O64" s="683">
        <v>542.64</v>
      </c>
      <c r="P64" s="685">
        <v>0.54</v>
      </c>
      <c r="Q64" s="685">
        <v>0.79</v>
      </c>
      <c r="R64" s="684">
        <v>10.41</v>
      </c>
      <c r="S64" s="684">
        <v>2.23</v>
      </c>
      <c r="T64" s="684">
        <v>1.43</v>
      </c>
      <c r="U64" s="684">
        <v>158.1</v>
      </c>
      <c r="V64" s="684">
        <v>2.3199999999999998</v>
      </c>
      <c r="W64" s="684">
        <v>101.46</v>
      </c>
      <c r="X64" s="684">
        <v>6.66</v>
      </c>
      <c r="Y64" s="684">
        <v>9.7899999999999991</v>
      </c>
      <c r="Z64" s="684"/>
      <c r="AA64"/>
      <c r="AB64"/>
      <c r="AC64"/>
    </row>
    <row r="65" spans="1:29" x14ac:dyDescent="0.25">
      <c r="A65" s="480"/>
      <c r="B65" s="421"/>
      <c r="C65" s="931" t="s">
        <v>249</v>
      </c>
      <c r="D65" s="932" t="s">
        <v>389</v>
      </c>
      <c r="E65" s="683">
        <v>282</v>
      </c>
      <c r="F65" s="684">
        <v>2.4500000000000002</v>
      </c>
      <c r="G65" s="684">
        <v>0.39</v>
      </c>
      <c r="H65" s="683">
        <v>39</v>
      </c>
      <c r="I65" s="684">
        <v>0.20599999999999999</v>
      </c>
      <c r="J65" s="683"/>
      <c r="K65" s="684">
        <v>1.02</v>
      </c>
      <c r="L65" s="683">
        <v>43</v>
      </c>
      <c r="M65" s="684">
        <v>3</v>
      </c>
      <c r="N65" s="684">
        <v>0.28999999999999998</v>
      </c>
      <c r="O65" s="683">
        <v>0</v>
      </c>
      <c r="P65" s="685">
        <v>5.1999999999999998E-2</v>
      </c>
      <c r="Q65" s="685">
        <v>6.6000000000000003E-2</v>
      </c>
      <c r="R65" s="684">
        <v>1.274</v>
      </c>
      <c r="S65" s="684">
        <v>0.58899999999999997</v>
      </c>
      <c r="T65" s="684">
        <v>0.16500000000000001</v>
      </c>
      <c r="U65" s="684">
        <v>19</v>
      </c>
      <c r="V65" s="684">
        <v>0</v>
      </c>
      <c r="W65" s="684">
        <v>0.4</v>
      </c>
      <c r="X65" s="684">
        <v>0</v>
      </c>
      <c r="Y65" s="684">
        <v>0.05</v>
      </c>
      <c r="Z65" s="684">
        <v>2.7</v>
      </c>
      <c r="AA65"/>
      <c r="AB65"/>
      <c r="AC65"/>
    </row>
    <row r="66" spans="1:29" s="421" customFormat="1" x14ac:dyDescent="0.25">
      <c r="A66" s="473"/>
      <c r="B66" s="106"/>
      <c r="C66" s="931" t="s">
        <v>178</v>
      </c>
      <c r="D66" s="932" t="s">
        <v>21</v>
      </c>
      <c r="E66" s="683">
        <v>362</v>
      </c>
      <c r="F66" s="684">
        <v>36.159999999999997</v>
      </c>
      <c r="G66" s="684">
        <v>0.77</v>
      </c>
      <c r="H66" s="683">
        <v>1257</v>
      </c>
      <c r="I66" s="684">
        <v>4.1000000000000002E-2</v>
      </c>
      <c r="J66" s="683"/>
      <c r="K66" s="684">
        <v>0.32</v>
      </c>
      <c r="L66" s="683">
        <v>110</v>
      </c>
      <c r="M66" s="684">
        <v>27.3</v>
      </c>
      <c r="N66" s="684">
        <v>4.08</v>
      </c>
      <c r="O66" s="683">
        <v>6</v>
      </c>
      <c r="P66" s="685">
        <v>0.41499999999999998</v>
      </c>
      <c r="Q66" s="685">
        <v>1.55</v>
      </c>
      <c r="R66" s="684">
        <v>0.95099999999999996</v>
      </c>
      <c r="S66" s="684">
        <v>3.5680000000000001</v>
      </c>
      <c r="T66" s="684">
        <v>0.36099999999999999</v>
      </c>
      <c r="U66" s="684">
        <v>50</v>
      </c>
      <c r="V66" s="684">
        <v>4.03</v>
      </c>
      <c r="W66" s="684">
        <v>6.8</v>
      </c>
      <c r="X66" s="684">
        <v>0</v>
      </c>
      <c r="Y66" s="684">
        <v>0</v>
      </c>
      <c r="Z66" s="684">
        <v>0.1</v>
      </c>
    </row>
    <row r="67" spans="1:29" s="421" customFormat="1" x14ac:dyDescent="0.25">
      <c r="A67" s="285"/>
      <c r="B67" s="106"/>
      <c r="C67" s="931" t="s">
        <v>178</v>
      </c>
      <c r="D67" s="932" t="s">
        <v>22</v>
      </c>
      <c r="E67" s="683">
        <v>362</v>
      </c>
      <c r="F67" s="684">
        <v>36.159999999999997</v>
      </c>
      <c r="G67" s="684">
        <v>0.77</v>
      </c>
      <c r="H67" s="683">
        <v>1257</v>
      </c>
      <c r="I67" s="684">
        <v>4.1000000000000002E-2</v>
      </c>
      <c r="J67" s="683"/>
      <c r="K67" s="684">
        <v>0.32</v>
      </c>
      <c r="L67" s="683">
        <v>110</v>
      </c>
      <c r="M67" s="684">
        <v>27.3</v>
      </c>
      <c r="N67" s="684">
        <v>4.08</v>
      </c>
      <c r="O67" s="683">
        <v>653</v>
      </c>
      <c r="P67" s="685">
        <v>0.41499999999999998</v>
      </c>
      <c r="Q67" s="685">
        <v>1.55</v>
      </c>
      <c r="R67" s="684">
        <v>0.95099999999999996</v>
      </c>
      <c r="S67" s="684">
        <v>3.5680000000000001</v>
      </c>
      <c r="T67" s="684">
        <v>0.36099999999999999</v>
      </c>
      <c r="U67" s="684">
        <v>50</v>
      </c>
      <c r="V67" s="684">
        <v>4.03</v>
      </c>
      <c r="W67" s="684">
        <v>6.8</v>
      </c>
      <c r="X67" s="684">
        <v>11</v>
      </c>
      <c r="Y67" s="684">
        <v>0</v>
      </c>
      <c r="Z67" s="684">
        <v>0.1</v>
      </c>
    </row>
    <row r="68" spans="1:29" x14ac:dyDescent="0.25">
      <c r="C68" s="931" t="s">
        <v>178</v>
      </c>
      <c r="D68" s="932" t="s">
        <v>23</v>
      </c>
      <c r="E68" s="683">
        <v>496</v>
      </c>
      <c r="F68" s="684">
        <v>26.32</v>
      </c>
      <c r="G68" s="684">
        <v>26.71</v>
      </c>
      <c r="H68" s="683">
        <v>912</v>
      </c>
      <c r="I68" s="684">
        <v>0.08</v>
      </c>
      <c r="J68" s="683"/>
      <c r="K68" s="684">
        <v>0.47</v>
      </c>
      <c r="L68" s="683">
        <v>85</v>
      </c>
      <c r="M68" s="684">
        <v>16.3</v>
      </c>
      <c r="N68" s="684">
        <v>3.34</v>
      </c>
      <c r="O68" s="683">
        <v>258</v>
      </c>
      <c r="P68" s="685">
        <v>0.28299999999999997</v>
      </c>
      <c r="Q68" s="685">
        <v>1.2050000000000001</v>
      </c>
      <c r="R68" s="684">
        <v>0.64600000000000002</v>
      </c>
      <c r="S68" s="684">
        <v>2.2709999999999999</v>
      </c>
      <c r="T68" s="684">
        <v>0.30199999999999999</v>
      </c>
      <c r="U68" s="684">
        <v>37</v>
      </c>
      <c r="V68" s="684">
        <v>3.25</v>
      </c>
      <c r="W68" s="684">
        <v>8.6</v>
      </c>
      <c r="X68" s="684">
        <v>0.5</v>
      </c>
      <c r="Y68" s="684">
        <v>0.57999999999999996</v>
      </c>
      <c r="Z68" s="684">
        <v>2.2000000000000002</v>
      </c>
      <c r="AA68"/>
      <c r="AB68"/>
      <c r="AC68"/>
    </row>
    <row r="69" spans="1:29" x14ac:dyDescent="0.25">
      <c r="A69" s="285"/>
      <c r="C69" s="931" t="s">
        <v>180</v>
      </c>
      <c r="D69" s="932" t="s">
        <v>398</v>
      </c>
      <c r="E69" s="683">
        <v>605</v>
      </c>
      <c r="F69" s="684">
        <v>48.37</v>
      </c>
      <c r="G69" s="684">
        <v>43.04</v>
      </c>
      <c r="H69" s="683">
        <v>236</v>
      </c>
      <c r="I69" s="684">
        <v>0.20300000000000001</v>
      </c>
      <c r="J69" s="683"/>
      <c r="K69" s="684">
        <v>4.33</v>
      </c>
      <c r="L69" s="683">
        <v>34</v>
      </c>
      <c r="M69" s="684">
        <v>164.7</v>
      </c>
      <c r="N69" s="684">
        <v>3.15</v>
      </c>
      <c r="O69" s="683">
        <v>150</v>
      </c>
      <c r="P69" s="685">
        <v>0.183</v>
      </c>
      <c r="Q69" s="685">
        <v>1.9770000000000001</v>
      </c>
      <c r="R69" s="684">
        <v>0.34</v>
      </c>
      <c r="S69" s="684">
        <v>5.55</v>
      </c>
      <c r="T69" s="684">
        <v>0.49399999999999999</v>
      </c>
      <c r="U69" s="684">
        <v>119</v>
      </c>
      <c r="V69" s="684">
        <v>3.39</v>
      </c>
      <c r="W69" s="684">
        <v>0</v>
      </c>
      <c r="X69" s="684">
        <v>3.1</v>
      </c>
      <c r="Y69" s="684">
        <v>2.17</v>
      </c>
      <c r="Z69" s="684">
        <v>1.2</v>
      </c>
      <c r="AA69"/>
      <c r="AB69"/>
      <c r="AC69"/>
    </row>
    <row r="70" spans="1:29" x14ac:dyDescent="0.25">
      <c r="C70" s="931" t="s">
        <v>180</v>
      </c>
      <c r="D70" s="1100" t="s">
        <v>393</v>
      </c>
      <c r="E70" s="683">
        <v>143</v>
      </c>
      <c r="F70" s="684">
        <v>12.56</v>
      </c>
      <c r="G70" s="684">
        <v>9.51</v>
      </c>
      <c r="H70" s="683">
        <v>56</v>
      </c>
      <c r="I70" s="684">
        <v>7.1999999999999995E-2</v>
      </c>
      <c r="J70" s="683"/>
      <c r="K70" s="684">
        <v>1.75</v>
      </c>
      <c r="L70" s="683">
        <v>12</v>
      </c>
      <c r="M70" s="684">
        <v>30.7</v>
      </c>
      <c r="N70" s="684">
        <v>1.29</v>
      </c>
      <c r="O70" s="683">
        <v>160</v>
      </c>
      <c r="P70" s="685">
        <v>0.04</v>
      </c>
      <c r="Q70" s="685">
        <v>0.45700000000000002</v>
      </c>
      <c r="R70" s="684">
        <v>7.4999999999999997E-2</v>
      </c>
      <c r="S70" s="684">
        <v>1.5329999999999999</v>
      </c>
      <c r="T70" s="684">
        <v>0.17</v>
      </c>
      <c r="U70" s="684">
        <v>47</v>
      </c>
      <c r="V70" s="684">
        <v>0.89</v>
      </c>
      <c r="W70" s="684">
        <v>0</v>
      </c>
      <c r="X70" s="684">
        <v>2</v>
      </c>
      <c r="Y70" s="684">
        <v>1.05</v>
      </c>
      <c r="Z70" s="684">
        <v>0.3</v>
      </c>
      <c r="AA70"/>
      <c r="AB70"/>
      <c r="AC70"/>
    </row>
    <row r="71" spans="1:29" x14ac:dyDescent="0.25">
      <c r="C71" s="931" t="s">
        <v>180</v>
      </c>
      <c r="D71" s="1100" t="s">
        <v>394</v>
      </c>
      <c r="E71" s="683">
        <v>185</v>
      </c>
      <c r="F71" s="684">
        <v>12.81</v>
      </c>
      <c r="G71" s="684">
        <v>13.77</v>
      </c>
      <c r="H71" s="683">
        <v>64</v>
      </c>
      <c r="I71" s="684">
        <v>6.2E-2</v>
      </c>
      <c r="J71" s="683"/>
      <c r="K71" s="684">
        <v>3.85</v>
      </c>
      <c r="L71" s="683">
        <v>17</v>
      </c>
      <c r="M71" s="684">
        <v>36.4</v>
      </c>
      <c r="N71" s="684">
        <v>1.41</v>
      </c>
      <c r="O71" s="683">
        <v>194</v>
      </c>
      <c r="P71" s="685">
        <v>0.156</v>
      </c>
      <c r="Q71" s="685">
        <v>0.40400000000000003</v>
      </c>
      <c r="R71" s="684">
        <v>0.2</v>
      </c>
      <c r="S71" s="684">
        <v>1.8620000000000001</v>
      </c>
      <c r="T71" s="684">
        <v>0.25</v>
      </c>
      <c r="U71" s="684">
        <v>80</v>
      </c>
      <c r="V71" s="684">
        <v>5.4</v>
      </c>
      <c r="W71" s="684">
        <v>0</v>
      </c>
      <c r="X71" s="684">
        <v>1.7</v>
      </c>
      <c r="Y71" s="684">
        <v>1.34</v>
      </c>
      <c r="Z71" s="684">
        <v>0.4</v>
      </c>
      <c r="AA71"/>
      <c r="AB71"/>
      <c r="AC71"/>
    </row>
    <row r="72" spans="1:29" x14ac:dyDescent="0.25">
      <c r="A72" s="105"/>
      <c r="B72" s="105"/>
      <c r="C72" s="931" t="s">
        <v>176</v>
      </c>
      <c r="D72" s="932" t="s">
        <v>24</v>
      </c>
      <c r="E72" s="683">
        <v>25</v>
      </c>
      <c r="F72" s="684">
        <v>0.98</v>
      </c>
      <c r="G72" s="684">
        <v>0.18</v>
      </c>
      <c r="H72" s="683">
        <v>9</v>
      </c>
      <c r="I72" s="684">
        <v>8.1000000000000003E-2</v>
      </c>
      <c r="J72" s="683"/>
      <c r="K72" s="684">
        <v>0.23</v>
      </c>
      <c r="L72" s="683">
        <v>14</v>
      </c>
      <c r="M72" s="684">
        <v>0.3</v>
      </c>
      <c r="N72" s="684">
        <v>0.16</v>
      </c>
      <c r="O72" s="683">
        <v>1</v>
      </c>
      <c r="P72" s="685">
        <v>3.9E-2</v>
      </c>
      <c r="Q72" s="685">
        <v>3.6999999999999998E-2</v>
      </c>
      <c r="R72" s="684">
        <v>0.64900000000000002</v>
      </c>
      <c r="S72" s="684">
        <v>0.28100000000000003</v>
      </c>
      <c r="T72" s="684">
        <v>8.4000000000000005E-2</v>
      </c>
      <c r="U72" s="684">
        <v>22</v>
      </c>
      <c r="V72" s="684">
        <v>0</v>
      </c>
      <c r="W72" s="684">
        <v>2.2000000000000002</v>
      </c>
      <c r="X72" s="684">
        <v>0</v>
      </c>
      <c r="Y72" s="684">
        <v>0.3</v>
      </c>
      <c r="Z72" s="684">
        <v>3.5</v>
      </c>
      <c r="AA72"/>
      <c r="AB72"/>
      <c r="AC72"/>
    </row>
    <row r="73" spans="1:29" x14ac:dyDescent="0.25">
      <c r="C73" s="931" t="s">
        <v>954</v>
      </c>
      <c r="D73" s="932" t="s">
        <v>531</v>
      </c>
      <c r="E73" s="683">
        <v>527</v>
      </c>
      <c r="F73" s="684">
        <v>14.5</v>
      </c>
      <c r="G73" s="684">
        <v>30.7</v>
      </c>
      <c r="H73" s="683">
        <v>450</v>
      </c>
      <c r="I73" s="684">
        <v>1.6</v>
      </c>
      <c r="J73" s="683">
        <v>105</v>
      </c>
      <c r="K73" s="684">
        <v>0.4</v>
      </c>
      <c r="L73" s="683">
        <v>110</v>
      </c>
      <c r="M73" s="684">
        <v>30</v>
      </c>
      <c r="N73" s="684">
        <v>14.5</v>
      </c>
      <c r="O73" s="683">
        <v>1200</v>
      </c>
      <c r="P73" s="685">
        <v>0.5</v>
      </c>
      <c r="Q73" s="685">
        <v>1.6</v>
      </c>
      <c r="R73" s="684">
        <v>5</v>
      </c>
      <c r="S73" s="684">
        <v>3</v>
      </c>
      <c r="T73" s="684">
        <v>0.6</v>
      </c>
      <c r="U73" s="684">
        <v>200</v>
      </c>
      <c r="V73" s="684">
        <v>1.6</v>
      </c>
      <c r="W73" s="684">
        <v>50</v>
      </c>
      <c r="X73" s="684">
        <v>17.5</v>
      </c>
      <c r="Y73" s="684">
        <v>20</v>
      </c>
      <c r="Z73" s="684">
        <v>22.5</v>
      </c>
    </row>
    <row r="74" spans="1:29" x14ac:dyDescent="0.25">
      <c r="B74" s="423"/>
      <c r="C74" s="931" t="s">
        <v>954</v>
      </c>
      <c r="D74" s="932" t="s">
        <v>532</v>
      </c>
      <c r="E74" s="683">
        <v>428</v>
      </c>
      <c r="F74" s="684">
        <v>5.4</v>
      </c>
      <c r="G74" s="684">
        <v>15.2</v>
      </c>
      <c r="H74" s="683">
        <v>450</v>
      </c>
      <c r="I74" s="684">
        <v>1.6</v>
      </c>
      <c r="J74" s="683">
        <v>105</v>
      </c>
      <c r="K74" s="684">
        <v>0.2</v>
      </c>
      <c r="L74" s="683">
        <v>56</v>
      </c>
      <c r="M74" s="684">
        <v>30</v>
      </c>
      <c r="N74" s="684">
        <v>14.5</v>
      </c>
      <c r="O74" s="683">
        <v>1200</v>
      </c>
      <c r="P74" s="685">
        <v>0.5</v>
      </c>
      <c r="Q74" s="685">
        <v>1.6</v>
      </c>
      <c r="R74" s="684">
        <v>5</v>
      </c>
      <c r="S74" s="684">
        <v>3</v>
      </c>
      <c r="T74" s="684">
        <v>0.6</v>
      </c>
      <c r="U74" s="684">
        <v>200</v>
      </c>
      <c r="V74" s="684">
        <v>1.6</v>
      </c>
      <c r="W74" s="684">
        <v>50</v>
      </c>
      <c r="X74" s="684">
        <v>17.5</v>
      </c>
      <c r="Y74" s="684">
        <v>22.5</v>
      </c>
      <c r="Z74" s="684">
        <v>22.5</v>
      </c>
      <c r="AA74"/>
      <c r="AB74"/>
      <c r="AC74"/>
    </row>
    <row r="75" spans="1:29" x14ac:dyDescent="0.25">
      <c r="A75" s="565"/>
      <c r="C75" s="931" t="s">
        <v>171</v>
      </c>
      <c r="D75" s="1097" t="s">
        <v>402</v>
      </c>
      <c r="E75" s="683">
        <v>290</v>
      </c>
      <c r="F75" s="684">
        <v>62.82</v>
      </c>
      <c r="G75" s="684">
        <v>2.37</v>
      </c>
      <c r="H75" s="683">
        <v>160</v>
      </c>
      <c r="I75" s="684">
        <v>0.17599999999999999</v>
      </c>
      <c r="J75" s="683"/>
      <c r="K75" s="684">
        <v>2.5</v>
      </c>
      <c r="L75" s="683">
        <v>133</v>
      </c>
      <c r="M75" s="684">
        <v>147.80000000000001</v>
      </c>
      <c r="N75" s="684">
        <v>1.59</v>
      </c>
      <c r="O75" s="683">
        <v>42</v>
      </c>
      <c r="P75" s="685">
        <v>0.26800000000000002</v>
      </c>
      <c r="Q75" s="685">
        <v>0.24</v>
      </c>
      <c r="R75" s="684">
        <v>7.5</v>
      </c>
      <c r="S75" s="684">
        <v>1.675</v>
      </c>
      <c r="T75" s="684">
        <v>0.86399999999999999</v>
      </c>
      <c r="U75" s="684">
        <v>25</v>
      </c>
      <c r="V75" s="684">
        <v>10</v>
      </c>
      <c r="W75" s="684">
        <v>3.5</v>
      </c>
      <c r="X75" s="684">
        <v>4</v>
      </c>
      <c r="Y75" s="684">
        <v>2.84</v>
      </c>
      <c r="Z75" s="684">
        <v>0.4</v>
      </c>
      <c r="AA75"/>
      <c r="AB75"/>
      <c r="AC75"/>
    </row>
    <row r="76" spans="1:29" x14ac:dyDescent="0.25">
      <c r="A76" s="565"/>
      <c r="C76" s="931" t="s">
        <v>171</v>
      </c>
      <c r="D76" s="932" t="s">
        <v>401</v>
      </c>
      <c r="E76" s="683">
        <v>82</v>
      </c>
      <c r="F76" s="684">
        <v>17.809999999999999</v>
      </c>
      <c r="G76" s="684">
        <v>0.67</v>
      </c>
      <c r="H76" s="683">
        <v>16</v>
      </c>
      <c r="I76" s="684">
        <v>2.8000000000000001E-2</v>
      </c>
      <c r="J76" s="683"/>
      <c r="K76" s="684">
        <v>0.38</v>
      </c>
      <c r="L76" s="683">
        <v>32</v>
      </c>
      <c r="M76" s="684">
        <v>33.1</v>
      </c>
      <c r="N76" s="684">
        <v>0.45</v>
      </c>
      <c r="O76" s="683">
        <v>12</v>
      </c>
      <c r="P76" s="685">
        <v>7.5999999999999998E-2</v>
      </c>
      <c r="Q76" s="685">
        <v>6.5000000000000002E-2</v>
      </c>
      <c r="R76" s="684">
        <v>2.0630000000000002</v>
      </c>
      <c r="S76" s="684">
        <v>0.153</v>
      </c>
      <c r="T76" s="684">
        <v>0.245</v>
      </c>
      <c r="U76" s="684">
        <v>7</v>
      </c>
      <c r="V76" s="684">
        <v>0.91</v>
      </c>
      <c r="W76" s="684">
        <v>1</v>
      </c>
      <c r="X76" s="684">
        <v>0.9</v>
      </c>
      <c r="Y76" s="684">
        <v>0.64</v>
      </c>
      <c r="Z76" s="684">
        <v>0.1</v>
      </c>
      <c r="AA76"/>
      <c r="AB76"/>
      <c r="AC76"/>
    </row>
    <row r="77" spans="1:29" x14ac:dyDescent="0.25">
      <c r="A77" s="421"/>
      <c r="B77" s="421"/>
      <c r="C77" s="931" t="s">
        <v>171</v>
      </c>
      <c r="D77" s="932" t="s">
        <v>25</v>
      </c>
      <c r="E77" s="683">
        <v>270</v>
      </c>
      <c r="F77" s="684">
        <v>47</v>
      </c>
      <c r="G77" s="684">
        <v>7.5</v>
      </c>
      <c r="H77" s="683">
        <v>343</v>
      </c>
      <c r="I77" s="684"/>
      <c r="J77" s="683"/>
      <c r="K77" s="684">
        <v>2.8</v>
      </c>
      <c r="L77" s="683"/>
      <c r="M77" s="684"/>
      <c r="N77" s="684"/>
      <c r="O77" s="683">
        <v>0</v>
      </c>
      <c r="P77" s="685">
        <v>7.0000000000000007E-2</v>
      </c>
      <c r="Q77" s="685">
        <v>0.11</v>
      </c>
      <c r="R77" s="684">
        <v>8.6</v>
      </c>
      <c r="S77" s="684"/>
      <c r="T77" s="684"/>
      <c r="U77" s="684">
        <v>0</v>
      </c>
      <c r="V77" s="684"/>
      <c r="W77" s="684">
        <v>0</v>
      </c>
      <c r="X77" s="684"/>
      <c r="Y77" s="684"/>
      <c r="Z77" s="684"/>
      <c r="AA77"/>
      <c r="AB77"/>
      <c r="AC77"/>
    </row>
    <row r="78" spans="1:29" x14ac:dyDescent="0.25">
      <c r="A78" s="421"/>
      <c r="B78" s="421"/>
      <c r="C78" s="931" t="s">
        <v>249</v>
      </c>
      <c r="D78" s="1097" t="s">
        <v>26</v>
      </c>
      <c r="E78" s="683">
        <v>73</v>
      </c>
      <c r="F78" s="684">
        <v>0.39</v>
      </c>
      <c r="G78" s="684">
        <v>7.0000000000000007E-2</v>
      </c>
      <c r="H78" s="683">
        <v>6</v>
      </c>
      <c r="I78" s="684">
        <v>6.9000000000000006E-2</v>
      </c>
      <c r="J78" s="683"/>
      <c r="K78" s="684">
        <v>0.28999999999999998</v>
      </c>
      <c r="L78" s="683">
        <v>5</v>
      </c>
      <c r="M78" s="684">
        <v>0.5</v>
      </c>
      <c r="N78" s="684">
        <v>0.08</v>
      </c>
      <c r="O78" s="683">
        <v>10</v>
      </c>
      <c r="P78" s="685">
        <v>1.7999999999999999E-2</v>
      </c>
      <c r="Q78" s="685">
        <v>1.9E-2</v>
      </c>
      <c r="R78" s="684">
        <v>0.374</v>
      </c>
      <c r="S78" s="684">
        <v>0.06</v>
      </c>
      <c r="T78" s="684">
        <v>0.05</v>
      </c>
      <c r="U78" s="684">
        <v>3</v>
      </c>
      <c r="V78" s="684">
        <v>0</v>
      </c>
      <c r="W78" s="684">
        <v>1.9</v>
      </c>
      <c r="X78" s="684">
        <v>0</v>
      </c>
      <c r="Y78" s="684">
        <v>0.4</v>
      </c>
      <c r="Z78" s="684">
        <v>2.6</v>
      </c>
      <c r="AA78"/>
      <c r="AB78"/>
      <c r="AC78"/>
    </row>
    <row r="79" spans="1:29" x14ac:dyDescent="0.25">
      <c r="C79" s="931" t="s">
        <v>173</v>
      </c>
      <c r="D79" s="932" t="s">
        <v>479</v>
      </c>
      <c r="E79" s="683">
        <v>149</v>
      </c>
      <c r="F79" s="684">
        <v>6.36</v>
      </c>
      <c r="G79" s="684">
        <v>0.5</v>
      </c>
      <c r="H79" s="683">
        <v>181</v>
      </c>
      <c r="I79" s="684">
        <v>0.29899999999999999</v>
      </c>
      <c r="J79" s="683"/>
      <c r="K79" s="684">
        <v>1.7</v>
      </c>
      <c r="L79" s="683">
        <v>25</v>
      </c>
      <c r="M79" s="684">
        <v>14.2</v>
      </c>
      <c r="N79" s="684">
        <v>1.1599999999999999</v>
      </c>
      <c r="O79" s="683">
        <v>0</v>
      </c>
      <c r="P79" s="685">
        <v>0.2</v>
      </c>
      <c r="Q79" s="685">
        <v>0.11</v>
      </c>
      <c r="R79" s="684">
        <v>0.7</v>
      </c>
      <c r="S79" s="684">
        <v>0.59599999999999997</v>
      </c>
      <c r="T79" s="684">
        <v>1.2350000000000001</v>
      </c>
      <c r="U79" s="684">
        <v>3</v>
      </c>
      <c r="V79" s="684">
        <v>0</v>
      </c>
      <c r="W79" s="684">
        <v>31.2</v>
      </c>
      <c r="X79" s="684">
        <v>0</v>
      </c>
      <c r="Y79" s="684">
        <v>0.08</v>
      </c>
      <c r="Z79" s="684">
        <v>1.7</v>
      </c>
      <c r="AA79"/>
      <c r="AB79"/>
      <c r="AC79"/>
    </row>
    <row r="80" spans="1:29" x14ac:dyDescent="0.25">
      <c r="C80" s="931" t="s">
        <v>172</v>
      </c>
      <c r="D80" s="932" t="s">
        <v>27</v>
      </c>
      <c r="E80" s="683">
        <v>876</v>
      </c>
      <c r="F80" s="684">
        <v>0.28000000000000003</v>
      </c>
      <c r="G80" s="684">
        <v>99.48</v>
      </c>
      <c r="H80" s="683">
        <v>4</v>
      </c>
      <c r="I80" s="684">
        <v>1E-3</v>
      </c>
      <c r="J80" s="683"/>
      <c r="K80" s="684">
        <v>0</v>
      </c>
      <c r="L80" s="683">
        <v>0</v>
      </c>
      <c r="M80" s="684">
        <v>0</v>
      </c>
      <c r="N80" s="684">
        <v>0.01</v>
      </c>
      <c r="O80" s="683">
        <v>840</v>
      </c>
      <c r="P80" s="685">
        <v>1E-3</v>
      </c>
      <c r="Q80" s="685">
        <v>5.0000000000000001E-3</v>
      </c>
      <c r="R80" s="684">
        <v>3.0000000000000001E-3</v>
      </c>
      <c r="S80" s="684">
        <v>0.01</v>
      </c>
      <c r="T80" s="684">
        <v>1E-3</v>
      </c>
      <c r="U80" s="684">
        <v>0</v>
      </c>
      <c r="V80" s="684">
        <v>0.01</v>
      </c>
      <c r="W80" s="684">
        <v>0</v>
      </c>
      <c r="X80" s="684">
        <v>1.8</v>
      </c>
      <c r="Y80" s="684">
        <v>2.8</v>
      </c>
      <c r="Z80" s="684">
        <v>8.6</v>
      </c>
      <c r="AA80"/>
      <c r="AB80"/>
      <c r="AC80"/>
    </row>
    <row r="81" spans="1:29" x14ac:dyDescent="0.25">
      <c r="A81" s="65"/>
      <c r="C81" s="931" t="s">
        <v>250</v>
      </c>
      <c r="D81" s="932" t="s">
        <v>408</v>
      </c>
      <c r="E81" s="680">
        <v>109</v>
      </c>
      <c r="F81" s="681">
        <v>20.6</v>
      </c>
      <c r="G81" s="681">
        <v>2.31</v>
      </c>
      <c r="H81" s="680">
        <v>13</v>
      </c>
      <c r="I81" s="681">
        <v>0.25600000000000001</v>
      </c>
      <c r="J81" s="680"/>
      <c r="K81" s="681">
        <v>2.83</v>
      </c>
      <c r="L81" s="680"/>
      <c r="M81" s="681">
        <v>8.8000000000000007</v>
      </c>
      <c r="N81" s="681">
        <v>4</v>
      </c>
      <c r="O81" s="680">
        <v>0</v>
      </c>
      <c r="P81" s="682">
        <v>0.11</v>
      </c>
      <c r="Q81" s="682">
        <v>0.49</v>
      </c>
      <c r="R81" s="681">
        <v>3.75</v>
      </c>
      <c r="S81" s="681"/>
      <c r="T81" s="681"/>
      <c r="U81" s="681">
        <v>5</v>
      </c>
      <c r="V81" s="681">
        <v>1.1299999999999999</v>
      </c>
      <c r="W81" s="681">
        <v>0</v>
      </c>
      <c r="X81" s="681"/>
      <c r="Y81" s="681"/>
      <c r="Z81" s="681"/>
      <c r="AA81"/>
      <c r="AB81"/>
      <c r="AC81"/>
    </row>
    <row r="82" spans="1:29" x14ac:dyDescent="0.25">
      <c r="A82" s="65"/>
      <c r="C82" s="931" t="s">
        <v>179</v>
      </c>
      <c r="D82" s="932" t="s">
        <v>867</v>
      </c>
      <c r="E82" s="680">
        <v>567</v>
      </c>
      <c r="F82" s="681">
        <v>25.8</v>
      </c>
      <c r="G82" s="681">
        <v>49.24</v>
      </c>
      <c r="H82" s="680">
        <v>92</v>
      </c>
      <c r="I82" s="681">
        <v>1.1439999999999999</v>
      </c>
      <c r="J82" s="680"/>
      <c r="K82" s="681">
        <v>4.58</v>
      </c>
      <c r="L82" s="680">
        <v>168</v>
      </c>
      <c r="M82" s="681">
        <v>7.2</v>
      </c>
      <c r="N82" s="681">
        <v>3.27</v>
      </c>
      <c r="O82" s="681">
        <v>0</v>
      </c>
      <c r="P82" s="682">
        <v>0.64</v>
      </c>
      <c r="Q82" s="682">
        <v>0.13500000000000001</v>
      </c>
      <c r="R82" s="681">
        <v>12.066000000000001</v>
      </c>
      <c r="S82" s="681">
        <v>1.7669999999999999</v>
      </c>
      <c r="T82" s="681">
        <v>0.34799999999999998</v>
      </c>
      <c r="U82" s="681">
        <v>240</v>
      </c>
      <c r="V82" s="681">
        <v>0</v>
      </c>
      <c r="W82" s="681">
        <v>0</v>
      </c>
      <c r="X82" s="681">
        <v>0</v>
      </c>
      <c r="Y82" s="681">
        <v>8.33</v>
      </c>
      <c r="Z82" s="681">
        <v>0</v>
      </c>
      <c r="AA82"/>
      <c r="AB82"/>
      <c r="AC82"/>
    </row>
    <row r="83" spans="1:29" x14ac:dyDescent="0.25">
      <c r="C83" s="931" t="s">
        <v>248</v>
      </c>
      <c r="D83" s="932" t="s">
        <v>28</v>
      </c>
      <c r="E83" s="680">
        <v>68</v>
      </c>
      <c r="F83" s="681">
        <v>2.5499999999999998</v>
      </c>
      <c r="G83" s="681">
        <v>0.95</v>
      </c>
      <c r="H83" s="680">
        <v>18</v>
      </c>
      <c r="I83" s="681">
        <v>0.23</v>
      </c>
      <c r="J83" s="680"/>
      <c r="K83" s="681">
        <v>0.26</v>
      </c>
      <c r="L83" s="680">
        <v>22</v>
      </c>
      <c r="M83" s="681">
        <v>0.6</v>
      </c>
      <c r="N83" s="681">
        <v>0.23</v>
      </c>
      <c r="O83" s="680">
        <v>31</v>
      </c>
      <c r="P83" s="682">
        <v>6.7000000000000004E-2</v>
      </c>
      <c r="Q83" s="682">
        <v>0.04</v>
      </c>
      <c r="R83" s="681">
        <v>1.0840000000000001</v>
      </c>
      <c r="S83" s="681">
        <v>0.45100000000000001</v>
      </c>
      <c r="T83" s="681">
        <v>0.11</v>
      </c>
      <c r="U83" s="681">
        <v>49</v>
      </c>
      <c r="V83" s="681">
        <v>0</v>
      </c>
      <c r="W83" s="681">
        <v>228.3</v>
      </c>
      <c r="X83" s="681">
        <v>0</v>
      </c>
      <c r="Y83" s="681">
        <v>0.73</v>
      </c>
      <c r="Z83" s="681">
        <v>2.6</v>
      </c>
      <c r="AA83"/>
      <c r="AB83"/>
      <c r="AC83"/>
    </row>
    <row r="84" spans="1:29" x14ac:dyDescent="0.25">
      <c r="C84" s="931" t="s">
        <v>954</v>
      </c>
      <c r="D84" s="932" t="s">
        <v>665</v>
      </c>
      <c r="E84" s="683">
        <v>450</v>
      </c>
      <c r="F84" s="684">
        <v>12.5</v>
      </c>
      <c r="G84" s="684">
        <v>15</v>
      </c>
      <c r="H84" s="683">
        <v>250</v>
      </c>
      <c r="I84" s="684"/>
      <c r="J84" s="683">
        <v>75</v>
      </c>
      <c r="K84" s="684">
        <v>11</v>
      </c>
      <c r="L84" s="683">
        <v>150</v>
      </c>
      <c r="M84" s="684"/>
      <c r="N84" s="684"/>
      <c r="O84" s="683">
        <v>250</v>
      </c>
      <c r="P84" s="685">
        <v>0.5</v>
      </c>
      <c r="Q84" s="685">
        <v>0.7</v>
      </c>
      <c r="R84" s="684">
        <v>6</v>
      </c>
      <c r="S84" s="684">
        <v>3</v>
      </c>
      <c r="T84" s="684">
        <v>1</v>
      </c>
      <c r="U84" s="684">
        <v>136</v>
      </c>
      <c r="V84" s="684">
        <v>2</v>
      </c>
      <c r="W84" s="684">
        <v>20</v>
      </c>
      <c r="X84" s="684">
        <v>1.9</v>
      </c>
      <c r="Y84" s="684">
        <v>5</v>
      </c>
      <c r="Z84" s="684"/>
      <c r="AA84"/>
      <c r="AB84"/>
      <c r="AC84"/>
    </row>
    <row r="85" spans="1:29" x14ac:dyDescent="0.25">
      <c r="C85" s="931" t="s">
        <v>173</v>
      </c>
      <c r="D85" s="1097" t="s">
        <v>553</v>
      </c>
      <c r="E85" s="687">
        <v>166</v>
      </c>
      <c r="F85" s="686">
        <v>7.9</v>
      </c>
      <c r="G85" s="686">
        <v>9.6</v>
      </c>
      <c r="H85" s="687">
        <v>38</v>
      </c>
      <c r="I85" s="686">
        <v>0.52700000000000002</v>
      </c>
      <c r="J85" s="687"/>
      <c r="K85" s="686">
        <v>2.44</v>
      </c>
      <c r="L85" s="687">
        <v>71</v>
      </c>
      <c r="M85" s="686">
        <v>2.6</v>
      </c>
      <c r="N85" s="686">
        <v>1.83</v>
      </c>
      <c r="O85" s="687"/>
      <c r="P85" s="688">
        <v>0.18</v>
      </c>
      <c r="Q85" s="688">
        <v>6.4000000000000001E-2</v>
      </c>
      <c r="R85" s="686">
        <v>0.58199999999999996</v>
      </c>
      <c r="S85" s="684">
        <v>0.13200000000000001</v>
      </c>
      <c r="T85" s="684">
        <v>0.2</v>
      </c>
      <c r="U85" s="684">
        <v>83</v>
      </c>
      <c r="V85" s="684">
        <v>0</v>
      </c>
      <c r="W85" s="686">
        <v>0</v>
      </c>
      <c r="X85" s="684">
        <v>0</v>
      </c>
      <c r="Y85" s="684"/>
      <c r="Z85" s="684"/>
      <c r="AA85"/>
      <c r="AB85"/>
      <c r="AC85"/>
    </row>
    <row r="86" spans="1:29" x14ac:dyDescent="0.25">
      <c r="C86" s="931" t="s">
        <v>173</v>
      </c>
      <c r="D86" s="932" t="s">
        <v>551</v>
      </c>
      <c r="E86" s="683">
        <v>278</v>
      </c>
      <c r="F86" s="684">
        <v>0.37</v>
      </c>
      <c r="G86" s="684">
        <v>7.0000000000000007E-2</v>
      </c>
      <c r="H86" s="683">
        <v>20</v>
      </c>
      <c r="I86" s="684">
        <v>0.1</v>
      </c>
      <c r="J86" s="683"/>
      <c r="K86" s="684">
        <v>0.49</v>
      </c>
      <c r="L86" s="683">
        <v>4</v>
      </c>
      <c r="M86" s="684">
        <v>2</v>
      </c>
      <c r="N86" s="684">
        <v>0.06</v>
      </c>
      <c r="O86" s="683">
        <v>0</v>
      </c>
      <c r="P86" s="685">
        <v>1.6E-2</v>
      </c>
      <c r="Q86" s="685">
        <v>7.5999999999999998E-2</v>
      </c>
      <c r="R86" s="684">
        <v>3.5999999999999997E-2</v>
      </c>
      <c r="S86" s="684">
        <v>0.02</v>
      </c>
      <c r="T86" s="684">
        <v>0.02</v>
      </c>
      <c r="U86" s="684">
        <v>11</v>
      </c>
      <c r="V86" s="684">
        <v>0</v>
      </c>
      <c r="W86" s="684">
        <v>8.8000000000000007</v>
      </c>
      <c r="X86" s="684">
        <v>0</v>
      </c>
      <c r="Y86" s="684">
        <v>0.12</v>
      </c>
      <c r="Z86" s="684">
        <v>0</v>
      </c>
      <c r="AA86"/>
      <c r="AB86"/>
      <c r="AC86"/>
    </row>
    <row r="87" spans="1:29" x14ac:dyDescent="0.25">
      <c r="C87" s="931" t="s">
        <v>250</v>
      </c>
      <c r="D87" s="932" t="s">
        <v>537</v>
      </c>
      <c r="E87" s="683">
        <v>282</v>
      </c>
      <c r="F87" s="684">
        <v>16.559999999999999</v>
      </c>
      <c r="G87" s="684">
        <v>23.41</v>
      </c>
      <c r="H87" s="683">
        <v>16</v>
      </c>
      <c r="I87" s="684">
        <v>0.10100000000000001</v>
      </c>
      <c r="J87" s="683"/>
      <c r="K87" s="684">
        <v>1.55</v>
      </c>
      <c r="L87" s="683">
        <v>21</v>
      </c>
      <c r="M87" s="684">
        <v>18.8</v>
      </c>
      <c r="N87" s="684">
        <v>3.41</v>
      </c>
      <c r="O87" s="683">
        <v>0</v>
      </c>
      <c r="P87" s="685">
        <v>0.11</v>
      </c>
      <c r="Q87" s="685">
        <v>0.21</v>
      </c>
      <c r="R87" s="684">
        <v>5.96</v>
      </c>
      <c r="S87" s="684">
        <v>0.65</v>
      </c>
      <c r="T87" s="684">
        <v>0.13</v>
      </c>
      <c r="U87" s="684">
        <v>18</v>
      </c>
      <c r="V87" s="684">
        <v>2.31</v>
      </c>
      <c r="W87" s="684">
        <v>0</v>
      </c>
      <c r="X87" s="684">
        <v>0.1</v>
      </c>
      <c r="Y87" s="684">
        <v>0.2</v>
      </c>
      <c r="Z87" s="684">
        <v>3.6</v>
      </c>
      <c r="AA87"/>
      <c r="AB87"/>
      <c r="AC87"/>
    </row>
    <row r="88" spans="1:29" s="423" customFormat="1" x14ac:dyDescent="0.25">
      <c r="A88"/>
      <c r="B88" s="421"/>
      <c r="C88" s="931" t="s">
        <v>176</v>
      </c>
      <c r="D88" s="932" t="s">
        <v>29</v>
      </c>
      <c r="E88" s="683">
        <v>23</v>
      </c>
      <c r="F88" s="684">
        <v>2.86</v>
      </c>
      <c r="G88" s="684">
        <v>0.39</v>
      </c>
      <c r="H88" s="683">
        <v>99</v>
      </c>
      <c r="I88" s="684">
        <v>0.13</v>
      </c>
      <c r="J88" s="683"/>
      <c r="K88" s="684">
        <v>2.71</v>
      </c>
      <c r="L88" s="683">
        <v>79</v>
      </c>
      <c r="M88" s="684">
        <v>1</v>
      </c>
      <c r="N88" s="684">
        <v>0.53</v>
      </c>
      <c r="O88" s="683">
        <v>469</v>
      </c>
      <c r="P88" s="685">
        <v>7.8E-2</v>
      </c>
      <c r="Q88" s="685">
        <v>0.189</v>
      </c>
      <c r="R88" s="684">
        <v>0.72399999999999998</v>
      </c>
      <c r="S88" s="684">
        <v>6.5000000000000002E-2</v>
      </c>
      <c r="T88" s="684">
        <v>0.19500000000000001</v>
      </c>
      <c r="U88" s="684">
        <v>194</v>
      </c>
      <c r="V88" s="684">
        <v>0</v>
      </c>
      <c r="W88" s="684">
        <v>28.1</v>
      </c>
      <c r="X88" s="684">
        <v>0</v>
      </c>
      <c r="Y88" s="684">
        <v>2.0299999999999998</v>
      </c>
      <c r="Z88" s="684">
        <v>482.9</v>
      </c>
    </row>
    <row r="89" spans="1:29" s="423" customFormat="1" x14ac:dyDescent="0.25">
      <c r="A89"/>
      <c r="B89" s="106"/>
      <c r="C89" s="931" t="s">
        <v>176</v>
      </c>
      <c r="D89" s="932" t="s">
        <v>30</v>
      </c>
      <c r="E89" s="683">
        <v>25</v>
      </c>
      <c r="F89" s="684">
        <v>1.28</v>
      </c>
      <c r="G89" s="684">
        <v>0.1</v>
      </c>
      <c r="H89" s="683">
        <v>40</v>
      </c>
      <c r="I89" s="684">
        <v>1.9E-2</v>
      </c>
      <c r="J89" s="683"/>
      <c r="K89" s="684">
        <v>0.47</v>
      </c>
      <c r="L89" s="683">
        <v>12</v>
      </c>
      <c r="M89" s="684">
        <v>0.3</v>
      </c>
      <c r="N89" s="684">
        <v>0.18</v>
      </c>
      <c r="O89" s="683">
        <v>5</v>
      </c>
      <c r="P89" s="685">
        <v>6.0999999999999999E-2</v>
      </c>
      <c r="Q89" s="685">
        <v>0.04</v>
      </c>
      <c r="R89" s="684">
        <v>0.23400000000000001</v>
      </c>
      <c r="S89" s="684">
        <v>0.21199999999999999</v>
      </c>
      <c r="T89" s="684">
        <v>0.124</v>
      </c>
      <c r="U89" s="684">
        <v>43</v>
      </c>
      <c r="V89" s="684">
        <v>0</v>
      </c>
      <c r="W89" s="684">
        <v>36.6</v>
      </c>
      <c r="X89" s="684">
        <v>0</v>
      </c>
      <c r="Y89" s="684">
        <v>0.15</v>
      </c>
      <c r="Z89" s="684">
        <v>76</v>
      </c>
    </row>
    <row r="90" spans="1:29" x14ac:dyDescent="0.25">
      <c r="A90" s="65"/>
      <c r="C90" s="931" t="s">
        <v>176</v>
      </c>
      <c r="D90" s="932" t="s">
        <v>31</v>
      </c>
      <c r="E90" s="683">
        <v>19</v>
      </c>
      <c r="F90" s="684">
        <v>3.15</v>
      </c>
      <c r="G90" s="684">
        <v>0.4</v>
      </c>
      <c r="H90" s="683">
        <v>39</v>
      </c>
      <c r="I90" s="684">
        <v>0.13300000000000001</v>
      </c>
      <c r="J90" s="683"/>
      <c r="K90" s="684">
        <v>2.2200000000000002</v>
      </c>
      <c r="L90" s="683">
        <v>38</v>
      </c>
      <c r="M90" s="684">
        <v>0.9</v>
      </c>
      <c r="N90" s="684">
        <v>0.2</v>
      </c>
      <c r="O90" s="683">
        <v>97</v>
      </c>
      <c r="P90" s="685">
        <v>9.4E-2</v>
      </c>
      <c r="Q90" s="685">
        <v>0.128</v>
      </c>
      <c r="R90" s="684">
        <v>0.92</v>
      </c>
      <c r="S90" s="684">
        <v>4.2000000000000003E-2</v>
      </c>
      <c r="T90" s="684">
        <v>0.20699999999999999</v>
      </c>
      <c r="U90" s="684">
        <v>36</v>
      </c>
      <c r="V90" s="684">
        <v>0</v>
      </c>
      <c r="W90" s="684">
        <v>11</v>
      </c>
      <c r="X90" s="684">
        <v>0</v>
      </c>
      <c r="Y90" s="684"/>
      <c r="Z90" s="684"/>
      <c r="AA90"/>
      <c r="AB90"/>
      <c r="AC90"/>
    </row>
    <row r="91" spans="1:29" x14ac:dyDescent="0.25">
      <c r="C91" s="931" t="s">
        <v>248</v>
      </c>
      <c r="D91" s="932" t="s">
        <v>416</v>
      </c>
      <c r="E91" s="683">
        <v>29</v>
      </c>
      <c r="F91" s="684">
        <v>1.1000000000000001</v>
      </c>
      <c r="G91" s="684">
        <v>0.3</v>
      </c>
      <c r="H91" s="683">
        <v>26</v>
      </c>
      <c r="I91" s="684">
        <v>3.6999999999999998E-2</v>
      </c>
      <c r="J91" s="683"/>
      <c r="K91" s="684">
        <v>0.6</v>
      </c>
      <c r="L91" s="683">
        <v>8</v>
      </c>
      <c r="M91" s="684">
        <v>0.4</v>
      </c>
      <c r="N91" s="684">
        <v>0.06</v>
      </c>
      <c r="O91" s="683">
        <v>1</v>
      </c>
      <c r="P91" s="685">
        <v>0.04</v>
      </c>
      <c r="Q91" s="685">
        <v>0.02</v>
      </c>
      <c r="R91" s="684">
        <v>0.1</v>
      </c>
      <c r="S91" s="684">
        <v>0.19</v>
      </c>
      <c r="T91" s="684">
        <v>0.08</v>
      </c>
      <c r="U91" s="684">
        <v>11</v>
      </c>
      <c r="V91" s="684">
        <v>0</v>
      </c>
      <c r="W91" s="684">
        <v>53</v>
      </c>
      <c r="X91" s="684">
        <v>0</v>
      </c>
      <c r="Y91" s="684">
        <v>0.15</v>
      </c>
      <c r="Z91" s="684">
        <v>0</v>
      </c>
      <c r="AA91"/>
      <c r="AB91"/>
      <c r="AC91"/>
    </row>
    <row r="92" spans="1:29" x14ac:dyDescent="0.25">
      <c r="A92" s="65"/>
      <c r="C92" s="931" t="s">
        <v>179</v>
      </c>
      <c r="D92" s="932" t="s">
        <v>32</v>
      </c>
      <c r="E92" s="683">
        <v>343</v>
      </c>
      <c r="F92" s="684">
        <v>25.8</v>
      </c>
      <c r="G92" s="684">
        <v>1.06</v>
      </c>
      <c r="H92" s="683">
        <v>56</v>
      </c>
      <c r="I92" s="684">
        <v>0.51900000000000002</v>
      </c>
      <c r="J92" s="683"/>
      <c r="K92" s="684">
        <v>7.54</v>
      </c>
      <c r="L92" s="683">
        <v>122</v>
      </c>
      <c r="M92" s="684">
        <v>8.3000000000000007</v>
      </c>
      <c r="N92" s="684">
        <v>4.78</v>
      </c>
      <c r="O92" s="683">
        <v>2</v>
      </c>
      <c r="P92" s="685">
        <v>0.873</v>
      </c>
      <c r="Q92" s="685">
        <v>0.21099999999999999</v>
      </c>
      <c r="R92" s="684">
        <v>2.605</v>
      </c>
      <c r="S92" s="684">
        <v>2.14</v>
      </c>
      <c r="T92" s="684">
        <v>0.54</v>
      </c>
      <c r="U92" s="684">
        <v>479</v>
      </c>
      <c r="V92" s="684">
        <v>0</v>
      </c>
      <c r="W92" s="684">
        <v>4.4000000000000004</v>
      </c>
      <c r="X92" s="684">
        <v>0</v>
      </c>
      <c r="Y92" s="684">
        <v>0.49</v>
      </c>
      <c r="Z92" s="684">
        <v>5</v>
      </c>
      <c r="AA92"/>
      <c r="AB92"/>
      <c r="AC92"/>
    </row>
    <row r="93" spans="1:29" x14ac:dyDescent="0.25">
      <c r="A93" s="65"/>
      <c r="C93" s="931" t="s">
        <v>248</v>
      </c>
      <c r="D93" s="932" t="s">
        <v>259</v>
      </c>
      <c r="E93" s="683">
        <v>30</v>
      </c>
      <c r="F93" s="684">
        <v>0.7</v>
      </c>
      <c r="G93" s="684">
        <v>0.2</v>
      </c>
      <c r="H93" s="683">
        <v>33</v>
      </c>
      <c r="I93" s="684">
        <v>6.5000000000000002E-2</v>
      </c>
      <c r="J93" s="683"/>
      <c r="K93" s="684">
        <v>0.6</v>
      </c>
      <c r="L93" s="683">
        <v>6</v>
      </c>
      <c r="M93" s="684">
        <v>0.4</v>
      </c>
      <c r="N93" s="684">
        <v>0.11</v>
      </c>
      <c r="O93" s="683">
        <v>2</v>
      </c>
      <c r="P93" s="685">
        <v>0.03</v>
      </c>
      <c r="Q93" s="685">
        <v>0.02</v>
      </c>
      <c r="R93" s="684">
        <v>0.2</v>
      </c>
      <c r="S93" s="684">
        <v>0.217</v>
      </c>
      <c r="T93" s="684">
        <v>4.2999999999999997E-2</v>
      </c>
      <c r="U93" s="684">
        <v>8</v>
      </c>
      <c r="V93" s="684">
        <v>0</v>
      </c>
      <c r="W93" s="684">
        <v>29.1</v>
      </c>
      <c r="X93" s="684">
        <v>0</v>
      </c>
      <c r="Y93" s="684">
        <v>0.22</v>
      </c>
      <c r="Z93" s="684">
        <v>0.6</v>
      </c>
      <c r="AA93"/>
      <c r="AB93"/>
      <c r="AC93"/>
    </row>
    <row r="94" spans="1:29" x14ac:dyDescent="0.25">
      <c r="A94" s="65"/>
      <c r="C94" s="931" t="s">
        <v>954</v>
      </c>
      <c r="D94" s="932" t="s">
        <v>575</v>
      </c>
      <c r="E94" s="683">
        <v>537.5</v>
      </c>
      <c r="F94" s="684">
        <v>13.2</v>
      </c>
      <c r="G94" s="684">
        <v>34.4</v>
      </c>
      <c r="H94" s="683">
        <v>550</v>
      </c>
      <c r="I94" s="684">
        <v>1</v>
      </c>
      <c r="J94" s="683">
        <v>450</v>
      </c>
      <c r="K94" s="684">
        <v>45</v>
      </c>
      <c r="L94" s="683">
        <v>80</v>
      </c>
      <c r="M94" s="684">
        <v>50</v>
      </c>
      <c r="N94" s="684">
        <v>20</v>
      </c>
      <c r="O94" s="683">
        <v>2500</v>
      </c>
      <c r="P94" s="685">
        <v>2.2999999999999998</v>
      </c>
      <c r="Q94" s="685">
        <v>2.2999999999999998</v>
      </c>
      <c r="R94" s="684">
        <v>24</v>
      </c>
      <c r="S94" s="684">
        <v>11</v>
      </c>
      <c r="T94" s="684">
        <v>1.7</v>
      </c>
      <c r="U94" s="684">
        <v>807.5</v>
      </c>
      <c r="V94" s="684">
        <v>2.8</v>
      </c>
      <c r="W94" s="684">
        <v>263</v>
      </c>
      <c r="X94" s="684"/>
      <c r="Y94" s="684"/>
      <c r="Z94" s="684"/>
      <c r="AA94"/>
      <c r="AB94"/>
      <c r="AC94"/>
    </row>
    <row r="95" spans="1:29" x14ac:dyDescent="0.25">
      <c r="C95" s="931" t="s">
        <v>954</v>
      </c>
      <c r="D95" s="932" t="s">
        <v>573</v>
      </c>
      <c r="E95" s="683">
        <v>561</v>
      </c>
      <c r="F95" s="684">
        <v>12.1</v>
      </c>
      <c r="G95" s="684">
        <v>34.5</v>
      </c>
      <c r="H95" s="683">
        <v>890</v>
      </c>
      <c r="I95" s="684">
        <v>0.6</v>
      </c>
      <c r="J95" s="683">
        <v>200</v>
      </c>
      <c r="K95" s="684">
        <v>19.5</v>
      </c>
      <c r="L95" s="683">
        <v>127.5</v>
      </c>
      <c r="M95" s="684">
        <v>40</v>
      </c>
      <c r="N95" s="684">
        <v>19.5</v>
      </c>
      <c r="O95" s="683">
        <v>935</v>
      </c>
      <c r="P95" s="685">
        <v>1.85</v>
      </c>
      <c r="Q95" s="685">
        <v>1.35</v>
      </c>
      <c r="R95" s="684">
        <v>15.8</v>
      </c>
      <c r="S95" s="684">
        <v>5.5</v>
      </c>
      <c r="T95" s="684">
        <v>1.4</v>
      </c>
      <c r="U95" s="684">
        <v>722.5</v>
      </c>
      <c r="V95" s="684">
        <v>2.2999999999999998</v>
      </c>
      <c r="W95" s="684">
        <v>120</v>
      </c>
      <c r="X95" s="684"/>
      <c r="Y95" s="684">
        <v>16.600000000000001</v>
      </c>
      <c r="Z95" s="684"/>
      <c r="AA95"/>
      <c r="AB95"/>
      <c r="AC95"/>
    </row>
    <row r="96" spans="1:29" x14ac:dyDescent="0.25">
      <c r="C96" s="931" t="s">
        <v>175</v>
      </c>
      <c r="D96" s="932" t="s">
        <v>8</v>
      </c>
      <c r="E96" s="683">
        <v>365</v>
      </c>
      <c r="F96" s="684">
        <v>9.42</v>
      </c>
      <c r="G96" s="684">
        <v>4.74</v>
      </c>
      <c r="H96" s="683">
        <v>7</v>
      </c>
      <c r="I96" s="684">
        <v>0.314</v>
      </c>
      <c r="J96" s="683"/>
      <c r="K96" s="684">
        <v>2.71</v>
      </c>
      <c r="L96" s="683">
        <v>127</v>
      </c>
      <c r="M96" s="684">
        <v>15.5</v>
      </c>
      <c r="N96" s="684">
        <v>2.21</v>
      </c>
      <c r="O96" s="683">
        <v>0</v>
      </c>
      <c r="P96" s="685">
        <v>0.38500000000000001</v>
      </c>
      <c r="Q96" s="685">
        <v>0.20100000000000001</v>
      </c>
      <c r="R96" s="684">
        <v>2.2047666666666665</v>
      </c>
      <c r="S96" s="684">
        <v>0.42399999999999999</v>
      </c>
      <c r="T96" s="684">
        <v>0.622</v>
      </c>
      <c r="U96" s="684"/>
      <c r="V96" s="684">
        <v>0</v>
      </c>
      <c r="W96" s="684">
        <v>0</v>
      </c>
      <c r="X96" s="684">
        <v>0</v>
      </c>
      <c r="Y96" s="684"/>
      <c r="Z96" s="684"/>
      <c r="AA96"/>
      <c r="AB96"/>
      <c r="AC96"/>
    </row>
    <row r="97" spans="1:29" x14ac:dyDescent="0.25">
      <c r="A97" s="285"/>
      <c r="C97" s="931" t="s">
        <v>175</v>
      </c>
      <c r="D97" s="932" t="s">
        <v>33</v>
      </c>
      <c r="E97" s="683">
        <v>365</v>
      </c>
      <c r="F97" s="684">
        <v>9.42</v>
      </c>
      <c r="G97" s="684">
        <v>4.74</v>
      </c>
      <c r="H97" s="683">
        <v>7</v>
      </c>
      <c r="I97" s="684">
        <v>0.314</v>
      </c>
      <c r="J97" s="683"/>
      <c r="K97" s="684">
        <v>2.71</v>
      </c>
      <c r="L97" s="683">
        <v>127</v>
      </c>
      <c r="M97" s="684">
        <v>15.5</v>
      </c>
      <c r="N97" s="684">
        <v>2.21</v>
      </c>
      <c r="O97" s="683">
        <v>11</v>
      </c>
      <c r="P97" s="685">
        <v>0.38500000000000001</v>
      </c>
      <c r="Q97" s="685">
        <v>0.20100000000000001</v>
      </c>
      <c r="R97" s="684">
        <v>2.2047666666666665</v>
      </c>
      <c r="S97" s="684">
        <v>0.42399999999999999</v>
      </c>
      <c r="T97" s="684">
        <v>0.622</v>
      </c>
      <c r="U97" s="684">
        <v>19</v>
      </c>
      <c r="V97" s="684">
        <v>0</v>
      </c>
      <c r="W97" s="684">
        <v>0</v>
      </c>
      <c r="X97" s="684">
        <v>0</v>
      </c>
      <c r="Y97" s="684">
        <v>0.49</v>
      </c>
      <c r="Z97" s="684">
        <v>0.3</v>
      </c>
      <c r="AA97"/>
      <c r="AB97"/>
      <c r="AC97"/>
    </row>
    <row r="98" spans="1:29" x14ac:dyDescent="0.25">
      <c r="C98" s="931" t="s">
        <v>175</v>
      </c>
      <c r="D98" s="932" t="s">
        <v>506</v>
      </c>
      <c r="E98" s="683">
        <v>370</v>
      </c>
      <c r="F98" s="684">
        <v>7.11</v>
      </c>
      <c r="G98" s="684">
        <v>1.75</v>
      </c>
      <c r="H98" s="683">
        <v>3</v>
      </c>
      <c r="I98" s="684"/>
      <c r="J98" s="683"/>
      <c r="K98" s="684">
        <v>5.0999999999999996</v>
      </c>
      <c r="L98" s="683">
        <v>32</v>
      </c>
      <c r="M98" s="684"/>
      <c r="N98" s="684">
        <v>3.06</v>
      </c>
      <c r="O98" s="683">
        <v>121</v>
      </c>
      <c r="P98" s="685">
        <v>1.8</v>
      </c>
      <c r="Q98" s="685">
        <v>0.45</v>
      </c>
      <c r="R98" s="684">
        <v>5</v>
      </c>
      <c r="S98" s="684"/>
      <c r="T98" s="684">
        <v>0.57999999999999996</v>
      </c>
      <c r="U98" s="684">
        <v>184</v>
      </c>
      <c r="V98" s="684">
        <v>11</v>
      </c>
      <c r="W98" s="684">
        <v>0</v>
      </c>
      <c r="X98" s="684">
        <v>2</v>
      </c>
      <c r="Y98" s="684">
        <v>0.12</v>
      </c>
      <c r="Z98" s="684">
        <v>0</v>
      </c>
      <c r="AA98"/>
      <c r="AB98"/>
      <c r="AC98"/>
    </row>
    <row r="99" spans="1:29" x14ac:dyDescent="0.25">
      <c r="A99" s="478"/>
      <c r="C99" s="931" t="s">
        <v>175</v>
      </c>
      <c r="D99" s="932" t="s">
        <v>666</v>
      </c>
      <c r="E99" s="683">
        <v>365.93</v>
      </c>
      <c r="F99" s="684">
        <v>8.48</v>
      </c>
      <c r="G99" s="684">
        <v>1.65</v>
      </c>
      <c r="H99" s="683">
        <v>5</v>
      </c>
      <c r="I99" s="684">
        <v>0.08</v>
      </c>
      <c r="J99" s="683">
        <v>0</v>
      </c>
      <c r="K99" s="684">
        <v>2.6</v>
      </c>
      <c r="L99" s="683"/>
      <c r="M99" s="684">
        <v>7.8</v>
      </c>
      <c r="N99" s="684">
        <v>3.72</v>
      </c>
      <c r="O99" s="683">
        <v>164.84</v>
      </c>
      <c r="P99" s="685">
        <v>0.57999999999999996</v>
      </c>
      <c r="Q99" s="685">
        <v>0.31</v>
      </c>
      <c r="R99" s="684">
        <v>4.5</v>
      </c>
      <c r="S99" s="684">
        <v>0.31</v>
      </c>
      <c r="T99" s="684">
        <v>0.26</v>
      </c>
      <c r="U99" s="684">
        <v>207.99</v>
      </c>
      <c r="V99" s="684">
        <v>0.8</v>
      </c>
      <c r="W99" s="684">
        <v>0</v>
      </c>
      <c r="X99" s="684">
        <v>0</v>
      </c>
      <c r="Y99" s="684">
        <v>0.15</v>
      </c>
      <c r="Z99" s="684"/>
      <c r="AA99"/>
      <c r="AB99"/>
      <c r="AC99"/>
    </row>
    <row r="100" spans="1:29" x14ac:dyDescent="0.25">
      <c r="B100" s="287"/>
      <c r="C100" s="931" t="s">
        <v>175</v>
      </c>
      <c r="D100" s="932" t="s">
        <v>34</v>
      </c>
      <c r="E100" s="683">
        <v>370</v>
      </c>
      <c r="F100" s="684">
        <v>7.11</v>
      </c>
      <c r="G100" s="684">
        <v>1.75</v>
      </c>
      <c r="H100" s="683">
        <v>3</v>
      </c>
      <c r="I100" s="684">
        <v>7.5999999999999998E-2</v>
      </c>
      <c r="J100" s="683"/>
      <c r="K100" s="684">
        <v>1.1000000000000001</v>
      </c>
      <c r="L100" s="683">
        <v>32</v>
      </c>
      <c r="M100" s="684">
        <v>10.5</v>
      </c>
      <c r="N100" s="684">
        <v>0.66</v>
      </c>
      <c r="O100" s="683">
        <v>0</v>
      </c>
      <c r="P100" s="685">
        <v>0.14000000000000001</v>
      </c>
      <c r="Q100" s="685">
        <v>0.05</v>
      </c>
      <c r="R100" s="684">
        <v>0.93333333333333335</v>
      </c>
      <c r="S100" s="684">
        <v>0.24</v>
      </c>
      <c r="T100" s="684">
        <v>0.182</v>
      </c>
      <c r="U100" s="684">
        <v>30</v>
      </c>
      <c r="V100" s="684">
        <v>0</v>
      </c>
      <c r="W100" s="684">
        <v>0</v>
      </c>
      <c r="X100" s="684">
        <v>0</v>
      </c>
      <c r="Y100" s="684">
        <v>0.12</v>
      </c>
      <c r="Z100" s="684">
        <v>0</v>
      </c>
      <c r="AA100"/>
      <c r="AB100"/>
      <c r="AC100"/>
    </row>
    <row r="101" spans="1:29" x14ac:dyDescent="0.25">
      <c r="A101" s="473"/>
      <c r="C101" s="931" t="s">
        <v>175</v>
      </c>
      <c r="D101" s="932" t="s">
        <v>425</v>
      </c>
      <c r="E101" s="683">
        <v>370</v>
      </c>
      <c r="F101" s="684">
        <v>7.11</v>
      </c>
      <c r="G101" s="684">
        <v>1.75</v>
      </c>
      <c r="H101" s="683">
        <v>3</v>
      </c>
      <c r="I101" s="684">
        <v>7.5999999999999998E-2</v>
      </c>
      <c r="J101" s="683"/>
      <c r="K101" s="684">
        <v>4.3600000000000003</v>
      </c>
      <c r="L101" s="683">
        <v>32</v>
      </c>
      <c r="M101" s="684">
        <v>10.5</v>
      </c>
      <c r="N101" s="684">
        <v>0.66</v>
      </c>
      <c r="O101" s="683">
        <v>0</v>
      </c>
      <c r="P101" s="685">
        <v>0.55100000000000005</v>
      </c>
      <c r="Q101" s="685">
        <v>0.38200000000000001</v>
      </c>
      <c r="R101" s="684">
        <v>4.968</v>
      </c>
      <c r="S101" s="684">
        <v>0.24</v>
      </c>
      <c r="T101" s="684">
        <v>0.182</v>
      </c>
      <c r="U101" s="684">
        <v>335</v>
      </c>
      <c r="V101" s="684">
        <v>0</v>
      </c>
      <c r="W101" s="684">
        <v>0</v>
      </c>
      <c r="X101" s="684">
        <v>0</v>
      </c>
      <c r="Y101" s="684">
        <v>0.12</v>
      </c>
      <c r="Z101" s="684">
        <v>0</v>
      </c>
      <c r="AA101"/>
      <c r="AB101"/>
      <c r="AC101"/>
    </row>
    <row r="102" spans="1:29" x14ac:dyDescent="0.25">
      <c r="C102" s="931" t="s">
        <v>175</v>
      </c>
      <c r="D102" s="932" t="s">
        <v>35</v>
      </c>
      <c r="E102" s="683">
        <v>362</v>
      </c>
      <c r="F102" s="684">
        <v>8.1199999999999992</v>
      </c>
      <c r="G102" s="684">
        <v>3.59</v>
      </c>
      <c r="H102" s="683">
        <v>6</v>
      </c>
      <c r="I102" s="684">
        <v>0.193</v>
      </c>
      <c r="J102" s="683"/>
      <c r="K102" s="684">
        <v>3.45</v>
      </c>
      <c r="L102" s="683">
        <v>127</v>
      </c>
      <c r="M102" s="684">
        <v>15.5</v>
      </c>
      <c r="N102" s="684">
        <v>1.82</v>
      </c>
      <c r="O102" s="683">
        <v>0</v>
      </c>
      <c r="P102" s="685">
        <v>0.38500000000000001</v>
      </c>
      <c r="Q102" s="685">
        <v>0.20100000000000001</v>
      </c>
      <c r="R102" s="684">
        <v>2.0396000000000001</v>
      </c>
      <c r="S102" s="684">
        <v>0.42499999999999999</v>
      </c>
      <c r="T102" s="684">
        <v>0.30399999999999999</v>
      </c>
      <c r="U102" s="684">
        <v>25</v>
      </c>
      <c r="V102" s="684">
        <v>0</v>
      </c>
      <c r="W102" s="684">
        <v>0</v>
      </c>
      <c r="X102" s="684">
        <v>0</v>
      </c>
      <c r="Y102" s="684">
        <v>0.42</v>
      </c>
      <c r="Z102" s="684">
        <v>0.3</v>
      </c>
      <c r="AA102"/>
      <c r="AB102"/>
      <c r="AC102"/>
    </row>
    <row r="103" spans="1:29" x14ac:dyDescent="0.25">
      <c r="C103" s="931" t="s">
        <v>175</v>
      </c>
      <c r="D103" s="932" t="s">
        <v>36</v>
      </c>
      <c r="E103" s="683">
        <v>370</v>
      </c>
      <c r="F103" s="684">
        <v>7.11</v>
      </c>
      <c r="G103" s="684">
        <v>1.75</v>
      </c>
      <c r="H103" s="683">
        <v>3</v>
      </c>
      <c r="I103" s="684">
        <v>7.5999999999999998E-2</v>
      </c>
      <c r="J103" s="683"/>
      <c r="K103" s="684">
        <v>1.1000000000000001</v>
      </c>
      <c r="L103" s="683">
        <v>32</v>
      </c>
      <c r="M103" s="684">
        <v>10.5</v>
      </c>
      <c r="N103" s="684">
        <v>0.66</v>
      </c>
      <c r="O103" s="683">
        <v>11</v>
      </c>
      <c r="P103" s="685">
        <v>0.14000000000000001</v>
      </c>
      <c r="Q103" s="685">
        <v>0.05</v>
      </c>
      <c r="R103" s="684">
        <v>0.93333333333333335</v>
      </c>
      <c r="S103" s="684">
        <v>0.24</v>
      </c>
      <c r="T103" s="684">
        <v>0.182</v>
      </c>
      <c r="U103" s="684">
        <v>30</v>
      </c>
      <c r="V103" s="684">
        <v>0</v>
      </c>
      <c r="W103" s="684">
        <v>0</v>
      </c>
      <c r="X103" s="684">
        <v>0</v>
      </c>
      <c r="Y103" s="684">
        <v>0.12</v>
      </c>
      <c r="Z103" s="684">
        <v>0</v>
      </c>
      <c r="AA103"/>
      <c r="AB103"/>
      <c r="AC103"/>
    </row>
    <row r="104" spans="1:29" x14ac:dyDescent="0.25">
      <c r="C104" s="931" t="s">
        <v>175</v>
      </c>
      <c r="D104" s="932" t="s">
        <v>426</v>
      </c>
      <c r="E104" s="683">
        <v>370</v>
      </c>
      <c r="F104" s="684">
        <v>7.11</v>
      </c>
      <c r="G104" s="684">
        <v>1.75</v>
      </c>
      <c r="H104" s="683">
        <v>3</v>
      </c>
      <c r="I104" s="684">
        <v>7.5999999999999998E-2</v>
      </c>
      <c r="J104" s="683"/>
      <c r="K104" s="684">
        <v>4.3600000000000003</v>
      </c>
      <c r="L104" s="683">
        <v>32</v>
      </c>
      <c r="M104" s="684">
        <v>10.5</v>
      </c>
      <c r="N104" s="684">
        <v>0.66</v>
      </c>
      <c r="O104" s="683">
        <v>11</v>
      </c>
      <c r="P104" s="685">
        <v>0.55100000000000005</v>
      </c>
      <c r="Q104" s="685">
        <v>0.38200000000000001</v>
      </c>
      <c r="R104" s="684">
        <v>4.968</v>
      </c>
      <c r="S104" s="684">
        <v>0.24</v>
      </c>
      <c r="T104" s="684">
        <v>0.182</v>
      </c>
      <c r="U104" s="684">
        <v>335</v>
      </c>
      <c r="V104" s="684">
        <v>0</v>
      </c>
      <c r="W104" s="684">
        <v>0</v>
      </c>
      <c r="X104" s="684">
        <v>0</v>
      </c>
      <c r="Y104" s="684">
        <v>0.12</v>
      </c>
      <c r="Z104" s="684">
        <v>0</v>
      </c>
      <c r="AA104"/>
      <c r="AB104"/>
      <c r="AC104"/>
    </row>
    <row r="105" spans="1:29" s="105" customFormat="1" x14ac:dyDescent="0.25">
      <c r="A105" s="65"/>
      <c r="B105" s="106"/>
      <c r="C105" s="931" t="s">
        <v>175</v>
      </c>
      <c r="D105" s="932" t="s">
        <v>37</v>
      </c>
      <c r="E105" s="683">
        <v>362</v>
      </c>
      <c r="F105" s="684">
        <v>8.1199999999999992</v>
      </c>
      <c r="G105" s="684">
        <v>3.59</v>
      </c>
      <c r="H105" s="683">
        <v>6</v>
      </c>
      <c r="I105" s="684">
        <v>0.193</v>
      </c>
      <c r="J105" s="683"/>
      <c r="K105" s="684">
        <v>3.45</v>
      </c>
      <c r="L105" s="683">
        <v>127</v>
      </c>
      <c r="M105" s="684">
        <v>15.5</v>
      </c>
      <c r="N105" s="684">
        <v>1.82</v>
      </c>
      <c r="O105" s="683">
        <v>11</v>
      </c>
      <c r="P105" s="685">
        <v>0.38500000000000001</v>
      </c>
      <c r="Q105" s="685">
        <v>0.20100000000000001</v>
      </c>
      <c r="R105" s="684">
        <v>2.0396000000000001</v>
      </c>
      <c r="S105" s="684">
        <v>0.42499999999999999</v>
      </c>
      <c r="T105" s="684">
        <v>0.30399999999999999</v>
      </c>
      <c r="U105" s="684">
        <v>25</v>
      </c>
      <c r="V105" s="684">
        <v>0</v>
      </c>
      <c r="W105" s="684">
        <v>0</v>
      </c>
      <c r="X105" s="684">
        <v>0</v>
      </c>
      <c r="Y105" s="684">
        <v>0.42</v>
      </c>
      <c r="Z105" s="684">
        <v>0.3</v>
      </c>
    </row>
    <row r="106" spans="1:29" x14ac:dyDescent="0.25">
      <c r="A106" s="473"/>
      <c r="C106" s="931" t="s">
        <v>176</v>
      </c>
      <c r="D106" s="932" t="s">
        <v>430</v>
      </c>
      <c r="E106" s="683">
        <v>86</v>
      </c>
      <c r="F106" s="684">
        <v>3.22</v>
      </c>
      <c r="G106" s="684">
        <v>1.18</v>
      </c>
      <c r="H106" s="683">
        <v>2</v>
      </c>
      <c r="I106" s="684">
        <v>5.3999999999999999E-2</v>
      </c>
      <c r="J106" s="683"/>
      <c r="K106" s="684">
        <v>0.52</v>
      </c>
      <c r="L106" s="683">
        <v>37</v>
      </c>
      <c r="M106" s="684">
        <v>0.6</v>
      </c>
      <c r="N106" s="684">
        <v>0.45</v>
      </c>
      <c r="O106" s="683">
        <v>0</v>
      </c>
      <c r="P106" s="685">
        <v>0.2</v>
      </c>
      <c r="Q106" s="685">
        <v>0.06</v>
      </c>
      <c r="R106" s="684">
        <v>0.79333333333333333</v>
      </c>
      <c r="S106" s="684">
        <v>0.76</v>
      </c>
      <c r="T106" s="684">
        <v>5.5E-2</v>
      </c>
      <c r="U106" s="684">
        <v>46</v>
      </c>
      <c r="V106" s="684">
        <v>0</v>
      </c>
      <c r="W106" s="684">
        <v>6.8</v>
      </c>
      <c r="X106" s="684">
        <v>0</v>
      </c>
      <c r="Y106" s="684">
        <v>7.0000000000000007E-2</v>
      </c>
      <c r="Z106" s="684">
        <v>0.3</v>
      </c>
      <c r="AA106"/>
      <c r="AB106"/>
      <c r="AC106"/>
    </row>
    <row r="107" spans="1:29" x14ac:dyDescent="0.25">
      <c r="A107" s="65"/>
      <c r="C107" s="931" t="s">
        <v>176</v>
      </c>
      <c r="D107" s="932" t="s">
        <v>429</v>
      </c>
      <c r="E107" s="683">
        <v>86</v>
      </c>
      <c r="F107" s="684">
        <v>3.27</v>
      </c>
      <c r="G107" s="684">
        <v>1.35</v>
      </c>
      <c r="H107" s="683">
        <v>2</v>
      </c>
      <c r="I107" s="684">
        <v>5.3999999999999999E-2</v>
      </c>
      <c r="J107" s="683"/>
      <c r="K107" s="684">
        <v>0.52</v>
      </c>
      <c r="L107" s="683">
        <v>37</v>
      </c>
      <c r="M107" s="684">
        <v>0.6</v>
      </c>
      <c r="N107" s="684">
        <v>0.46</v>
      </c>
      <c r="O107" s="683">
        <v>9</v>
      </c>
      <c r="P107" s="685">
        <v>0.155</v>
      </c>
      <c r="Q107" s="685">
        <v>5.5E-2</v>
      </c>
      <c r="R107" s="684">
        <v>1.081</v>
      </c>
      <c r="S107" s="684">
        <v>0.71699999999999997</v>
      </c>
      <c r="T107" s="684">
        <v>9.2999999999999999E-2</v>
      </c>
      <c r="U107" s="684">
        <v>42</v>
      </c>
      <c r="V107" s="684">
        <v>0</v>
      </c>
      <c r="W107" s="684">
        <v>6.8</v>
      </c>
      <c r="X107" s="684">
        <v>0</v>
      </c>
      <c r="Y107" s="684">
        <v>7.0000000000000007E-2</v>
      </c>
      <c r="Z107" s="684">
        <v>0.3</v>
      </c>
      <c r="AA107"/>
      <c r="AB107"/>
      <c r="AC107"/>
    </row>
    <row r="108" spans="1:29" x14ac:dyDescent="0.25">
      <c r="A108" s="65"/>
      <c r="C108" s="931" t="s">
        <v>248</v>
      </c>
      <c r="D108" s="932" t="s">
        <v>38</v>
      </c>
      <c r="E108" s="683">
        <v>60</v>
      </c>
      <c r="F108" s="684">
        <v>0.82</v>
      </c>
      <c r="G108" s="684">
        <v>0.38</v>
      </c>
      <c r="H108" s="683">
        <v>11</v>
      </c>
      <c r="I108" s="684">
        <v>0.111</v>
      </c>
      <c r="J108" s="683"/>
      <c r="K108" s="684">
        <v>0.16</v>
      </c>
      <c r="L108" s="683">
        <v>10</v>
      </c>
      <c r="M108" s="684">
        <v>0.6</v>
      </c>
      <c r="N108" s="684">
        <v>0.09</v>
      </c>
      <c r="O108" s="683">
        <v>54</v>
      </c>
      <c r="P108" s="685">
        <v>2.8000000000000001E-2</v>
      </c>
      <c r="Q108" s="685">
        <v>3.7999999999999999E-2</v>
      </c>
      <c r="R108" s="684">
        <v>0.66900000000000004</v>
      </c>
      <c r="S108" s="684">
        <v>0.19700000000000001</v>
      </c>
      <c r="T108" s="684">
        <v>0.11899999999999999</v>
      </c>
      <c r="U108" s="684">
        <v>43</v>
      </c>
      <c r="V108" s="684">
        <v>0</v>
      </c>
      <c r="W108" s="684">
        <v>36.4</v>
      </c>
      <c r="X108" s="684">
        <v>0</v>
      </c>
      <c r="Y108" s="684">
        <v>0.9</v>
      </c>
      <c r="Z108" s="684">
        <v>4.2</v>
      </c>
      <c r="AA108"/>
      <c r="AB108"/>
      <c r="AC108"/>
    </row>
    <row r="109" spans="1:29" x14ac:dyDescent="0.25">
      <c r="C109" s="931" t="s">
        <v>172</v>
      </c>
      <c r="D109" s="932" t="s">
        <v>434</v>
      </c>
      <c r="E109" s="683">
        <v>628</v>
      </c>
      <c r="F109" s="684">
        <v>0.26</v>
      </c>
      <c r="G109" s="684">
        <v>70.22</v>
      </c>
      <c r="H109" s="683">
        <v>7</v>
      </c>
      <c r="I109" s="684"/>
      <c r="J109" s="683"/>
      <c r="K109" s="684">
        <v>0.12</v>
      </c>
      <c r="L109" s="683">
        <v>2</v>
      </c>
      <c r="M109" s="684"/>
      <c r="N109" s="684">
        <v>0.06</v>
      </c>
      <c r="O109" s="683"/>
      <c r="P109" s="685">
        <v>5.1999999999999998E-2</v>
      </c>
      <c r="Q109" s="685">
        <v>2.5000000000000001E-2</v>
      </c>
      <c r="R109" s="684"/>
      <c r="S109" s="684">
        <v>1E-3</v>
      </c>
      <c r="T109" s="684">
        <v>3.0000000000000001E-3</v>
      </c>
      <c r="U109" s="684">
        <v>1</v>
      </c>
      <c r="V109" s="684"/>
      <c r="W109" s="684"/>
      <c r="X109" s="684"/>
      <c r="Y109" s="684">
        <v>5.59</v>
      </c>
      <c r="Z109" s="684"/>
      <c r="AA109"/>
      <c r="AB109"/>
      <c r="AC109"/>
    </row>
    <row r="110" spans="1:29" x14ac:dyDescent="0.25">
      <c r="C110" s="931" t="s">
        <v>178</v>
      </c>
      <c r="D110" s="932" t="s">
        <v>583</v>
      </c>
      <c r="E110" s="683">
        <v>56</v>
      </c>
      <c r="F110" s="684">
        <v>3.1</v>
      </c>
      <c r="G110" s="684">
        <v>3.2</v>
      </c>
      <c r="H110" s="683">
        <v>114</v>
      </c>
      <c r="I110" s="684">
        <v>0.15</v>
      </c>
      <c r="J110" s="683"/>
      <c r="K110" s="684">
        <v>0.21</v>
      </c>
      <c r="L110" s="683">
        <v>13</v>
      </c>
      <c r="M110" s="684"/>
      <c r="N110" s="684">
        <v>0.6</v>
      </c>
      <c r="O110" s="683">
        <v>50</v>
      </c>
      <c r="P110" s="685">
        <v>0.04</v>
      </c>
      <c r="Q110" s="685">
        <v>0.06</v>
      </c>
      <c r="R110" s="684">
        <v>0.44</v>
      </c>
      <c r="S110" s="684"/>
      <c r="T110" s="684">
        <v>0.04</v>
      </c>
      <c r="U110" s="684">
        <v>0.4</v>
      </c>
      <c r="V110" s="684">
        <v>0.2</v>
      </c>
      <c r="W110" s="684">
        <v>6.7</v>
      </c>
      <c r="X110" s="684">
        <v>1.6</v>
      </c>
      <c r="Y110" s="684"/>
      <c r="Z110" s="684"/>
      <c r="AA110"/>
      <c r="AB110"/>
      <c r="AC110"/>
    </row>
    <row r="111" spans="1:29" x14ac:dyDescent="0.25">
      <c r="C111" s="931" t="s">
        <v>178</v>
      </c>
      <c r="D111" s="932" t="s">
        <v>539</v>
      </c>
      <c r="E111" s="683">
        <v>61</v>
      </c>
      <c r="F111" s="684">
        <v>3.15</v>
      </c>
      <c r="G111" s="684">
        <v>3.27</v>
      </c>
      <c r="H111" s="683">
        <v>113</v>
      </c>
      <c r="I111" s="684">
        <v>2.5000000000000001E-2</v>
      </c>
      <c r="J111" s="683"/>
      <c r="K111" s="684">
        <v>0.03</v>
      </c>
      <c r="L111" s="683">
        <v>10</v>
      </c>
      <c r="M111" s="684">
        <v>3.7</v>
      </c>
      <c r="N111" s="684">
        <v>0.37</v>
      </c>
      <c r="O111" s="683">
        <v>46</v>
      </c>
      <c r="P111" s="685">
        <v>4.5999999999999999E-2</v>
      </c>
      <c r="Q111" s="685">
        <v>0.16900000000000001</v>
      </c>
      <c r="R111" s="684">
        <v>8.8999999999999996E-2</v>
      </c>
      <c r="S111" s="684">
        <v>0.373</v>
      </c>
      <c r="T111" s="684">
        <v>3.5999999999999997E-2</v>
      </c>
      <c r="U111" s="684">
        <v>5</v>
      </c>
      <c r="V111" s="684">
        <v>0.45</v>
      </c>
      <c r="W111" s="684">
        <v>0</v>
      </c>
      <c r="X111" s="684">
        <v>0.1</v>
      </c>
      <c r="Y111" s="684">
        <v>7.0000000000000007E-2</v>
      </c>
      <c r="Z111" s="684">
        <v>0.3</v>
      </c>
      <c r="AA111"/>
      <c r="AB111"/>
      <c r="AC111"/>
    </row>
    <row r="112" spans="1:29" x14ac:dyDescent="0.25">
      <c r="A112" s="565"/>
      <c r="C112" s="931" t="s">
        <v>178</v>
      </c>
      <c r="D112" s="932" t="s">
        <v>541</v>
      </c>
      <c r="E112" s="683">
        <v>69</v>
      </c>
      <c r="F112" s="684">
        <v>3.56</v>
      </c>
      <c r="G112" s="684">
        <v>4.1399999999999997</v>
      </c>
      <c r="H112" s="683">
        <v>134</v>
      </c>
      <c r="I112" s="684">
        <v>4.5999999999999999E-2</v>
      </c>
      <c r="J112" s="683"/>
      <c r="K112" s="684">
        <v>0.05</v>
      </c>
      <c r="L112" s="683">
        <v>14</v>
      </c>
      <c r="M112" s="684">
        <v>1.4</v>
      </c>
      <c r="N112" s="684">
        <v>0.3</v>
      </c>
      <c r="O112" s="683">
        <v>57</v>
      </c>
      <c r="P112" s="685">
        <v>4.8000000000000001E-2</v>
      </c>
      <c r="Q112" s="685">
        <v>0.13800000000000001</v>
      </c>
      <c r="R112" s="684">
        <v>0.27700000000000002</v>
      </c>
      <c r="S112" s="684">
        <v>0.31</v>
      </c>
      <c r="T112" s="684">
        <v>4.5999999999999999E-2</v>
      </c>
      <c r="U112" s="684">
        <v>1</v>
      </c>
      <c r="V112" s="684">
        <v>7.0000000000000007E-2</v>
      </c>
      <c r="W112" s="684">
        <v>1.3</v>
      </c>
      <c r="X112" s="684">
        <v>1.3</v>
      </c>
      <c r="Y112" s="684">
        <v>7.0000000000000007E-2</v>
      </c>
      <c r="Z112" s="684">
        <v>0.3</v>
      </c>
      <c r="AA112"/>
      <c r="AB112"/>
      <c r="AC112"/>
    </row>
    <row r="113" spans="1:29" x14ac:dyDescent="0.25">
      <c r="A113" s="473"/>
      <c r="C113" s="931" t="s">
        <v>175</v>
      </c>
      <c r="D113" s="1100" t="s">
        <v>439</v>
      </c>
      <c r="E113" s="683">
        <v>378</v>
      </c>
      <c r="F113" s="684">
        <v>11.02</v>
      </c>
      <c r="G113" s="684">
        <v>4.22</v>
      </c>
      <c r="H113" s="683">
        <v>8</v>
      </c>
      <c r="I113" s="684">
        <v>0.75</v>
      </c>
      <c r="J113" s="683"/>
      <c r="K113" s="684">
        <v>3.01</v>
      </c>
      <c r="L113" s="683">
        <v>114</v>
      </c>
      <c r="M113" s="684">
        <v>2.7</v>
      </c>
      <c r="N113" s="684">
        <v>1.68</v>
      </c>
      <c r="O113" s="683">
        <v>0</v>
      </c>
      <c r="P113" s="685">
        <v>0.42099999999999999</v>
      </c>
      <c r="Q113" s="685">
        <v>0.28999999999999998</v>
      </c>
      <c r="R113" s="684">
        <v>4.72</v>
      </c>
      <c r="S113" s="684">
        <v>0.84799999999999998</v>
      </c>
      <c r="T113" s="684">
        <v>0.38400000000000001</v>
      </c>
      <c r="U113" s="684">
        <v>85</v>
      </c>
      <c r="V113" s="684">
        <v>0</v>
      </c>
      <c r="W113" s="684">
        <v>0</v>
      </c>
      <c r="X113" s="684">
        <v>0</v>
      </c>
      <c r="Y113" s="684">
        <v>0.05</v>
      </c>
      <c r="Z113" s="684">
        <v>0.9</v>
      </c>
      <c r="AA113"/>
      <c r="AB113"/>
      <c r="AC113"/>
    </row>
    <row r="114" spans="1:29" x14ac:dyDescent="0.25">
      <c r="C114" s="931" t="s">
        <v>175</v>
      </c>
      <c r="D114" s="1100" t="s">
        <v>494</v>
      </c>
      <c r="E114" s="683">
        <v>373</v>
      </c>
      <c r="F114" s="684">
        <v>10.75</v>
      </c>
      <c r="G114" s="684">
        <v>4.25</v>
      </c>
      <c r="H114" s="683">
        <v>14</v>
      </c>
      <c r="I114" s="684">
        <v>0.53500000000000003</v>
      </c>
      <c r="J114" s="683"/>
      <c r="K114" s="684">
        <v>3.94</v>
      </c>
      <c r="L114" s="683">
        <v>119</v>
      </c>
      <c r="M114" s="684">
        <v>32.700000000000003</v>
      </c>
      <c r="N114" s="684">
        <v>2.63</v>
      </c>
      <c r="O114" s="683"/>
      <c r="P114" s="685">
        <v>0.41299999999999998</v>
      </c>
      <c r="Q114" s="685">
        <v>7.2999999999999995E-2</v>
      </c>
      <c r="R114" s="684">
        <v>6.02</v>
      </c>
      <c r="S114" s="684">
        <v>1.2669999999999999</v>
      </c>
      <c r="T114" s="684">
        <v>0.372</v>
      </c>
      <c r="U114" s="684">
        <v>42</v>
      </c>
      <c r="V114" s="684"/>
      <c r="W114" s="684">
        <v>0</v>
      </c>
      <c r="X114" s="684"/>
      <c r="Y114" s="684">
        <v>0.11</v>
      </c>
      <c r="Z114" s="684">
        <v>0.8</v>
      </c>
      <c r="AA114"/>
      <c r="AB114"/>
      <c r="AC114"/>
    </row>
    <row r="115" spans="1:29" s="421" customFormat="1" x14ac:dyDescent="0.25">
      <c r="A115" s="285"/>
      <c r="B115" s="106"/>
      <c r="C115" s="931" t="s">
        <v>954</v>
      </c>
      <c r="D115" s="1100" t="s">
        <v>95</v>
      </c>
      <c r="E115" s="687">
        <v>0</v>
      </c>
      <c r="F115" s="686">
        <v>0</v>
      </c>
      <c r="G115" s="686">
        <v>0</v>
      </c>
      <c r="H115" s="687">
        <v>0</v>
      </c>
      <c r="I115" s="686">
        <v>56.000000000000007</v>
      </c>
      <c r="J115" s="687">
        <v>9000</v>
      </c>
      <c r="K115" s="686">
        <v>1000</v>
      </c>
      <c r="L115" s="687">
        <v>0</v>
      </c>
      <c r="M115" s="686">
        <v>1700</v>
      </c>
      <c r="N115" s="686">
        <v>409.99999999999994</v>
      </c>
      <c r="O115" s="687">
        <v>40000</v>
      </c>
      <c r="P115" s="688">
        <v>50</v>
      </c>
      <c r="Q115" s="688">
        <v>50</v>
      </c>
      <c r="R115" s="686">
        <v>600</v>
      </c>
      <c r="S115" s="684">
        <v>0</v>
      </c>
      <c r="T115" s="684">
        <v>50</v>
      </c>
      <c r="U115" s="684">
        <v>25500</v>
      </c>
      <c r="V115" s="684">
        <v>90</v>
      </c>
      <c r="W115" s="686">
        <v>3000</v>
      </c>
      <c r="X115" s="684">
        <v>500</v>
      </c>
      <c r="Y115" s="684">
        <v>500</v>
      </c>
      <c r="Z115" s="684">
        <v>0</v>
      </c>
    </row>
    <row r="116" spans="1:29" x14ac:dyDescent="0.25">
      <c r="A116" s="423"/>
      <c r="B116" s="423"/>
      <c r="C116" s="931" t="s">
        <v>954</v>
      </c>
      <c r="D116" s="1099" t="s">
        <v>667</v>
      </c>
      <c r="E116" s="683">
        <v>0</v>
      </c>
      <c r="F116" s="684">
        <v>0</v>
      </c>
      <c r="G116" s="684">
        <v>0</v>
      </c>
      <c r="H116" s="683">
        <v>0</v>
      </c>
      <c r="I116" s="684">
        <v>56.000000000000007</v>
      </c>
      <c r="J116" s="683">
        <v>9000</v>
      </c>
      <c r="K116" s="684">
        <v>1000</v>
      </c>
      <c r="L116" s="946">
        <v>0</v>
      </c>
      <c r="M116" s="684">
        <v>1700</v>
      </c>
      <c r="N116" s="684">
        <v>409.99999999999994</v>
      </c>
      <c r="O116" s="683">
        <v>40000</v>
      </c>
      <c r="P116" s="685">
        <v>50</v>
      </c>
      <c r="Q116" s="685">
        <v>50</v>
      </c>
      <c r="R116" s="684">
        <v>600</v>
      </c>
      <c r="S116" s="684">
        <v>0</v>
      </c>
      <c r="T116" s="684">
        <v>50</v>
      </c>
      <c r="U116" s="684">
        <v>25500</v>
      </c>
      <c r="V116" s="684">
        <v>90</v>
      </c>
      <c r="W116" s="684">
        <v>3000</v>
      </c>
      <c r="X116" s="684">
        <v>500</v>
      </c>
      <c r="Y116" s="684">
        <v>500</v>
      </c>
      <c r="Z116" s="684">
        <v>0</v>
      </c>
      <c r="AA116"/>
      <c r="AB116"/>
      <c r="AC116"/>
    </row>
    <row r="117" spans="1:29" x14ac:dyDescent="0.25">
      <c r="A117" s="285"/>
      <c r="C117" s="931" t="s">
        <v>179</v>
      </c>
      <c r="D117" s="932" t="s">
        <v>256</v>
      </c>
      <c r="E117" s="683">
        <v>347</v>
      </c>
      <c r="F117" s="684">
        <v>23.86</v>
      </c>
      <c r="G117" s="684">
        <v>1.1499999999999999</v>
      </c>
      <c r="H117" s="683">
        <v>132</v>
      </c>
      <c r="I117" s="684">
        <v>0.94099999999999995</v>
      </c>
      <c r="J117" s="683"/>
      <c r="K117" s="684">
        <v>6.74</v>
      </c>
      <c r="L117" s="683">
        <v>189</v>
      </c>
      <c r="M117" s="684">
        <v>8.1999999999999993</v>
      </c>
      <c r="N117" s="684">
        <v>2.68</v>
      </c>
      <c r="O117" s="683">
        <v>6</v>
      </c>
      <c r="P117" s="685">
        <v>0.621</v>
      </c>
      <c r="Q117" s="685">
        <v>0.23300000000000001</v>
      </c>
      <c r="R117" s="684">
        <v>2.2509999999999999</v>
      </c>
      <c r="S117" s="684">
        <v>1.91</v>
      </c>
      <c r="T117" s="684">
        <v>0.38200000000000001</v>
      </c>
      <c r="U117" s="684">
        <v>625</v>
      </c>
      <c r="V117" s="684">
        <v>0</v>
      </c>
      <c r="W117" s="684">
        <v>4.8</v>
      </c>
      <c r="X117" s="684">
        <v>0</v>
      </c>
      <c r="Y117" s="684">
        <v>0.51</v>
      </c>
      <c r="Z117" s="684">
        <v>9</v>
      </c>
      <c r="AA117"/>
      <c r="AB117"/>
      <c r="AC117"/>
    </row>
    <row r="118" spans="1:29" s="421" customFormat="1" x14ac:dyDescent="0.25">
      <c r="A118" s="565"/>
      <c r="B118" s="106"/>
      <c r="C118" s="931" t="s">
        <v>247</v>
      </c>
      <c r="D118" s="932" t="s">
        <v>668</v>
      </c>
      <c r="E118" s="683">
        <v>373.89</v>
      </c>
      <c r="F118" s="684">
        <v>17.23</v>
      </c>
      <c r="G118" s="684">
        <v>7.48</v>
      </c>
      <c r="H118" s="683">
        <v>411.23</v>
      </c>
      <c r="I118" s="684">
        <v>0.49</v>
      </c>
      <c r="J118" s="683">
        <v>40</v>
      </c>
      <c r="K118" s="684">
        <v>9.58</v>
      </c>
      <c r="L118" s="683"/>
      <c r="M118" s="684">
        <v>32.479999999999997</v>
      </c>
      <c r="N118" s="684">
        <v>7.82</v>
      </c>
      <c r="O118" s="683">
        <v>525.22</v>
      </c>
      <c r="P118" s="685">
        <v>0.56999999999999995</v>
      </c>
      <c r="Q118" s="685">
        <v>0.72</v>
      </c>
      <c r="R118" s="684">
        <v>11.44</v>
      </c>
      <c r="S118" s="684">
        <v>2.17</v>
      </c>
      <c r="T118" s="684">
        <v>1.36</v>
      </c>
      <c r="U118" s="684">
        <v>173.33</v>
      </c>
      <c r="V118" s="684">
        <v>2</v>
      </c>
      <c r="W118" s="684">
        <v>101.15</v>
      </c>
      <c r="X118" s="684">
        <v>6</v>
      </c>
      <c r="Y118" s="684">
        <v>9.8699999999999992</v>
      </c>
      <c r="Z118" s="684"/>
      <c r="AA118" s="422"/>
      <c r="AB118" s="422"/>
      <c r="AC118" s="422"/>
    </row>
    <row r="119" spans="1:29" s="421" customFormat="1" x14ac:dyDescent="0.25">
      <c r="A119" s="565"/>
      <c r="B119" s="106"/>
      <c r="C119" s="931" t="s">
        <v>175</v>
      </c>
      <c r="D119" s="932" t="s">
        <v>518</v>
      </c>
      <c r="E119" s="683">
        <v>404</v>
      </c>
      <c r="F119" s="684">
        <v>14.66</v>
      </c>
      <c r="G119" s="684">
        <v>9.1199999999999992</v>
      </c>
      <c r="H119" s="683">
        <v>55</v>
      </c>
      <c r="I119" s="684">
        <v>0.437</v>
      </c>
      <c r="J119" s="683"/>
      <c r="K119" s="684">
        <v>4</v>
      </c>
      <c r="L119" s="683">
        <v>144</v>
      </c>
      <c r="M119" s="684">
        <v>34</v>
      </c>
      <c r="N119" s="684">
        <v>3.2</v>
      </c>
      <c r="O119" s="683">
        <v>0</v>
      </c>
      <c r="P119" s="685">
        <v>0.69199999999999995</v>
      </c>
      <c r="Q119" s="685">
        <v>0.125</v>
      </c>
      <c r="R119" s="684">
        <v>1.474</v>
      </c>
      <c r="S119" s="684">
        <v>0.20100000000000001</v>
      </c>
      <c r="T119" s="684">
        <v>0.125</v>
      </c>
      <c r="U119" s="684">
        <v>32</v>
      </c>
      <c r="V119" s="684">
        <v>0</v>
      </c>
      <c r="W119" s="684">
        <v>0</v>
      </c>
      <c r="X119" s="684">
        <v>0</v>
      </c>
      <c r="Y119" s="684">
        <v>0.7</v>
      </c>
      <c r="Z119" s="684">
        <v>3.2</v>
      </c>
      <c r="AA119" s="422"/>
      <c r="AB119" s="422"/>
      <c r="AC119" s="422"/>
    </row>
    <row r="120" spans="1:29" s="421" customFormat="1" x14ac:dyDescent="0.25">
      <c r="A120" s="565"/>
      <c r="B120" s="106"/>
      <c r="C120" s="931" t="s">
        <v>175</v>
      </c>
      <c r="D120" s="932" t="s">
        <v>39</v>
      </c>
      <c r="E120" s="683">
        <v>389</v>
      </c>
      <c r="F120" s="684">
        <v>16.89</v>
      </c>
      <c r="G120" s="684">
        <v>6.9</v>
      </c>
      <c r="H120" s="683">
        <v>54</v>
      </c>
      <c r="I120" s="684">
        <v>0.626</v>
      </c>
      <c r="J120" s="683"/>
      <c r="K120" s="684">
        <v>4.72</v>
      </c>
      <c r="L120" s="683">
        <v>177</v>
      </c>
      <c r="M120" s="684"/>
      <c r="N120" s="684">
        <v>3.97</v>
      </c>
      <c r="O120" s="683">
        <v>0</v>
      </c>
      <c r="P120" s="685">
        <v>0.76300000000000001</v>
      </c>
      <c r="Q120" s="685">
        <v>0.13900000000000001</v>
      </c>
      <c r="R120" s="684">
        <v>0.96099999999999997</v>
      </c>
      <c r="S120" s="684">
        <v>1.349</v>
      </c>
      <c r="T120" s="684">
        <v>0.11899999999999999</v>
      </c>
      <c r="U120" s="684">
        <v>56</v>
      </c>
      <c r="V120" s="684">
        <v>0</v>
      </c>
      <c r="W120" s="684">
        <v>0</v>
      </c>
      <c r="X120" s="684">
        <v>0</v>
      </c>
      <c r="Y120" s="684"/>
      <c r="Z120" s="684"/>
      <c r="AA120" s="422"/>
      <c r="AB120" s="422"/>
      <c r="AC120" s="422"/>
    </row>
    <row r="121" spans="1:29" s="421" customFormat="1" x14ac:dyDescent="0.25">
      <c r="A121" s="565"/>
      <c r="B121" s="106"/>
      <c r="C121" s="931" t="s">
        <v>172</v>
      </c>
      <c r="D121" s="932" t="s">
        <v>873</v>
      </c>
      <c r="E121" s="683">
        <v>884</v>
      </c>
      <c r="F121" s="684">
        <v>0</v>
      </c>
      <c r="G121" s="684">
        <v>100</v>
      </c>
      <c r="H121" s="683">
        <v>0</v>
      </c>
      <c r="I121" s="684">
        <v>0</v>
      </c>
      <c r="J121" s="683"/>
      <c r="K121" s="684">
        <v>0.03</v>
      </c>
      <c r="L121" s="683">
        <v>0</v>
      </c>
      <c r="M121" s="684">
        <v>0</v>
      </c>
      <c r="N121" s="684">
        <v>0.01</v>
      </c>
      <c r="O121" s="683">
        <v>0</v>
      </c>
      <c r="P121" s="685">
        <v>0</v>
      </c>
      <c r="Q121" s="685">
        <v>0</v>
      </c>
      <c r="R121" s="684">
        <v>0</v>
      </c>
      <c r="S121" s="684">
        <v>0</v>
      </c>
      <c r="T121" s="684">
        <v>0</v>
      </c>
      <c r="U121" s="684">
        <v>0</v>
      </c>
      <c r="V121" s="684">
        <v>0</v>
      </c>
      <c r="W121" s="684">
        <v>0</v>
      </c>
      <c r="X121" s="684">
        <v>0</v>
      </c>
      <c r="Y121" s="684">
        <v>15.69</v>
      </c>
      <c r="Z121" s="684">
        <v>0.7</v>
      </c>
    </row>
    <row r="122" spans="1:29" s="421" customFormat="1" x14ac:dyDescent="0.25">
      <c r="A122" s="565"/>
      <c r="B122" s="106"/>
      <c r="C122" s="931" t="s">
        <v>172</v>
      </c>
      <c r="D122" s="932" t="s">
        <v>881</v>
      </c>
      <c r="E122" s="683">
        <v>884</v>
      </c>
      <c r="F122" s="684">
        <v>0</v>
      </c>
      <c r="G122" s="684">
        <v>100</v>
      </c>
      <c r="H122" s="683">
        <v>1</v>
      </c>
      <c r="I122" s="684">
        <v>0</v>
      </c>
      <c r="J122" s="683"/>
      <c r="K122" s="684">
        <v>0.56000000000000005</v>
      </c>
      <c r="L122" s="683">
        <v>0</v>
      </c>
      <c r="M122" s="684">
        <v>0</v>
      </c>
      <c r="N122" s="684">
        <v>0</v>
      </c>
      <c r="O122" s="683">
        <v>0</v>
      </c>
      <c r="P122" s="685">
        <v>0</v>
      </c>
      <c r="Q122" s="685">
        <v>0</v>
      </c>
      <c r="R122" s="684">
        <v>0</v>
      </c>
      <c r="S122" s="684">
        <v>0</v>
      </c>
      <c r="T122" s="684">
        <v>0</v>
      </c>
      <c r="U122" s="684">
        <v>0</v>
      </c>
      <c r="V122" s="684">
        <v>0</v>
      </c>
      <c r="W122" s="684">
        <v>0</v>
      </c>
      <c r="X122" s="684">
        <v>0</v>
      </c>
      <c r="Y122" s="684">
        <v>14.35</v>
      </c>
      <c r="Z122" s="684">
        <v>60.2</v>
      </c>
    </row>
    <row r="123" spans="1:29" s="421" customFormat="1" x14ac:dyDescent="0.25">
      <c r="A123" s="65"/>
      <c r="B123" s="106"/>
      <c r="C123" s="931" t="s">
        <v>172</v>
      </c>
      <c r="D123" s="932" t="s">
        <v>443</v>
      </c>
      <c r="E123" s="680">
        <v>884</v>
      </c>
      <c r="F123" s="681">
        <v>0</v>
      </c>
      <c r="G123" s="681">
        <v>100</v>
      </c>
      <c r="H123" s="680">
        <v>0</v>
      </c>
      <c r="I123" s="681">
        <v>0</v>
      </c>
      <c r="J123" s="680"/>
      <c r="K123" s="681">
        <v>0.01</v>
      </c>
      <c r="L123" s="680">
        <v>0</v>
      </c>
      <c r="M123" s="681">
        <v>0</v>
      </c>
      <c r="N123" s="681">
        <v>0</v>
      </c>
      <c r="O123" s="1070">
        <v>0</v>
      </c>
      <c r="P123" s="682">
        <v>0</v>
      </c>
      <c r="Q123" s="682">
        <v>0</v>
      </c>
      <c r="R123" s="681">
        <v>0</v>
      </c>
      <c r="S123" s="681">
        <v>0</v>
      </c>
      <c r="T123" s="681">
        <v>0</v>
      </c>
      <c r="U123" s="681">
        <v>0</v>
      </c>
      <c r="V123" s="681">
        <v>0</v>
      </c>
      <c r="W123" s="681">
        <v>0</v>
      </c>
      <c r="X123" s="681"/>
      <c r="Y123" s="681">
        <v>15.94</v>
      </c>
      <c r="Z123" s="681">
        <v>8</v>
      </c>
    </row>
    <row r="124" spans="1:29" s="421" customFormat="1" x14ac:dyDescent="0.25">
      <c r="C124" s="931" t="s">
        <v>172</v>
      </c>
      <c r="D124" s="932" t="s">
        <v>446</v>
      </c>
      <c r="E124" s="680">
        <v>884</v>
      </c>
      <c r="F124" s="681">
        <v>0</v>
      </c>
      <c r="G124" s="681">
        <v>100</v>
      </c>
      <c r="H124" s="680">
        <v>0</v>
      </c>
      <c r="I124" s="681">
        <v>0</v>
      </c>
      <c r="J124" s="680"/>
      <c r="K124" s="681">
        <v>0</v>
      </c>
      <c r="L124" s="680">
        <v>0</v>
      </c>
      <c r="M124" s="681">
        <v>0</v>
      </c>
      <c r="N124" s="681">
        <v>0</v>
      </c>
      <c r="O124" s="680">
        <v>0</v>
      </c>
      <c r="P124" s="682">
        <v>0</v>
      </c>
      <c r="Q124" s="682">
        <v>0</v>
      </c>
      <c r="R124" s="681">
        <v>0</v>
      </c>
      <c r="S124" s="681">
        <v>0</v>
      </c>
      <c r="T124" s="681">
        <v>0</v>
      </c>
      <c r="U124" s="681">
        <v>0</v>
      </c>
      <c r="V124" s="681">
        <v>0</v>
      </c>
      <c r="W124" s="681">
        <v>0</v>
      </c>
      <c r="X124" s="681">
        <v>0</v>
      </c>
      <c r="Y124" s="681">
        <v>41.08</v>
      </c>
      <c r="Z124" s="681">
        <v>5.4</v>
      </c>
    </row>
    <row r="125" spans="1:29" s="421" customFormat="1" x14ac:dyDescent="0.25">
      <c r="C125" s="931" t="s">
        <v>172</v>
      </c>
      <c r="D125" s="932" t="s">
        <v>512</v>
      </c>
      <c r="E125" s="683">
        <v>884</v>
      </c>
      <c r="F125" s="684">
        <v>0</v>
      </c>
      <c r="G125" s="684">
        <v>100</v>
      </c>
      <c r="H125" s="683">
        <v>0</v>
      </c>
      <c r="I125" s="684"/>
      <c r="J125" s="683"/>
      <c r="K125" s="684">
        <v>0.05</v>
      </c>
      <c r="L125" s="683">
        <v>0</v>
      </c>
      <c r="M125" s="684"/>
      <c r="N125" s="684">
        <v>0.01</v>
      </c>
      <c r="O125" s="683">
        <v>2027.0270270270271</v>
      </c>
      <c r="P125" s="685">
        <v>0</v>
      </c>
      <c r="Q125" s="685">
        <v>0</v>
      </c>
      <c r="R125" s="684">
        <v>0</v>
      </c>
      <c r="S125" s="684">
        <v>0</v>
      </c>
      <c r="T125" s="684">
        <v>0</v>
      </c>
      <c r="U125" s="684">
        <v>0</v>
      </c>
      <c r="V125" s="684">
        <v>0</v>
      </c>
      <c r="W125" s="684">
        <v>0</v>
      </c>
      <c r="X125" s="684">
        <v>47.5</v>
      </c>
      <c r="Y125" s="684">
        <v>8.18</v>
      </c>
      <c r="Z125" s="684">
        <v>183.9</v>
      </c>
    </row>
    <row r="126" spans="1:29" s="421" customFormat="1" x14ac:dyDescent="0.25">
      <c r="A126"/>
      <c r="B126" s="106"/>
      <c r="C126" s="931" t="s">
        <v>172</v>
      </c>
      <c r="D126" s="932" t="s">
        <v>663</v>
      </c>
      <c r="E126" s="683">
        <v>884</v>
      </c>
      <c r="F126" s="684">
        <v>0</v>
      </c>
      <c r="G126" s="684">
        <v>100</v>
      </c>
      <c r="H126" s="683">
        <v>0</v>
      </c>
      <c r="I126" s="684"/>
      <c r="J126" s="683"/>
      <c r="K126" s="684">
        <v>0</v>
      </c>
      <c r="L126" s="683"/>
      <c r="M126" s="684"/>
      <c r="N126" s="684"/>
      <c r="O126" s="683">
        <v>900.90090090090087</v>
      </c>
      <c r="P126" s="685">
        <v>0</v>
      </c>
      <c r="Q126" s="685">
        <v>0</v>
      </c>
      <c r="R126" s="684">
        <v>0</v>
      </c>
      <c r="S126" s="684">
        <v>0</v>
      </c>
      <c r="T126" s="684">
        <v>0</v>
      </c>
      <c r="U126" s="684">
        <v>0</v>
      </c>
      <c r="V126" s="684">
        <v>0</v>
      </c>
      <c r="W126" s="684">
        <v>0</v>
      </c>
      <c r="X126" s="684">
        <v>7.5</v>
      </c>
      <c r="Y126" s="684"/>
      <c r="Z126" s="684"/>
    </row>
    <row r="127" spans="1:29" x14ac:dyDescent="0.25">
      <c r="C127" s="931" t="s">
        <v>176</v>
      </c>
      <c r="D127" s="932" t="s">
        <v>40</v>
      </c>
      <c r="E127" s="683">
        <v>40</v>
      </c>
      <c r="F127" s="684">
        <v>1.1000000000000001</v>
      </c>
      <c r="G127" s="684">
        <v>0.1</v>
      </c>
      <c r="H127" s="683">
        <v>23</v>
      </c>
      <c r="I127" s="684">
        <v>3.9E-2</v>
      </c>
      <c r="J127" s="683"/>
      <c r="K127" s="684">
        <v>0.21</v>
      </c>
      <c r="L127" s="683">
        <v>10</v>
      </c>
      <c r="M127" s="684">
        <v>0.5</v>
      </c>
      <c r="N127" s="684">
        <v>0.17</v>
      </c>
      <c r="O127" s="683">
        <v>0</v>
      </c>
      <c r="P127" s="685">
        <v>4.5999999999999999E-2</v>
      </c>
      <c r="Q127" s="685">
        <v>2.7E-2</v>
      </c>
      <c r="R127" s="684">
        <v>0.11600000000000001</v>
      </c>
      <c r="S127" s="684">
        <v>0.123</v>
      </c>
      <c r="T127" s="684">
        <v>0.12</v>
      </c>
      <c r="U127" s="684">
        <v>19</v>
      </c>
      <c r="V127" s="684">
        <v>0</v>
      </c>
      <c r="W127" s="684">
        <v>7.4</v>
      </c>
      <c r="X127" s="684">
        <v>0</v>
      </c>
      <c r="Y127" s="684">
        <v>0.02</v>
      </c>
      <c r="Z127" s="684">
        <v>0.4</v>
      </c>
      <c r="AA127"/>
      <c r="AB127"/>
      <c r="AC127"/>
    </row>
    <row r="128" spans="1:29" x14ac:dyDescent="0.25">
      <c r="C128" s="931" t="s">
        <v>248</v>
      </c>
      <c r="D128" s="932" t="s">
        <v>560</v>
      </c>
      <c r="E128" s="683">
        <v>45</v>
      </c>
      <c r="F128" s="684">
        <v>0.7</v>
      </c>
      <c r="G128" s="684">
        <v>0.2</v>
      </c>
      <c r="H128" s="683">
        <v>11</v>
      </c>
      <c r="I128" s="684">
        <v>4.3999999999999997E-2</v>
      </c>
      <c r="J128" s="683"/>
      <c r="K128" s="684">
        <v>0.2</v>
      </c>
      <c r="L128" s="683">
        <v>11</v>
      </c>
      <c r="M128" s="684">
        <v>0.1</v>
      </c>
      <c r="N128" s="684">
        <v>0.05</v>
      </c>
      <c r="O128" s="683">
        <v>10</v>
      </c>
      <c r="P128" s="685">
        <v>0.09</v>
      </c>
      <c r="Q128" s="685">
        <v>0.03</v>
      </c>
      <c r="R128" s="684">
        <v>0.4</v>
      </c>
      <c r="S128" s="684">
        <v>0.19</v>
      </c>
      <c r="T128" s="684">
        <v>0.04</v>
      </c>
      <c r="U128" s="684">
        <v>30</v>
      </c>
      <c r="V128" s="684">
        <v>0</v>
      </c>
      <c r="W128" s="684">
        <v>50</v>
      </c>
      <c r="X128" s="684">
        <v>0</v>
      </c>
      <c r="Y128" s="684">
        <v>0.04</v>
      </c>
      <c r="Z128" s="684">
        <v>0.1</v>
      </c>
    </row>
    <row r="129" spans="1:29" s="421" customFormat="1" x14ac:dyDescent="0.25">
      <c r="A129" s="285"/>
      <c r="B129" s="106"/>
      <c r="C129" s="931" t="s">
        <v>248</v>
      </c>
      <c r="D129" s="932" t="s">
        <v>535</v>
      </c>
      <c r="E129" s="683">
        <v>63</v>
      </c>
      <c r="F129" s="684">
        <v>1.3</v>
      </c>
      <c r="G129" s="684">
        <v>0.3</v>
      </c>
      <c r="H129" s="683">
        <v>70</v>
      </c>
      <c r="I129" s="684">
        <v>5.7000000000000002E-2</v>
      </c>
      <c r="J129" s="689"/>
      <c r="K129" s="684">
        <v>0.8</v>
      </c>
      <c r="L129" s="683">
        <v>14</v>
      </c>
      <c r="M129" s="684">
        <v>0.7</v>
      </c>
      <c r="N129" s="684">
        <v>0.11</v>
      </c>
      <c r="O129" s="683">
        <v>13</v>
      </c>
      <c r="P129" s="685">
        <v>0.1</v>
      </c>
      <c r="Q129" s="685">
        <v>0.05</v>
      </c>
      <c r="R129" s="684">
        <v>0.5</v>
      </c>
      <c r="S129" s="684">
        <v>0.33</v>
      </c>
      <c r="T129" s="684">
        <v>9.2999999999999999E-2</v>
      </c>
      <c r="U129" s="684">
        <v>30</v>
      </c>
      <c r="V129" s="684">
        <v>0</v>
      </c>
      <c r="W129" s="684">
        <v>71</v>
      </c>
      <c r="X129" s="684"/>
      <c r="Y129" s="684"/>
      <c r="Z129" s="684"/>
      <c r="AA129" s="422"/>
      <c r="AB129" s="422"/>
      <c r="AC129" s="422"/>
    </row>
    <row r="130" spans="1:29" x14ac:dyDescent="0.25">
      <c r="C130" s="931" t="s">
        <v>248</v>
      </c>
      <c r="D130" s="932" t="s">
        <v>450</v>
      </c>
      <c r="E130" s="683">
        <v>43</v>
      </c>
      <c r="F130" s="684">
        <v>0.47</v>
      </c>
      <c r="G130" s="684">
        <v>0.26</v>
      </c>
      <c r="H130" s="683">
        <v>20</v>
      </c>
      <c r="I130" s="684">
        <v>4.4999999999999998E-2</v>
      </c>
      <c r="J130" s="689"/>
      <c r="K130" s="684">
        <v>0.25</v>
      </c>
      <c r="L130" s="683">
        <v>21</v>
      </c>
      <c r="M130" s="684">
        <v>0.6</v>
      </c>
      <c r="N130" s="684">
        <v>0.08</v>
      </c>
      <c r="O130" s="683">
        <v>47</v>
      </c>
      <c r="P130" s="685">
        <v>2.3E-2</v>
      </c>
      <c r="Q130" s="685">
        <v>2.7E-2</v>
      </c>
      <c r="R130" s="684">
        <v>0.35699999999999998</v>
      </c>
      <c r="S130" s="684">
        <v>0.191</v>
      </c>
      <c r="T130" s="684">
        <v>3.7999999999999999E-2</v>
      </c>
      <c r="U130" s="684">
        <v>37</v>
      </c>
      <c r="V130" s="684">
        <v>0</v>
      </c>
      <c r="W130" s="684">
        <v>60.9</v>
      </c>
      <c r="X130" s="684">
        <v>0</v>
      </c>
      <c r="Y130" s="684">
        <v>0.3</v>
      </c>
      <c r="Z130" s="684">
        <v>2.6</v>
      </c>
    </row>
    <row r="131" spans="1:29" x14ac:dyDescent="0.25">
      <c r="B131" s="105"/>
      <c r="C131" s="931" t="s">
        <v>175</v>
      </c>
      <c r="D131" s="932" t="s">
        <v>242</v>
      </c>
      <c r="E131" s="683">
        <v>371</v>
      </c>
      <c r="F131" s="684">
        <v>13.04</v>
      </c>
      <c r="G131" s="684">
        <v>1.51</v>
      </c>
      <c r="H131" s="683">
        <v>21</v>
      </c>
      <c r="I131" s="684">
        <v>0.28899999999999998</v>
      </c>
      <c r="J131" s="683"/>
      <c r="K131" s="684">
        <v>1.3</v>
      </c>
      <c r="L131" s="683">
        <v>53</v>
      </c>
      <c r="M131" s="684">
        <v>63.2</v>
      </c>
      <c r="N131" s="684">
        <v>1.41</v>
      </c>
      <c r="O131" s="683">
        <v>0</v>
      </c>
      <c r="P131" s="685">
        <v>0.09</v>
      </c>
      <c r="Q131" s="685">
        <v>0.06</v>
      </c>
      <c r="R131" s="684">
        <v>1.7</v>
      </c>
      <c r="S131" s="684">
        <v>0.43099999999999999</v>
      </c>
      <c r="T131" s="684">
        <v>0.14199999999999999</v>
      </c>
      <c r="U131" s="684">
        <v>18</v>
      </c>
      <c r="V131" s="684">
        <v>0</v>
      </c>
      <c r="W131" s="684">
        <v>0</v>
      </c>
      <c r="X131" s="684"/>
      <c r="Y131" s="684">
        <v>0.11</v>
      </c>
      <c r="Z131" s="684">
        <v>0.1</v>
      </c>
    </row>
    <row r="132" spans="1:29" x14ac:dyDescent="0.25">
      <c r="A132" s="423"/>
      <c r="B132" s="423"/>
      <c r="C132" s="931" t="s">
        <v>248</v>
      </c>
      <c r="D132" s="932" t="s">
        <v>547</v>
      </c>
      <c r="E132" s="683">
        <v>57</v>
      </c>
      <c r="F132" s="684">
        <v>0.36</v>
      </c>
      <c r="G132" s="684">
        <v>0.14000000000000001</v>
      </c>
      <c r="H132" s="683">
        <v>9</v>
      </c>
      <c r="I132" s="684">
        <v>8.2000000000000003E-2</v>
      </c>
      <c r="J132" s="683"/>
      <c r="K132" s="684">
        <v>0.18</v>
      </c>
      <c r="L132" s="683">
        <v>7</v>
      </c>
      <c r="M132" s="684">
        <v>0.1</v>
      </c>
      <c r="N132" s="684">
        <v>0.1</v>
      </c>
      <c r="O132" s="683">
        <v>1</v>
      </c>
      <c r="P132" s="685">
        <v>1.2E-2</v>
      </c>
      <c r="Q132" s="685">
        <v>2.5999999999999999E-2</v>
      </c>
      <c r="R132" s="684">
        <v>0.161</v>
      </c>
      <c r="S132" s="684">
        <v>4.9000000000000002E-2</v>
      </c>
      <c r="T132" s="684">
        <v>2.9000000000000001E-2</v>
      </c>
      <c r="U132" s="684">
        <v>7</v>
      </c>
      <c r="V132" s="684">
        <v>0</v>
      </c>
      <c r="W132" s="684">
        <v>4.3</v>
      </c>
      <c r="X132" s="684">
        <v>0</v>
      </c>
      <c r="Y132" s="684">
        <v>0.12</v>
      </c>
      <c r="Z132" s="684">
        <v>4.4000000000000004</v>
      </c>
    </row>
    <row r="133" spans="1:29" x14ac:dyDescent="0.25">
      <c r="C133" s="931" t="s">
        <v>179</v>
      </c>
      <c r="D133" s="932" t="s">
        <v>41</v>
      </c>
      <c r="E133" s="683">
        <v>341</v>
      </c>
      <c r="F133" s="684">
        <v>24.55</v>
      </c>
      <c r="G133" s="684">
        <v>1.1599999999999999</v>
      </c>
      <c r="H133" s="683">
        <v>55</v>
      </c>
      <c r="I133" s="684">
        <v>0.86599999999999999</v>
      </c>
      <c r="J133" s="683"/>
      <c r="K133" s="684">
        <v>4.43</v>
      </c>
      <c r="L133" s="683">
        <v>115</v>
      </c>
      <c r="M133" s="684">
        <v>1.6</v>
      </c>
      <c r="N133" s="684">
        <v>3.01</v>
      </c>
      <c r="O133" s="683">
        <v>7</v>
      </c>
      <c r="P133" s="685">
        <v>0.72599999999999998</v>
      </c>
      <c r="Q133" s="685">
        <v>0.215</v>
      </c>
      <c r="R133" s="684">
        <v>2.8889999999999998</v>
      </c>
      <c r="S133" s="684">
        <v>1.758</v>
      </c>
      <c r="T133" s="684">
        <v>0.17399999999999999</v>
      </c>
      <c r="U133" s="684">
        <v>274</v>
      </c>
      <c r="V133" s="684">
        <v>0</v>
      </c>
      <c r="W133" s="684">
        <v>1.8</v>
      </c>
      <c r="X133" s="684">
        <v>0</v>
      </c>
      <c r="Y133" s="684">
        <v>0.09</v>
      </c>
      <c r="Z133" s="684">
        <v>14.5</v>
      </c>
    </row>
    <row r="134" spans="1:29" x14ac:dyDescent="0.25">
      <c r="C134" s="931" t="s">
        <v>179</v>
      </c>
      <c r="D134" s="932" t="s">
        <v>555</v>
      </c>
      <c r="E134" s="683">
        <v>53</v>
      </c>
      <c r="F134" s="684">
        <v>3.19</v>
      </c>
      <c r="G134" s="684">
        <v>0.3</v>
      </c>
      <c r="H134" s="683">
        <v>18</v>
      </c>
      <c r="I134" s="684">
        <v>0.108</v>
      </c>
      <c r="J134" s="683"/>
      <c r="K134" s="684">
        <v>1.02</v>
      </c>
      <c r="L134" s="683">
        <v>17</v>
      </c>
      <c r="M134" s="684">
        <v>1.3</v>
      </c>
      <c r="N134" s="684">
        <v>0.7</v>
      </c>
      <c r="O134" s="683">
        <v>72</v>
      </c>
      <c r="P134" s="685">
        <v>0.111</v>
      </c>
      <c r="Q134" s="685">
        <v>7.2999999999999995E-2</v>
      </c>
      <c r="R134" s="684">
        <v>0.84199999999999997</v>
      </c>
      <c r="S134" s="684">
        <v>9.0999999999999998E-2</v>
      </c>
      <c r="T134" s="684">
        <v>6.5000000000000002E-2</v>
      </c>
      <c r="U134" s="684">
        <v>29</v>
      </c>
      <c r="V134" s="684">
        <v>0</v>
      </c>
      <c r="W134" s="684">
        <v>9.8000000000000007</v>
      </c>
      <c r="X134" s="684">
        <v>0</v>
      </c>
      <c r="Y134" s="684">
        <v>0.02</v>
      </c>
      <c r="Z134" s="684">
        <v>16.5</v>
      </c>
      <c r="AA134"/>
      <c r="AB134"/>
      <c r="AC134"/>
    </row>
    <row r="135" spans="1:29" x14ac:dyDescent="0.25">
      <c r="C135" s="931" t="s">
        <v>179</v>
      </c>
      <c r="D135" s="932" t="s">
        <v>451</v>
      </c>
      <c r="E135" s="683">
        <v>81</v>
      </c>
      <c r="F135" s="684">
        <v>5.42</v>
      </c>
      <c r="G135" s="684">
        <v>0.4</v>
      </c>
      <c r="H135" s="683">
        <v>25</v>
      </c>
      <c r="I135" s="684">
        <v>0.17599999999999999</v>
      </c>
      <c r="J135" s="689"/>
      <c r="K135" s="684">
        <v>1.47</v>
      </c>
      <c r="L135" s="683">
        <v>33</v>
      </c>
      <c r="M135" s="684">
        <v>1.8</v>
      </c>
      <c r="N135" s="684">
        <v>1.24</v>
      </c>
      <c r="O135" s="683">
        <v>38</v>
      </c>
      <c r="P135" s="685">
        <v>0.26600000000000001</v>
      </c>
      <c r="Q135" s="685">
        <v>0.13200000000000001</v>
      </c>
      <c r="R135" s="684">
        <v>2.09</v>
      </c>
      <c r="S135" s="684">
        <v>0.104</v>
      </c>
      <c r="T135" s="684">
        <v>0.16900000000000001</v>
      </c>
      <c r="U135" s="684">
        <v>65</v>
      </c>
      <c r="V135" s="684">
        <v>0</v>
      </c>
      <c r="W135" s="684">
        <v>40</v>
      </c>
      <c r="X135" s="684">
        <v>0</v>
      </c>
      <c r="Y135" s="684">
        <v>0.13</v>
      </c>
      <c r="Z135" s="684">
        <v>24.8</v>
      </c>
      <c r="AA135"/>
      <c r="AB135"/>
      <c r="AC135"/>
    </row>
    <row r="136" spans="1:29" x14ac:dyDescent="0.25">
      <c r="A136" s="65"/>
      <c r="C136" s="931" t="s">
        <v>176</v>
      </c>
      <c r="D136" s="932" t="s">
        <v>42</v>
      </c>
      <c r="E136" s="683">
        <v>20</v>
      </c>
      <c r="F136" s="684">
        <v>0.86</v>
      </c>
      <c r="G136" s="684">
        <v>0.17</v>
      </c>
      <c r="H136" s="683">
        <v>10</v>
      </c>
      <c r="I136" s="684">
        <v>6.6000000000000003E-2</v>
      </c>
      <c r="J136" s="689"/>
      <c r="K136" s="684">
        <v>0.34</v>
      </c>
      <c r="L136" s="683">
        <v>10</v>
      </c>
      <c r="M136" s="684">
        <v>0</v>
      </c>
      <c r="N136" s="684">
        <v>0.13</v>
      </c>
      <c r="O136" s="683">
        <v>18</v>
      </c>
      <c r="P136" s="685">
        <v>5.7000000000000002E-2</v>
      </c>
      <c r="Q136" s="685">
        <v>2.8000000000000001E-2</v>
      </c>
      <c r="R136" s="684">
        <v>0.48</v>
      </c>
      <c r="S136" s="684">
        <v>9.9000000000000005E-2</v>
      </c>
      <c r="T136" s="684">
        <v>0.224</v>
      </c>
      <c r="U136" s="684">
        <v>10</v>
      </c>
      <c r="V136" s="684">
        <v>0</v>
      </c>
      <c r="W136" s="684">
        <v>80.400000000000006</v>
      </c>
      <c r="X136" s="684">
        <v>0</v>
      </c>
      <c r="Y136" s="684">
        <v>0.37</v>
      </c>
      <c r="Z136" s="684">
        <v>7.4</v>
      </c>
      <c r="AA136"/>
      <c r="AB136"/>
      <c r="AC136"/>
    </row>
    <row r="137" spans="1:29" x14ac:dyDescent="0.25">
      <c r="A137" s="421"/>
      <c r="B137" s="421"/>
      <c r="C137" s="931" t="s">
        <v>176</v>
      </c>
      <c r="D137" s="932" t="s">
        <v>43</v>
      </c>
      <c r="E137" s="687">
        <v>31</v>
      </c>
      <c r="F137" s="686">
        <v>0.99</v>
      </c>
      <c r="G137" s="686">
        <v>0.3</v>
      </c>
      <c r="H137" s="687">
        <v>7</v>
      </c>
      <c r="I137" s="686">
        <v>1.7000000000000001E-2</v>
      </c>
      <c r="J137" s="683"/>
      <c r="K137" s="686">
        <v>0.43</v>
      </c>
      <c r="L137" s="687">
        <v>12</v>
      </c>
      <c r="M137" s="686">
        <v>0.1</v>
      </c>
      <c r="N137" s="686">
        <v>0.25</v>
      </c>
      <c r="O137" s="687">
        <v>157</v>
      </c>
      <c r="P137" s="688">
        <v>5.3999999999999999E-2</v>
      </c>
      <c r="Q137" s="688">
        <v>8.5000000000000006E-2</v>
      </c>
      <c r="R137" s="686">
        <v>0.97899999999999998</v>
      </c>
      <c r="S137" s="684">
        <v>0.317</v>
      </c>
      <c r="T137" s="684">
        <v>0.29099999999999998</v>
      </c>
      <c r="U137" s="684">
        <v>46</v>
      </c>
      <c r="V137" s="684">
        <v>0</v>
      </c>
      <c r="W137" s="686">
        <v>127.7</v>
      </c>
      <c r="X137" s="684">
        <v>0</v>
      </c>
      <c r="Y137" s="684">
        <v>1.58</v>
      </c>
      <c r="Z137" s="684">
        <v>4.9000000000000004</v>
      </c>
      <c r="AA137"/>
      <c r="AB137"/>
      <c r="AC137"/>
    </row>
    <row r="138" spans="1:29" x14ac:dyDescent="0.25">
      <c r="C138" s="931" t="s">
        <v>176</v>
      </c>
      <c r="D138" s="932" t="s">
        <v>44</v>
      </c>
      <c r="E138" s="683">
        <v>27</v>
      </c>
      <c r="F138" s="684">
        <v>1</v>
      </c>
      <c r="G138" s="684">
        <v>0.21</v>
      </c>
      <c r="H138" s="683">
        <v>11</v>
      </c>
      <c r="I138" s="684">
        <v>0.107</v>
      </c>
      <c r="J138" s="683"/>
      <c r="K138" s="684">
        <v>0.46</v>
      </c>
      <c r="L138" s="683">
        <v>12</v>
      </c>
      <c r="M138" s="684">
        <v>0.3</v>
      </c>
      <c r="N138" s="684">
        <v>0.17</v>
      </c>
      <c r="O138" s="683">
        <v>10</v>
      </c>
      <c r="P138" s="685">
        <v>2.8000000000000001E-2</v>
      </c>
      <c r="Q138" s="685">
        <v>2.5000000000000001E-2</v>
      </c>
      <c r="R138" s="684">
        <v>0.89</v>
      </c>
      <c r="S138" s="684">
        <v>0.16800000000000001</v>
      </c>
      <c r="T138" s="684">
        <v>0.16800000000000001</v>
      </c>
      <c r="U138" s="684">
        <v>26</v>
      </c>
      <c r="V138" s="684">
        <v>0</v>
      </c>
      <c r="W138" s="684">
        <v>183.5</v>
      </c>
      <c r="X138" s="684">
        <v>0</v>
      </c>
      <c r="Y138" s="684"/>
      <c r="Z138" s="684"/>
      <c r="AA138"/>
      <c r="AB138"/>
      <c r="AC138"/>
    </row>
    <row r="139" spans="1:29" s="421" customFormat="1" x14ac:dyDescent="0.25">
      <c r="A139"/>
      <c r="B139" s="106"/>
      <c r="C139" s="931" t="s">
        <v>179</v>
      </c>
      <c r="D139" s="932" t="s">
        <v>255</v>
      </c>
      <c r="E139" s="683">
        <v>343</v>
      </c>
      <c r="F139" s="684">
        <v>21.7</v>
      </c>
      <c r="G139" s="684">
        <v>1.49</v>
      </c>
      <c r="H139" s="683">
        <v>130</v>
      </c>
      <c r="I139" s="684">
        <v>1.0569999999999999</v>
      </c>
      <c r="J139" s="683"/>
      <c r="K139" s="684">
        <v>5.23</v>
      </c>
      <c r="L139" s="683">
        <v>183</v>
      </c>
      <c r="M139" s="684">
        <v>8.1999999999999993</v>
      </c>
      <c r="N139" s="684">
        <v>2.76</v>
      </c>
      <c r="O139" s="683">
        <v>1</v>
      </c>
      <c r="P139" s="685">
        <v>0.64300000000000002</v>
      </c>
      <c r="Q139" s="685">
        <v>0.187</v>
      </c>
      <c r="R139" s="684">
        <v>2.9649999999999999</v>
      </c>
      <c r="S139" s="684">
        <v>1.266</v>
      </c>
      <c r="T139" s="684">
        <v>0.28299999999999997</v>
      </c>
      <c r="U139" s="684">
        <v>456</v>
      </c>
      <c r="V139" s="684">
        <v>0</v>
      </c>
      <c r="W139" s="684">
        <v>0</v>
      </c>
      <c r="X139" s="684">
        <v>0</v>
      </c>
      <c r="Y139" s="684"/>
      <c r="Z139" s="684"/>
    </row>
    <row r="140" spans="1:29" x14ac:dyDescent="0.25">
      <c r="A140" s="65"/>
      <c r="C140" s="931" t="s">
        <v>248</v>
      </c>
      <c r="D140" s="932" t="s">
        <v>45</v>
      </c>
      <c r="E140" s="683">
        <v>45</v>
      </c>
      <c r="F140" s="684">
        <v>0.55000000000000004</v>
      </c>
      <c r="G140" s="684">
        <v>0.13</v>
      </c>
      <c r="H140" s="683">
        <v>13</v>
      </c>
      <c r="I140" s="684">
        <v>8.1000000000000003E-2</v>
      </c>
      <c r="J140" s="683"/>
      <c r="K140" s="684">
        <v>0.25</v>
      </c>
      <c r="L140" s="683">
        <v>12</v>
      </c>
      <c r="M140" s="684">
        <v>0</v>
      </c>
      <c r="N140" s="684">
        <v>0.08</v>
      </c>
      <c r="O140" s="683">
        <v>3</v>
      </c>
      <c r="P140" s="685">
        <v>7.8E-2</v>
      </c>
      <c r="Q140" s="685">
        <v>2.9000000000000001E-2</v>
      </c>
      <c r="R140" s="684">
        <v>0.47</v>
      </c>
      <c r="S140" s="684">
        <v>0.193</v>
      </c>
      <c r="T140" s="684">
        <v>0.106</v>
      </c>
      <c r="U140" s="684"/>
      <c r="V140" s="684"/>
      <c r="W140" s="684">
        <v>16.899999999999999</v>
      </c>
      <c r="X140" s="684">
        <v>0</v>
      </c>
      <c r="Y140" s="684"/>
      <c r="Z140" s="684">
        <v>0.7</v>
      </c>
      <c r="AA140"/>
      <c r="AB140"/>
      <c r="AC140"/>
    </row>
    <row r="141" spans="1:29" x14ac:dyDescent="0.25">
      <c r="A141" s="480"/>
      <c r="B141" s="421"/>
      <c r="C141" s="931" t="s">
        <v>248</v>
      </c>
      <c r="D141" s="932" t="s">
        <v>46</v>
      </c>
      <c r="E141" s="683">
        <v>122</v>
      </c>
      <c r="F141" s="684">
        <v>1.3</v>
      </c>
      <c r="G141" s="684">
        <v>0.37</v>
      </c>
      <c r="H141" s="683">
        <v>3</v>
      </c>
      <c r="I141" s="684">
        <v>8.1000000000000003E-2</v>
      </c>
      <c r="J141" s="689"/>
      <c r="K141" s="684">
        <v>0.6</v>
      </c>
      <c r="L141" s="683">
        <v>37</v>
      </c>
      <c r="M141" s="684">
        <v>1.5</v>
      </c>
      <c r="N141" s="684">
        <v>0.14000000000000001</v>
      </c>
      <c r="O141" s="683">
        <v>56</v>
      </c>
      <c r="P141" s="685">
        <v>5.1999999999999998E-2</v>
      </c>
      <c r="Q141" s="685">
        <v>5.3999999999999999E-2</v>
      </c>
      <c r="R141" s="684">
        <v>0.68600000000000005</v>
      </c>
      <c r="S141" s="684">
        <v>0.26</v>
      </c>
      <c r="T141" s="684">
        <v>0.29899999999999999</v>
      </c>
      <c r="U141" s="684">
        <v>22</v>
      </c>
      <c r="V141" s="684">
        <v>0</v>
      </c>
      <c r="W141" s="684">
        <v>18.399999999999999</v>
      </c>
      <c r="X141" s="684">
        <v>0</v>
      </c>
      <c r="Y141" s="684">
        <v>0.14000000000000001</v>
      </c>
      <c r="Z141" s="684">
        <v>0.7</v>
      </c>
    </row>
    <row r="142" spans="1:29" x14ac:dyDescent="0.25">
      <c r="C142" s="931" t="s">
        <v>250</v>
      </c>
      <c r="D142" s="932" t="s">
        <v>520</v>
      </c>
      <c r="E142" s="683">
        <v>263</v>
      </c>
      <c r="F142" s="684">
        <v>16.88</v>
      </c>
      <c r="G142" s="684">
        <v>21.19</v>
      </c>
      <c r="H142" s="683">
        <v>14</v>
      </c>
      <c r="I142" s="684">
        <v>4.4999999999999998E-2</v>
      </c>
      <c r="J142" s="689"/>
      <c r="K142" s="684">
        <v>0.88</v>
      </c>
      <c r="L142" s="683">
        <v>19</v>
      </c>
      <c r="M142" s="684">
        <v>24.6</v>
      </c>
      <c r="N142" s="684">
        <v>2.2000000000000002</v>
      </c>
      <c r="O142" s="683">
        <v>2</v>
      </c>
      <c r="P142" s="685">
        <v>0.73199999999999998</v>
      </c>
      <c r="Q142" s="685">
        <v>0.23499999999999999</v>
      </c>
      <c r="R142" s="684">
        <v>4.3380000000000001</v>
      </c>
      <c r="S142" s="684">
        <v>0.66800000000000004</v>
      </c>
      <c r="T142" s="684">
        <v>0.38300000000000001</v>
      </c>
      <c r="U142" s="684">
        <v>5</v>
      </c>
      <c r="V142" s="684">
        <v>0.7</v>
      </c>
      <c r="W142" s="684">
        <v>0.7</v>
      </c>
      <c r="X142" s="684"/>
      <c r="Y142" s="684"/>
      <c r="Z142" s="684"/>
      <c r="AA142"/>
      <c r="AB142"/>
      <c r="AC142"/>
    </row>
    <row r="143" spans="1:29" x14ac:dyDescent="0.25">
      <c r="A143" s="423"/>
      <c r="B143" s="423"/>
      <c r="C143" s="931" t="s">
        <v>177</v>
      </c>
      <c r="D143" s="932" t="s">
        <v>47</v>
      </c>
      <c r="E143" s="683">
        <v>77</v>
      </c>
      <c r="F143" s="684">
        <v>2.02</v>
      </c>
      <c r="G143" s="684">
        <v>0.09</v>
      </c>
      <c r="H143" s="683">
        <v>12</v>
      </c>
      <c r="I143" s="684">
        <v>0.108</v>
      </c>
      <c r="J143" s="683"/>
      <c r="K143" s="684">
        <v>0.78</v>
      </c>
      <c r="L143" s="683">
        <v>23</v>
      </c>
      <c r="M143" s="684">
        <v>0.3</v>
      </c>
      <c r="N143" s="684">
        <v>0.28999999999999998</v>
      </c>
      <c r="O143" s="683">
        <v>0</v>
      </c>
      <c r="P143" s="685">
        <v>0.08</v>
      </c>
      <c r="Q143" s="685">
        <v>3.2000000000000001E-2</v>
      </c>
      <c r="R143" s="684">
        <v>1.054</v>
      </c>
      <c r="S143" s="684">
        <v>0.29599999999999999</v>
      </c>
      <c r="T143" s="684">
        <v>0.29499999999999998</v>
      </c>
      <c r="U143" s="684">
        <v>16</v>
      </c>
      <c r="V143" s="684">
        <v>0</v>
      </c>
      <c r="W143" s="684">
        <v>19.7</v>
      </c>
      <c r="X143" s="684">
        <v>0</v>
      </c>
      <c r="Y143" s="684">
        <v>0.01</v>
      </c>
      <c r="Z143" s="684">
        <v>1.9</v>
      </c>
      <c r="AA143"/>
      <c r="AB143"/>
      <c r="AC143"/>
    </row>
    <row r="144" spans="1:29" x14ac:dyDescent="0.25">
      <c r="C144" s="931" t="s">
        <v>177</v>
      </c>
      <c r="D144" s="932" t="s">
        <v>463</v>
      </c>
      <c r="E144" s="683">
        <v>86</v>
      </c>
      <c r="F144" s="684">
        <v>1.57</v>
      </c>
      <c r="G144" s="684">
        <v>0.05</v>
      </c>
      <c r="H144" s="683">
        <v>30</v>
      </c>
      <c r="I144" s="684">
        <v>0.151</v>
      </c>
      <c r="J144" s="683"/>
      <c r="K144" s="684">
        <v>0.61</v>
      </c>
      <c r="L144" s="683">
        <v>25</v>
      </c>
      <c r="M144" s="684">
        <v>0.6</v>
      </c>
      <c r="N144" s="684">
        <v>0.3</v>
      </c>
      <c r="O144" s="683">
        <v>709</v>
      </c>
      <c r="P144" s="685">
        <v>7.8E-2</v>
      </c>
      <c r="Q144" s="685">
        <v>6.0999999999999999E-2</v>
      </c>
      <c r="R144" s="684">
        <v>0.55700000000000005</v>
      </c>
      <c r="S144" s="684">
        <v>0.8</v>
      </c>
      <c r="T144" s="684">
        <v>0.20899999999999999</v>
      </c>
      <c r="U144" s="684">
        <v>11</v>
      </c>
      <c r="V144" s="684">
        <v>0</v>
      </c>
      <c r="W144" s="684">
        <v>2.4</v>
      </c>
      <c r="X144" s="684">
        <v>0</v>
      </c>
      <c r="Y144" s="684">
        <v>0.26</v>
      </c>
      <c r="Z144" s="684">
        <v>1.8</v>
      </c>
      <c r="AA144"/>
      <c r="AB144"/>
      <c r="AC144"/>
    </row>
    <row r="145" spans="1:29" s="423" customFormat="1" x14ac:dyDescent="0.25">
      <c r="A145" s="421"/>
      <c r="B145" s="421"/>
      <c r="C145" s="931" t="s">
        <v>176</v>
      </c>
      <c r="D145" s="932" t="s">
        <v>464</v>
      </c>
      <c r="E145" s="683">
        <v>42</v>
      </c>
      <c r="F145" s="684">
        <v>2.4900000000000002</v>
      </c>
      <c r="G145" s="684">
        <v>0.51</v>
      </c>
      <c r="H145" s="683">
        <v>78</v>
      </c>
      <c r="I145" s="684"/>
      <c r="J145" s="683"/>
      <c r="K145" s="684">
        <v>0.97</v>
      </c>
      <c r="L145" s="683">
        <v>70</v>
      </c>
      <c r="M145" s="684">
        <v>0.9</v>
      </c>
      <c r="N145" s="684"/>
      <c r="O145" s="683">
        <v>189</v>
      </c>
      <c r="P145" s="685">
        <v>0.156</v>
      </c>
      <c r="Q145" s="685">
        <v>0.34499999999999997</v>
      </c>
      <c r="R145" s="684">
        <v>1.1299999999999999</v>
      </c>
      <c r="S145" s="684">
        <v>0.22500000000000001</v>
      </c>
      <c r="T145" s="684">
        <v>0.19</v>
      </c>
      <c r="U145" s="684">
        <v>1</v>
      </c>
      <c r="V145" s="684">
        <v>0</v>
      </c>
      <c r="W145" s="684">
        <v>11</v>
      </c>
      <c r="X145" s="684">
        <v>0</v>
      </c>
      <c r="Y145" s="684"/>
      <c r="Z145" s="684">
        <v>302.2</v>
      </c>
      <c r="AA145" s="424"/>
      <c r="AB145" s="424"/>
      <c r="AC145" s="424"/>
    </row>
    <row r="146" spans="1:29" s="423" customFormat="1" x14ac:dyDescent="0.25">
      <c r="A146" s="565"/>
      <c r="B146" s="106"/>
      <c r="C146" s="931" t="s">
        <v>177</v>
      </c>
      <c r="D146" s="1099" t="s">
        <v>507</v>
      </c>
      <c r="E146" s="683">
        <v>354</v>
      </c>
      <c r="F146" s="684">
        <v>8.34</v>
      </c>
      <c r="G146" s="684">
        <v>0.41</v>
      </c>
      <c r="H146" s="683">
        <v>27</v>
      </c>
      <c r="I146" s="684">
        <v>0.161</v>
      </c>
      <c r="J146" s="683"/>
      <c r="K146" s="684">
        <v>1.21</v>
      </c>
      <c r="L146" s="683">
        <v>66</v>
      </c>
      <c r="M146" s="684">
        <v>13.4</v>
      </c>
      <c r="N146" s="684">
        <v>0.7</v>
      </c>
      <c r="O146" s="683">
        <v>1</v>
      </c>
      <c r="P146" s="685">
        <v>0.98799999999999999</v>
      </c>
      <c r="Q146" s="685">
        <v>0.11</v>
      </c>
      <c r="R146" s="684">
        <v>6.2640000000000002</v>
      </c>
      <c r="S146" s="684">
        <v>2.0790000000000002</v>
      </c>
      <c r="T146" s="684">
        <v>0.748</v>
      </c>
      <c r="U146" s="684">
        <v>46</v>
      </c>
      <c r="V146" s="684">
        <v>0</v>
      </c>
      <c r="W146" s="684">
        <v>81</v>
      </c>
      <c r="X146" s="684">
        <v>0</v>
      </c>
      <c r="Y146" s="684">
        <v>0.03</v>
      </c>
      <c r="Z146" s="684">
        <v>8.6999999999999993</v>
      </c>
    </row>
    <row r="147" spans="1:29" s="423" customFormat="1" x14ac:dyDescent="0.25">
      <c r="A147" s="565"/>
      <c r="B147" s="106"/>
      <c r="C147" s="931" t="s">
        <v>177</v>
      </c>
      <c r="D147" s="1099" t="s">
        <v>761</v>
      </c>
      <c r="E147" s="680">
        <v>372</v>
      </c>
      <c r="F147" s="681">
        <v>8.2200000000000006</v>
      </c>
      <c r="G147" s="681">
        <v>0.54</v>
      </c>
      <c r="H147" s="680">
        <v>41</v>
      </c>
      <c r="I147" s="681">
        <v>0.10199999999999999</v>
      </c>
      <c r="J147" s="680"/>
      <c r="K147" s="681">
        <v>1.0900000000000001</v>
      </c>
      <c r="L147" s="680">
        <v>98</v>
      </c>
      <c r="M147" s="681">
        <v>27.1</v>
      </c>
      <c r="N147" s="681">
        <v>0.91</v>
      </c>
      <c r="O147" s="680">
        <v>1</v>
      </c>
      <c r="P147" s="682">
        <v>0.45300000000000001</v>
      </c>
      <c r="Q147" s="682">
        <v>0.253</v>
      </c>
      <c r="R147" s="681">
        <v>4.7649999999999997</v>
      </c>
      <c r="S147" s="681">
        <v>0.34499999999999997</v>
      </c>
      <c r="T147" s="681">
        <v>0.86099999999999999</v>
      </c>
      <c r="U147" s="681">
        <v>40</v>
      </c>
      <c r="V147" s="681">
        <v>0</v>
      </c>
      <c r="W147" s="681">
        <v>37</v>
      </c>
      <c r="X147" s="681">
        <v>0</v>
      </c>
      <c r="Y147" s="681">
        <v>0.27</v>
      </c>
      <c r="Z147" s="681">
        <v>9</v>
      </c>
    </row>
    <row r="148" spans="1:29" x14ac:dyDescent="0.25">
      <c r="C148" s="931" t="s">
        <v>247</v>
      </c>
      <c r="D148" s="932" t="s">
        <v>757</v>
      </c>
      <c r="E148" s="680">
        <v>385.06</v>
      </c>
      <c r="F148" s="681">
        <v>15.93</v>
      </c>
      <c r="G148" s="681">
        <v>7.46</v>
      </c>
      <c r="H148" s="680">
        <v>411.82</v>
      </c>
      <c r="I148" s="681">
        <v>0.41</v>
      </c>
      <c r="J148" s="680">
        <v>40.68</v>
      </c>
      <c r="K148" s="681">
        <v>7.92</v>
      </c>
      <c r="L148" s="680"/>
      <c r="M148" s="681">
        <v>16.09</v>
      </c>
      <c r="N148" s="681">
        <v>6.98</v>
      </c>
      <c r="O148" s="680">
        <v>504.24</v>
      </c>
      <c r="P148" s="682">
        <v>0.42</v>
      </c>
      <c r="Q148" s="682">
        <v>0.64</v>
      </c>
      <c r="R148" s="681">
        <v>13.62</v>
      </c>
      <c r="S148" s="681">
        <v>2.2999999999999998</v>
      </c>
      <c r="T148" s="681">
        <v>1.37</v>
      </c>
      <c r="U148" s="681">
        <v>166.23</v>
      </c>
      <c r="V148" s="681">
        <v>2</v>
      </c>
      <c r="W148" s="681">
        <v>101.38</v>
      </c>
      <c r="X148" s="681">
        <v>6</v>
      </c>
      <c r="Y148" s="681">
        <v>9.76</v>
      </c>
      <c r="Z148" s="681"/>
      <c r="AA148"/>
      <c r="AB148"/>
      <c r="AC148"/>
    </row>
    <row r="149" spans="1:29" s="423" customFormat="1" x14ac:dyDescent="0.25">
      <c r="A149" s="565"/>
      <c r="C149" s="931" t="s">
        <v>175</v>
      </c>
      <c r="D149" s="932" t="s">
        <v>933</v>
      </c>
      <c r="E149" s="683">
        <v>362</v>
      </c>
      <c r="F149" s="684">
        <v>7.5</v>
      </c>
      <c r="G149" s="684">
        <v>2.68</v>
      </c>
      <c r="H149" s="683">
        <v>33</v>
      </c>
      <c r="I149" s="684">
        <v>0.27700000000000002</v>
      </c>
      <c r="J149" s="683"/>
      <c r="K149" s="684">
        <v>1.8</v>
      </c>
      <c r="L149" s="683">
        <v>143</v>
      </c>
      <c r="M149" s="684"/>
      <c r="N149" s="684">
        <v>2.02</v>
      </c>
      <c r="O149" s="683">
        <v>0</v>
      </c>
      <c r="P149" s="685">
        <v>0.41299999999999998</v>
      </c>
      <c r="Q149" s="685">
        <v>0.04</v>
      </c>
      <c r="R149" s="684">
        <v>4.3079999999999998</v>
      </c>
      <c r="S149" s="684">
        <v>1.4930000000000001</v>
      </c>
      <c r="T149" s="684">
        <v>0.50900000000000001</v>
      </c>
      <c r="U149" s="684">
        <v>20</v>
      </c>
      <c r="V149" s="684">
        <v>0</v>
      </c>
      <c r="W149" s="684">
        <v>0</v>
      </c>
      <c r="X149" s="684">
        <v>0</v>
      </c>
      <c r="Y149" s="684"/>
      <c r="Z149" s="684"/>
    </row>
    <row r="150" spans="1:29" s="423" customFormat="1" x14ac:dyDescent="0.25">
      <c r="A150" s="65"/>
      <c r="B150" s="106"/>
      <c r="C150" s="931" t="s">
        <v>175</v>
      </c>
      <c r="D150" s="1099" t="s">
        <v>931</v>
      </c>
      <c r="E150" s="683">
        <v>360</v>
      </c>
      <c r="F150" s="684">
        <v>6.61</v>
      </c>
      <c r="G150" s="684">
        <v>0.57999999999999996</v>
      </c>
      <c r="H150" s="683">
        <v>9</v>
      </c>
      <c r="I150" s="684">
        <v>0.11</v>
      </c>
      <c r="J150" s="683"/>
      <c r="K150" s="684">
        <v>6.8</v>
      </c>
      <c r="L150" s="683">
        <v>35</v>
      </c>
      <c r="M150" s="684"/>
      <c r="N150" s="684">
        <v>5.2</v>
      </c>
      <c r="O150" s="683">
        <v>195</v>
      </c>
      <c r="P150" s="685">
        <v>0.47000000000000003</v>
      </c>
      <c r="Q150" s="685">
        <v>4.8000000000000001E-2</v>
      </c>
      <c r="R150" s="684">
        <v>1.6</v>
      </c>
      <c r="S150" s="684">
        <v>1.3420000000000001</v>
      </c>
      <c r="T150" s="684">
        <v>0.1</v>
      </c>
      <c r="U150" s="684">
        <v>230</v>
      </c>
      <c r="V150" s="684">
        <v>1</v>
      </c>
      <c r="W150" s="684">
        <v>0</v>
      </c>
      <c r="X150" s="684">
        <v>0</v>
      </c>
      <c r="Y150" s="684"/>
      <c r="Z150" s="684"/>
    </row>
    <row r="151" spans="1:29" s="423" customFormat="1" x14ac:dyDescent="0.25">
      <c r="A151"/>
      <c r="B151" s="106"/>
      <c r="C151" s="931" t="s">
        <v>175</v>
      </c>
      <c r="D151" s="1099" t="s">
        <v>928</v>
      </c>
      <c r="E151" s="683">
        <v>360</v>
      </c>
      <c r="F151" s="684">
        <v>6.61</v>
      </c>
      <c r="G151" s="684">
        <v>0.57999999999999996</v>
      </c>
      <c r="H151" s="683">
        <v>9</v>
      </c>
      <c r="I151" s="684">
        <v>0.11</v>
      </c>
      <c r="J151" s="683"/>
      <c r="K151" s="684">
        <v>5.6</v>
      </c>
      <c r="L151" s="683">
        <v>35</v>
      </c>
      <c r="M151" s="684"/>
      <c r="N151" s="684">
        <v>4.7</v>
      </c>
      <c r="O151" s="683">
        <v>111</v>
      </c>
      <c r="P151" s="685">
        <v>0.54</v>
      </c>
      <c r="Q151" s="685">
        <v>4.8000000000000001E-2</v>
      </c>
      <c r="R151" s="684">
        <v>7.1999999999999993</v>
      </c>
      <c r="S151" s="684">
        <v>1.3420000000000001</v>
      </c>
      <c r="T151" s="684">
        <v>0.7</v>
      </c>
      <c r="U151" s="684">
        <v>264</v>
      </c>
      <c r="V151" s="684">
        <v>1.1000000000000001</v>
      </c>
      <c r="W151" s="684">
        <v>0</v>
      </c>
      <c r="X151" s="684">
        <v>0</v>
      </c>
      <c r="Y151" s="684"/>
      <c r="Z151" s="684"/>
    </row>
    <row r="152" spans="1:29" s="105" customFormat="1" x14ac:dyDescent="0.25">
      <c r="A152" s="565"/>
      <c r="B152" s="106"/>
      <c r="C152" s="931" t="s">
        <v>175</v>
      </c>
      <c r="D152" s="1100" t="s">
        <v>922</v>
      </c>
      <c r="E152" s="683">
        <v>360</v>
      </c>
      <c r="F152" s="684">
        <v>6.61</v>
      </c>
      <c r="G152" s="684">
        <v>0.57999999999999996</v>
      </c>
      <c r="H152" s="683">
        <v>9</v>
      </c>
      <c r="I152" s="684">
        <v>0.11</v>
      </c>
      <c r="J152" s="683"/>
      <c r="K152" s="684">
        <v>4.8</v>
      </c>
      <c r="L152" s="683">
        <v>35</v>
      </c>
      <c r="M152" s="684"/>
      <c r="N152" s="684">
        <v>7.2</v>
      </c>
      <c r="O152" s="683">
        <v>195</v>
      </c>
      <c r="P152" s="685">
        <v>0.72</v>
      </c>
      <c r="Q152" s="685">
        <v>4.8000000000000001E-2</v>
      </c>
      <c r="R152" s="684">
        <v>2.5100000000000002</v>
      </c>
      <c r="S152" s="684">
        <v>1.3420000000000001</v>
      </c>
      <c r="T152" s="684">
        <v>0.88</v>
      </c>
      <c r="U152" s="684">
        <v>296.3</v>
      </c>
      <c r="V152" s="684">
        <v>1.3</v>
      </c>
      <c r="W152" s="684">
        <v>0</v>
      </c>
      <c r="X152" s="684">
        <v>0</v>
      </c>
      <c r="Y152" s="684"/>
      <c r="Z152" s="684"/>
    </row>
    <row r="153" spans="1:29" ht="17.25" customHeight="1" x14ac:dyDescent="0.25">
      <c r="C153" s="931" t="s">
        <v>175</v>
      </c>
      <c r="D153" s="1100" t="s">
        <v>468</v>
      </c>
      <c r="E153" s="683">
        <v>374</v>
      </c>
      <c r="F153" s="684">
        <v>7.51</v>
      </c>
      <c r="G153" s="684">
        <v>1.03</v>
      </c>
      <c r="H153" s="683">
        <v>71</v>
      </c>
      <c r="I153" s="684">
        <v>0.28399999999999997</v>
      </c>
      <c r="J153" s="683"/>
      <c r="K153" s="684">
        <v>0.74</v>
      </c>
      <c r="L153" s="683">
        <v>27</v>
      </c>
      <c r="M153" s="684">
        <v>19.899999999999999</v>
      </c>
      <c r="N153" s="684">
        <v>1.02</v>
      </c>
      <c r="O153" s="683"/>
      <c r="P153" s="685">
        <v>0.224</v>
      </c>
      <c r="Q153" s="685">
        <v>0.05</v>
      </c>
      <c r="R153" s="684">
        <v>5.048</v>
      </c>
      <c r="S153" s="684">
        <v>0.67200000000000004</v>
      </c>
      <c r="T153" s="684">
        <v>0.45200000000000001</v>
      </c>
      <c r="U153" s="684">
        <v>8</v>
      </c>
      <c r="V153" s="684">
        <v>0</v>
      </c>
      <c r="W153" s="684">
        <v>0</v>
      </c>
      <c r="X153" s="684">
        <v>0</v>
      </c>
      <c r="Y153" s="684">
        <v>0.03</v>
      </c>
      <c r="Z153" s="684">
        <v>0.1</v>
      </c>
      <c r="AA153"/>
      <c r="AB153"/>
      <c r="AC153"/>
    </row>
    <row r="154" spans="1:29" ht="17.25" customHeight="1" x14ac:dyDescent="0.25">
      <c r="A154" s="65"/>
      <c r="C154" s="931" t="s">
        <v>175</v>
      </c>
      <c r="D154" s="1100" t="s">
        <v>467</v>
      </c>
      <c r="E154" s="683">
        <v>360</v>
      </c>
      <c r="F154" s="684">
        <v>6.61</v>
      </c>
      <c r="G154" s="684">
        <v>0.57999999999999996</v>
      </c>
      <c r="H154" s="683">
        <v>9</v>
      </c>
      <c r="I154" s="684">
        <v>0.11</v>
      </c>
      <c r="J154" s="683"/>
      <c r="K154" s="684">
        <v>0.8</v>
      </c>
      <c r="L154" s="683">
        <v>35</v>
      </c>
      <c r="M154" s="684"/>
      <c r="N154" s="684">
        <v>1.1599999999999999</v>
      </c>
      <c r="O154" s="683"/>
      <c r="P154" s="685">
        <v>7.0000000000000007E-2</v>
      </c>
      <c r="Q154" s="685">
        <v>4.8000000000000001E-2</v>
      </c>
      <c r="R154" s="684">
        <v>1.6</v>
      </c>
      <c r="S154" s="684">
        <v>1.3420000000000001</v>
      </c>
      <c r="T154" s="684">
        <v>0.14499999999999999</v>
      </c>
      <c r="U154" s="684">
        <v>9</v>
      </c>
      <c r="V154" s="684">
        <v>0</v>
      </c>
      <c r="W154" s="684">
        <v>0</v>
      </c>
      <c r="X154" s="684">
        <v>0</v>
      </c>
      <c r="Y154" s="684"/>
      <c r="Z154" s="684"/>
    </row>
    <row r="155" spans="1:29" x14ac:dyDescent="0.25">
      <c r="C155" s="931" t="s">
        <v>247</v>
      </c>
      <c r="D155" s="1100" t="s">
        <v>669</v>
      </c>
      <c r="E155" s="683">
        <v>403.1</v>
      </c>
      <c r="F155" s="684">
        <v>15.9</v>
      </c>
      <c r="G155" s="684">
        <v>10.210000000000001</v>
      </c>
      <c r="H155" s="683">
        <v>503.87</v>
      </c>
      <c r="I155" s="684">
        <v>0.34</v>
      </c>
      <c r="J155" s="683">
        <v>59.32</v>
      </c>
      <c r="K155" s="684">
        <v>7.7</v>
      </c>
      <c r="L155" s="683"/>
      <c r="M155" s="684">
        <v>14.95</v>
      </c>
      <c r="N155" s="684">
        <v>6.94</v>
      </c>
      <c r="O155" s="683">
        <v>504.78</v>
      </c>
      <c r="P155" s="685">
        <v>0.41</v>
      </c>
      <c r="Q155" s="685">
        <v>0.73</v>
      </c>
      <c r="R155" s="684">
        <v>9.69</v>
      </c>
      <c r="S155" s="684">
        <v>2.4300000000000002</v>
      </c>
      <c r="T155" s="684">
        <v>1.31</v>
      </c>
      <c r="U155" s="684">
        <v>159.34</v>
      </c>
      <c r="V155" s="684">
        <v>2.3199999999999998</v>
      </c>
      <c r="W155" s="684">
        <v>101.69</v>
      </c>
      <c r="X155" s="684">
        <v>6.66</v>
      </c>
      <c r="Y155" s="684">
        <v>9.8800000000000008</v>
      </c>
      <c r="Z155" s="684"/>
    </row>
    <row r="156" spans="1:29" x14ac:dyDescent="0.25">
      <c r="A156" s="65"/>
      <c r="C156" s="931" t="s">
        <v>247</v>
      </c>
      <c r="D156" s="1100" t="s">
        <v>670</v>
      </c>
      <c r="E156" s="683">
        <v>386.95</v>
      </c>
      <c r="F156" s="684">
        <v>15.4</v>
      </c>
      <c r="G156" s="684">
        <v>7.33</v>
      </c>
      <c r="H156" s="683">
        <v>411.01</v>
      </c>
      <c r="I156" s="684">
        <v>0.4</v>
      </c>
      <c r="J156" s="683">
        <v>40.590000000000003</v>
      </c>
      <c r="K156" s="684">
        <v>7.89</v>
      </c>
      <c r="L156" s="683"/>
      <c r="M156" s="684">
        <v>14.79</v>
      </c>
      <c r="N156" s="684">
        <v>6.9</v>
      </c>
      <c r="O156" s="683">
        <v>504.24</v>
      </c>
      <c r="P156" s="685">
        <v>0.41</v>
      </c>
      <c r="Q156" s="685">
        <v>0.64</v>
      </c>
      <c r="R156" s="684">
        <v>9.85</v>
      </c>
      <c r="S156" s="684">
        <v>2.23</v>
      </c>
      <c r="T156" s="684">
        <v>1.33</v>
      </c>
      <c r="U156" s="684">
        <v>165.87</v>
      </c>
      <c r="V156" s="684">
        <v>2</v>
      </c>
      <c r="W156" s="684">
        <v>101.38</v>
      </c>
      <c r="X156" s="684">
        <v>6</v>
      </c>
      <c r="Y156" s="684">
        <v>9.75</v>
      </c>
      <c r="Z156" s="684"/>
    </row>
    <row r="157" spans="1:29" x14ac:dyDescent="0.25">
      <c r="A157" s="473"/>
      <c r="C157" s="931" t="s">
        <v>954</v>
      </c>
      <c r="D157" s="1100" t="s">
        <v>97</v>
      </c>
      <c r="E157" s="683">
        <v>550</v>
      </c>
      <c r="F157" s="684">
        <v>14</v>
      </c>
      <c r="G157" s="684">
        <v>34</v>
      </c>
      <c r="H157" s="683">
        <v>545</v>
      </c>
      <c r="I157" s="684">
        <v>0.8</v>
      </c>
      <c r="J157" s="683">
        <v>100</v>
      </c>
      <c r="K157" s="684">
        <v>7</v>
      </c>
      <c r="L157" s="683">
        <v>120</v>
      </c>
      <c r="M157" s="684">
        <v>22</v>
      </c>
      <c r="N157" s="684">
        <v>7</v>
      </c>
      <c r="O157" s="683">
        <v>435</v>
      </c>
      <c r="P157" s="685">
        <v>0.8</v>
      </c>
      <c r="Q157" s="685">
        <v>0.8</v>
      </c>
      <c r="R157" s="684">
        <v>6.5</v>
      </c>
      <c r="S157" s="684">
        <v>2.7</v>
      </c>
      <c r="T157" s="684">
        <v>0.9</v>
      </c>
      <c r="U157" s="684">
        <v>416.5</v>
      </c>
      <c r="V157" s="684">
        <v>1.3</v>
      </c>
      <c r="W157" s="684">
        <v>32.6</v>
      </c>
      <c r="X157" s="684">
        <v>5.4</v>
      </c>
      <c r="Y157" s="684">
        <v>13</v>
      </c>
      <c r="Z157" s="684">
        <v>32.6</v>
      </c>
    </row>
    <row r="158" spans="1:29" x14ac:dyDescent="0.25">
      <c r="C158" s="931" t="s">
        <v>954</v>
      </c>
      <c r="D158" s="1100" t="s">
        <v>948</v>
      </c>
      <c r="E158" s="680">
        <v>535</v>
      </c>
      <c r="F158" s="681">
        <v>14</v>
      </c>
      <c r="G158" s="681">
        <v>35.1</v>
      </c>
      <c r="H158" s="680">
        <v>325</v>
      </c>
      <c r="I158" s="681">
        <v>1.8</v>
      </c>
      <c r="J158" s="680">
        <v>100</v>
      </c>
      <c r="K158" s="681">
        <v>11.5</v>
      </c>
      <c r="L158" s="680">
        <v>90</v>
      </c>
      <c r="M158" s="681">
        <v>31</v>
      </c>
      <c r="N158" s="681">
        <v>13.5</v>
      </c>
      <c r="O158" s="680">
        <v>950</v>
      </c>
      <c r="P158" s="682">
        <v>1</v>
      </c>
      <c r="Q158" s="682">
        <v>1.9</v>
      </c>
      <c r="R158" s="681">
        <v>5.9</v>
      </c>
      <c r="S158" s="681">
        <v>3.8</v>
      </c>
      <c r="T158" s="681">
        <v>0.7</v>
      </c>
      <c r="U158" s="681">
        <v>394.4</v>
      </c>
      <c r="V158" s="681">
        <v>2</v>
      </c>
      <c r="W158" s="681">
        <v>92.5</v>
      </c>
      <c r="X158" s="681">
        <v>19.5</v>
      </c>
      <c r="Y158" s="681">
        <v>25</v>
      </c>
      <c r="Z158" s="681">
        <v>25</v>
      </c>
    </row>
    <row r="159" spans="1:29" x14ac:dyDescent="0.25">
      <c r="A159" s="285"/>
      <c r="C159" s="931" t="s">
        <v>954</v>
      </c>
      <c r="D159" s="932" t="s">
        <v>672</v>
      </c>
      <c r="E159" s="680">
        <v>520</v>
      </c>
      <c r="F159" s="681">
        <v>13</v>
      </c>
      <c r="G159" s="681">
        <v>29</v>
      </c>
      <c r="H159" s="680">
        <v>839.78</v>
      </c>
      <c r="I159" s="681">
        <v>0.65</v>
      </c>
      <c r="J159" s="680">
        <v>204</v>
      </c>
      <c r="K159" s="680">
        <v>20.399999999999999</v>
      </c>
      <c r="L159" s="680">
        <v>136</v>
      </c>
      <c r="M159" s="681">
        <v>38.5</v>
      </c>
      <c r="N159" s="681">
        <v>20.399999999999999</v>
      </c>
      <c r="O159" s="680">
        <v>950</v>
      </c>
      <c r="P159" s="682">
        <v>1.65</v>
      </c>
      <c r="Q159" s="682">
        <v>1.21</v>
      </c>
      <c r="R159" s="681">
        <v>13.9</v>
      </c>
      <c r="S159" s="681">
        <v>4.95</v>
      </c>
      <c r="T159" s="681">
        <v>1.21</v>
      </c>
      <c r="U159" s="681">
        <v>389</v>
      </c>
      <c r="V159" s="681">
        <v>2.2000000000000002</v>
      </c>
      <c r="W159" s="681">
        <v>64.8</v>
      </c>
      <c r="X159" s="681">
        <v>5.8</v>
      </c>
      <c r="Y159" s="681"/>
      <c r="Z159" s="681">
        <v>30</v>
      </c>
      <c r="AA159"/>
      <c r="AB159"/>
      <c r="AC159"/>
    </row>
    <row r="160" spans="1:29" x14ac:dyDescent="0.25">
      <c r="C160" s="931" t="s">
        <v>953</v>
      </c>
      <c r="D160" s="932" t="s">
        <v>949</v>
      </c>
      <c r="E160" s="680">
        <v>527</v>
      </c>
      <c r="F160" s="681">
        <v>14.5</v>
      </c>
      <c r="G160" s="681">
        <v>31</v>
      </c>
      <c r="H160" s="680">
        <v>470</v>
      </c>
      <c r="I160" s="681">
        <v>1.5</v>
      </c>
      <c r="J160" s="680">
        <v>50</v>
      </c>
      <c r="K160" s="681">
        <v>10</v>
      </c>
      <c r="L160" s="680">
        <v>110</v>
      </c>
      <c r="M160" s="681">
        <v>25</v>
      </c>
      <c r="N160" s="681">
        <v>12</v>
      </c>
      <c r="O160" s="680">
        <v>900</v>
      </c>
      <c r="P160" s="682">
        <v>0.5</v>
      </c>
      <c r="Q160" s="682">
        <v>1.8</v>
      </c>
      <c r="R160" s="681">
        <v>5.8</v>
      </c>
      <c r="S160" s="681">
        <v>3</v>
      </c>
      <c r="T160" s="681">
        <v>0.7</v>
      </c>
      <c r="U160" s="681">
        <v>382.5</v>
      </c>
      <c r="V160" s="681">
        <v>1.6</v>
      </c>
      <c r="W160" s="681">
        <v>54</v>
      </c>
      <c r="X160" s="681">
        <v>18</v>
      </c>
      <c r="Y160" s="681">
        <v>27</v>
      </c>
      <c r="Z160" s="681">
        <v>21</v>
      </c>
      <c r="AA160"/>
      <c r="AB160"/>
      <c r="AC160"/>
    </row>
    <row r="161" spans="1:29" x14ac:dyDescent="0.25">
      <c r="A161" s="65"/>
      <c r="C161" s="931" t="s">
        <v>953</v>
      </c>
      <c r="D161" s="932" t="s">
        <v>99</v>
      </c>
      <c r="E161" s="680">
        <v>544</v>
      </c>
      <c r="F161" s="681">
        <v>15</v>
      </c>
      <c r="G161" s="681">
        <v>34</v>
      </c>
      <c r="H161" s="680">
        <v>400</v>
      </c>
      <c r="I161" s="681">
        <v>1.5</v>
      </c>
      <c r="J161" s="680">
        <v>100</v>
      </c>
      <c r="K161" s="681">
        <v>10</v>
      </c>
      <c r="L161" s="680">
        <v>110</v>
      </c>
      <c r="M161" s="681">
        <v>30</v>
      </c>
      <c r="N161" s="681">
        <v>12</v>
      </c>
      <c r="O161" s="680">
        <v>900</v>
      </c>
      <c r="P161" s="682">
        <v>0.5</v>
      </c>
      <c r="Q161" s="682">
        <v>1.8</v>
      </c>
      <c r="R161" s="681">
        <v>5.8</v>
      </c>
      <c r="S161" s="681">
        <v>3</v>
      </c>
      <c r="T161" s="681">
        <v>0.7</v>
      </c>
      <c r="U161" s="681">
        <v>382.5</v>
      </c>
      <c r="V161" s="681">
        <v>1.6</v>
      </c>
      <c r="W161" s="681">
        <v>54</v>
      </c>
      <c r="X161" s="681">
        <v>18</v>
      </c>
      <c r="Y161" s="681">
        <v>27</v>
      </c>
      <c r="Z161" s="681">
        <v>21</v>
      </c>
      <c r="AA161"/>
      <c r="AB161"/>
      <c r="AC161"/>
    </row>
    <row r="162" spans="1:29" x14ac:dyDescent="0.25">
      <c r="A162" s="65"/>
      <c r="C162" s="931" t="s">
        <v>953</v>
      </c>
      <c r="D162" s="932" t="s">
        <v>950</v>
      </c>
      <c r="E162" s="680">
        <v>543</v>
      </c>
      <c r="F162" s="681">
        <v>14.5</v>
      </c>
      <c r="G162" s="681">
        <v>31</v>
      </c>
      <c r="H162" s="680">
        <v>400</v>
      </c>
      <c r="I162" s="681">
        <v>1.6</v>
      </c>
      <c r="J162" s="680">
        <v>105</v>
      </c>
      <c r="K162" s="681">
        <v>12</v>
      </c>
      <c r="L162" s="680">
        <v>90</v>
      </c>
      <c r="M162" s="681">
        <v>30</v>
      </c>
      <c r="N162" s="681">
        <v>12.5</v>
      </c>
      <c r="O162" s="680">
        <v>1000</v>
      </c>
      <c r="P162" s="682">
        <v>1</v>
      </c>
      <c r="Q162" s="682">
        <v>1.8</v>
      </c>
      <c r="R162" s="681">
        <v>5.5</v>
      </c>
      <c r="S162" s="681">
        <v>3.4</v>
      </c>
      <c r="T162" s="681">
        <v>0.8</v>
      </c>
      <c r="U162" s="681">
        <v>510</v>
      </c>
      <c r="V162" s="681">
        <v>2.2999999999999998</v>
      </c>
      <c r="W162" s="681">
        <v>91</v>
      </c>
      <c r="X162" s="681">
        <v>17.5</v>
      </c>
      <c r="Y162" s="681">
        <v>30</v>
      </c>
      <c r="Z162" s="681">
        <v>22.5</v>
      </c>
      <c r="AA162"/>
      <c r="AB162"/>
      <c r="AC162"/>
    </row>
    <row r="163" spans="1:29" x14ac:dyDescent="0.25">
      <c r="C163" s="931" t="s">
        <v>953</v>
      </c>
      <c r="D163" s="1101" t="s">
        <v>101</v>
      </c>
      <c r="E163" s="680">
        <v>535</v>
      </c>
      <c r="F163" s="681">
        <v>14.7</v>
      </c>
      <c r="G163" s="681">
        <v>31.2</v>
      </c>
      <c r="H163" s="680">
        <v>450</v>
      </c>
      <c r="I163" s="681">
        <v>1.6</v>
      </c>
      <c r="J163" s="680">
        <v>105</v>
      </c>
      <c r="K163" s="681">
        <v>12</v>
      </c>
      <c r="L163" s="680">
        <v>110</v>
      </c>
      <c r="M163" s="681">
        <v>30</v>
      </c>
      <c r="N163" s="681">
        <v>12.5</v>
      </c>
      <c r="O163" s="680">
        <v>950</v>
      </c>
      <c r="P163" s="682">
        <v>0.5</v>
      </c>
      <c r="Q163" s="682">
        <v>1.6</v>
      </c>
      <c r="R163" s="681">
        <v>5</v>
      </c>
      <c r="S163" s="681">
        <v>3</v>
      </c>
      <c r="T163" s="681">
        <v>0.6</v>
      </c>
      <c r="U163" s="681">
        <v>340</v>
      </c>
      <c r="V163" s="681">
        <v>1.6</v>
      </c>
      <c r="W163" s="681">
        <v>50</v>
      </c>
      <c r="X163" s="681">
        <v>17.5</v>
      </c>
      <c r="Y163" s="681">
        <v>20</v>
      </c>
      <c r="Z163" s="681">
        <v>22.5</v>
      </c>
    </row>
    <row r="164" spans="1:29" x14ac:dyDescent="0.25">
      <c r="A164" s="423"/>
      <c r="B164" s="423"/>
      <c r="C164" s="931" t="s">
        <v>170</v>
      </c>
      <c r="D164" s="1097" t="s">
        <v>664</v>
      </c>
      <c r="E164" s="680">
        <v>0</v>
      </c>
      <c r="F164" s="681">
        <v>0</v>
      </c>
      <c r="G164" s="681">
        <v>0</v>
      </c>
      <c r="H164" s="680"/>
      <c r="I164" s="681"/>
      <c r="J164" s="680">
        <v>4000</v>
      </c>
      <c r="K164" s="681"/>
      <c r="L164" s="680"/>
      <c r="M164" s="681"/>
      <c r="N164" s="681">
        <v>0</v>
      </c>
      <c r="O164" s="680">
        <v>0</v>
      </c>
      <c r="P164" s="682">
        <v>0</v>
      </c>
      <c r="Q164" s="682">
        <v>0</v>
      </c>
      <c r="R164" s="681">
        <v>0</v>
      </c>
      <c r="S164" s="681">
        <v>0</v>
      </c>
      <c r="T164" s="681">
        <v>0</v>
      </c>
      <c r="U164" s="681">
        <v>0</v>
      </c>
      <c r="V164" s="681">
        <v>0</v>
      </c>
      <c r="W164" s="681">
        <v>0</v>
      </c>
      <c r="X164" s="681">
        <v>0</v>
      </c>
      <c r="Y164" s="681">
        <v>0</v>
      </c>
      <c r="Z164" s="681">
        <v>0</v>
      </c>
    </row>
    <row r="165" spans="1:29" x14ac:dyDescent="0.25">
      <c r="C165" s="931" t="s">
        <v>170</v>
      </c>
      <c r="D165" s="1097" t="s">
        <v>472</v>
      </c>
      <c r="E165" s="680">
        <v>0</v>
      </c>
      <c r="F165" s="681">
        <v>0</v>
      </c>
      <c r="G165" s="681">
        <v>0</v>
      </c>
      <c r="H165" s="680">
        <v>24</v>
      </c>
      <c r="I165" s="681">
        <v>0.03</v>
      </c>
      <c r="J165" s="680"/>
      <c r="K165" s="681">
        <v>0.33</v>
      </c>
      <c r="L165" s="680">
        <v>1</v>
      </c>
      <c r="M165" s="681">
        <v>0.1</v>
      </c>
      <c r="N165" s="681">
        <v>0.1</v>
      </c>
      <c r="O165" s="680">
        <v>0</v>
      </c>
      <c r="P165" s="682">
        <v>0</v>
      </c>
      <c r="Q165" s="682">
        <v>0</v>
      </c>
      <c r="R165" s="681">
        <v>0</v>
      </c>
      <c r="S165" s="681">
        <v>0</v>
      </c>
      <c r="T165" s="681">
        <v>0</v>
      </c>
      <c r="U165" s="681">
        <v>0</v>
      </c>
      <c r="V165" s="681">
        <v>0</v>
      </c>
      <c r="W165" s="681">
        <v>0</v>
      </c>
      <c r="X165" s="681">
        <v>0</v>
      </c>
      <c r="Y165" s="681">
        <v>0</v>
      </c>
      <c r="Z165" s="681">
        <v>0</v>
      </c>
    </row>
    <row r="166" spans="1:29" x14ac:dyDescent="0.25">
      <c r="A166" s="285"/>
      <c r="C166" s="931" t="s">
        <v>171</v>
      </c>
      <c r="D166" s="1097" t="s">
        <v>527</v>
      </c>
      <c r="E166" s="680">
        <v>208</v>
      </c>
      <c r="F166" s="681">
        <v>24.62</v>
      </c>
      <c r="G166" s="681">
        <v>11.45</v>
      </c>
      <c r="H166" s="680">
        <v>382</v>
      </c>
      <c r="I166" s="681">
        <v>0.186</v>
      </c>
      <c r="J166" s="680"/>
      <c r="K166" s="681">
        <v>2.92</v>
      </c>
      <c r="L166" s="680">
        <v>39</v>
      </c>
      <c r="M166" s="681">
        <v>52.7</v>
      </c>
      <c r="N166" s="681">
        <v>1.31</v>
      </c>
      <c r="O166" s="680">
        <v>32</v>
      </c>
      <c r="P166" s="682">
        <v>0.08</v>
      </c>
      <c r="Q166" s="682">
        <v>0.22700000000000001</v>
      </c>
      <c r="R166" s="681">
        <v>5.2450000000000001</v>
      </c>
      <c r="S166" s="681">
        <v>0.64200000000000002</v>
      </c>
      <c r="T166" s="681">
        <v>0.16700000000000001</v>
      </c>
      <c r="U166" s="681">
        <v>10</v>
      </c>
      <c r="V166" s="681">
        <v>8.94</v>
      </c>
      <c r="W166" s="681">
        <v>0</v>
      </c>
      <c r="X166" s="681">
        <v>4.8</v>
      </c>
      <c r="Y166" s="681">
        <v>2.04</v>
      </c>
      <c r="Z166" s="681">
        <v>2.6</v>
      </c>
    </row>
    <row r="167" spans="1:29" x14ac:dyDescent="0.25">
      <c r="A167" s="565"/>
      <c r="C167" s="931" t="s">
        <v>171</v>
      </c>
      <c r="D167" s="1097" t="s">
        <v>885</v>
      </c>
      <c r="E167" s="680">
        <v>185</v>
      </c>
      <c r="F167" s="681">
        <v>20.86</v>
      </c>
      <c r="G167" s="681">
        <v>10.45</v>
      </c>
      <c r="H167" s="680">
        <v>240</v>
      </c>
      <c r="I167" s="681">
        <v>0.27200000000000002</v>
      </c>
      <c r="J167" s="680"/>
      <c r="K167" s="681">
        <v>2.2999999999999998</v>
      </c>
      <c r="L167" s="680">
        <v>34</v>
      </c>
      <c r="M167" s="681">
        <v>40.6</v>
      </c>
      <c r="N167" s="681">
        <v>1.4</v>
      </c>
      <c r="O167" s="680">
        <v>34</v>
      </c>
      <c r="P167" s="682">
        <v>4.3999999999999997E-2</v>
      </c>
      <c r="Q167" s="682">
        <v>0.23300000000000001</v>
      </c>
      <c r="R167" s="681">
        <v>4.2</v>
      </c>
      <c r="S167" s="681">
        <v>0.73</v>
      </c>
      <c r="T167" s="681">
        <v>0.123</v>
      </c>
      <c r="U167" s="681">
        <v>24</v>
      </c>
      <c r="V167" s="681">
        <v>9</v>
      </c>
      <c r="W167" s="681">
        <v>1</v>
      </c>
      <c r="X167" s="681">
        <v>4.8</v>
      </c>
      <c r="Y167" s="681">
        <v>1.38</v>
      </c>
      <c r="Z167" s="681">
        <v>0.4</v>
      </c>
    </row>
    <row r="168" spans="1:29" x14ac:dyDescent="0.25">
      <c r="C168" s="931" t="s">
        <v>247</v>
      </c>
      <c r="D168" s="1097" t="s">
        <v>671</v>
      </c>
      <c r="E168" s="680">
        <v>394.22</v>
      </c>
      <c r="F168" s="681">
        <v>13.33</v>
      </c>
      <c r="G168" s="681">
        <v>11.34</v>
      </c>
      <c r="H168" s="680">
        <v>391.31</v>
      </c>
      <c r="I168" s="681">
        <v>0.47</v>
      </c>
      <c r="J168" s="680">
        <v>40</v>
      </c>
      <c r="K168" s="681">
        <v>10.119999999999999</v>
      </c>
      <c r="L168" s="680"/>
      <c r="M168" s="681">
        <v>11.23</v>
      </c>
      <c r="N168" s="681">
        <v>7.84</v>
      </c>
      <c r="O168" s="680">
        <v>540.57000000000005</v>
      </c>
      <c r="P168" s="682">
        <v>0.6</v>
      </c>
      <c r="Q168" s="682">
        <v>0.56000000000000005</v>
      </c>
      <c r="R168" s="681">
        <v>12.73</v>
      </c>
      <c r="S168" s="681">
        <v>2.33</v>
      </c>
      <c r="T168" s="681">
        <v>1.44</v>
      </c>
      <c r="U168" s="681">
        <v>251.79</v>
      </c>
      <c r="V168" s="681">
        <v>2</v>
      </c>
      <c r="W168" s="681">
        <v>100.27</v>
      </c>
      <c r="X168" s="681">
        <v>6</v>
      </c>
      <c r="Y168" s="681">
        <v>9.93</v>
      </c>
      <c r="Z168" s="681"/>
    </row>
    <row r="169" spans="1:29" x14ac:dyDescent="0.25">
      <c r="C169" s="931" t="s">
        <v>179</v>
      </c>
      <c r="D169" s="1097" t="s">
        <v>474</v>
      </c>
      <c r="E169" s="680">
        <v>573</v>
      </c>
      <c r="F169" s="681">
        <v>17.73</v>
      </c>
      <c r="G169" s="681">
        <v>49.67</v>
      </c>
      <c r="H169" s="680">
        <v>975</v>
      </c>
      <c r="I169" s="681">
        <v>4.0819999999999999</v>
      </c>
      <c r="J169" s="680"/>
      <c r="K169" s="681">
        <v>14.55</v>
      </c>
      <c r="L169" s="680">
        <v>351</v>
      </c>
      <c r="M169" s="681">
        <v>34.4</v>
      </c>
      <c r="N169" s="681">
        <v>7.75</v>
      </c>
      <c r="O169" s="680">
        <v>0</v>
      </c>
      <c r="P169" s="682">
        <v>0.79100000000000004</v>
      </c>
      <c r="Q169" s="682">
        <v>0.247</v>
      </c>
      <c r="R169" s="681">
        <v>4.5149999999999997</v>
      </c>
      <c r="S169" s="681">
        <v>0.05</v>
      </c>
      <c r="T169" s="681">
        <v>0.79</v>
      </c>
      <c r="U169" s="681">
        <v>97</v>
      </c>
      <c r="V169" s="681">
        <v>0</v>
      </c>
      <c r="W169" s="681">
        <v>0</v>
      </c>
      <c r="X169" s="681">
        <v>0</v>
      </c>
      <c r="Y169" s="681">
        <v>0.25</v>
      </c>
      <c r="Z169" s="681">
        <v>0</v>
      </c>
    </row>
    <row r="170" spans="1:29" x14ac:dyDescent="0.25">
      <c r="A170" s="473"/>
      <c r="C170" s="931" t="s">
        <v>175</v>
      </c>
      <c r="D170" s="1097" t="s">
        <v>496</v>
      </c>
      <c r="E170" s="680">
        <v>361</v>
      </c>
      <c r="F170" s="681">
        <v>7.87</v>
      </c>
      <c r="G170" s="681">
        <v>3.29</v>
      </c>
      <c r="H170" s="680">
        <v>12</v>
      </c>
      <c r="I170" s="681">
        <v>0.222</v>
      </c>
      <c r="J170" s="680"/>
      <c r="K170" s="681">
        <v>2.99</v>
      </c>
      <c r="L170" s="680">
        <v>120</v>
      </c>
      <c r="M170" s="681">
        <v>12.2</v>
      </c>
      <c r="N170" s="681">
        <v>1.44</v>
      </c>
      <c r="O170" s="680"/>
      <c r="P170" s="682">
        <v>0.27700000000000002</v>
      </c>
      <c r="Q170" s="682">
        <v>5.2999999999999999E-2</v>
      </c>
      <c r="R170" s="681">
        <v>5.1870000000000003</v>
      </c>
      <c r="S170" s="681">
        <v>0.93</v>
      </c>
      <c r="T170" s="681">
        <v>0.34499999999999997</v>
      </c>
      <c r="U170" s="681">
        <v>25</v>
      </c>
      <c r="V170" s="681"/>
      <c r="W170" s="681">
        <v>0</v>
      </c>
      <c r="X170" s="681"/>
      <c r="Y170" s="681">
        <v>0.5</v>
      </c>
      <c r="Z170" s="681">
        <v>6.4</v>
      </c>
    </row>
    <row r="171" spans="1:29" x14ac:dyDescent="0.25">
      <c r="C171" s="931" t="s">
        <v>175</v>
      </c>
      <c r="D171" s="1097" t="s">
        <v>864</v>
      </c>
      <c r="E171" s="680">
        <v>339</v>
      </c>
      <c r="F171" s="681">
        <v>11.3</v>
      </c>
      <c r="G171" s="681">
        <v>3.3</v>
      </c>
      <c r="H171" s="680">
        <v>28</v>
      </c>
      <c r="I171" s="681">
        <v>1.08</v>
      </c>
      <c r="J171" s="680"/>
      <c r="K171" s="681">
        <v>4.4000000000000004</v>
      </c>
      <c r="L171" s="680">
        <v>190</v>
      </c>
      <c r="M171" s="681">
        <v>12.2</v>
      </c>
      <c r="N171" s="681">
        <v>1.54</v>
      </c>
      <c r="O171" s="680"/>
      <c r="P171" s="682">
        <v>0.23699999999999999</v>
      </c>
      <c r="Q171" s="682">
        <v>0.14199999999999999</v>
      </c>
      <c r="R171" s="681">
        <v>2.927</v>
      </c>
      <c r="S171" s="681">
        <v>1.25</v>
      </c>
      <c r="T171" s="681">
        <v>0.59</v>
      </c>
      <c r="U171" s="681">
        <v>20</v>
      </c>
      <c r="V171" s="681">
        <v>0</v>
      </c>
      <c r="W171" s="681">
        <v>0</v>
      </c>
      <c r="X171" s="681">
        <v>0</v>
      </c>
      <c r="Y171" s="681">
        <v>0.81</v>
      </c>
      <c r="Z171" s="681"/>
    </row>
    <row r="172" spans="1:29" s="421" customFormat="1" x14ac:dyDescent="0.25">
      <c r="A172" s="65"/>
      <c r="B172" s="106"/>
      <c r="C172" s="931" t="s">
        <v>179</v>
      </c>
      <c r="D172" s="1097" t="s">
        <v>951</v>
      </c>
      <c r="E172" s="680">
        <v>339</v>
      </c>
      <c r="F172" s="681">
        <v>44.95</v>
      </c>
      <c r="G172" s="681">
        <v>2.39</v>
      </c>
      <c r="H172" s="680">
        <v>244</v>
      </c>
      <c r="I172" s="681">
        <v>2</v>
      </c>
      <c r="J172" s="680"/>
      <c r="K172" s="681">
        <v>13.7</v>
      </c>
      <c r="L172" s="680">
        <v>306</v>
      </c>
      <c r="M172" s="681">
        <v>3.3</v>
      </c>
      <c r="N172" s="681">
        <v>5.0599999999999996</v>
      </c>
      <c r="O172" s="680">
        <v>2</v>
      </c>
      <c r="P172" s="682">
        <v>0.69099999999999995</v>
      </c>
      <c r="Q172" s="682">
        <v>0.251</v>
      </c>
      <c r="R172" s="681">
        <v>2.5870000000000002</v>
      </c>
      <c r="S172" s="681">
        <v>1.976</v>
      </c>
      <c r="T172" s="681">
        <v>0.56899999999999995</v>
      </c>
      <c r="U172" s="681">
        <v>303</v>
      </c>
      <c r="V172" s="681">
        <v>0</v>
      </c>
      <c r="W172" s="681">
        <v>0</v>
      </c>
      <c r="X172" s="681">
        <v>0</v>
      </c>
      <c r="Y172" s="681"/>
      <c r="Z172" s="681"/>
      <c r="AA172" s="422"/>
      <c r="AB172" s="422"/>
      <c r="AC172" s="422"/>
    </row>
    <row r="173" spans="1:29" x14ac:dyDescent="0.25">
      <c r="C173" s="931" t="s">
        <v>179</v>
      </c>
      <c r="D173" s="1097" t="s">
        <v>476</v>
      </c>
      <c r="E173" s="680">
        <v>446</v>
      </c>
      <c r="F173" s="681">
        <v>36.49</v>
      </c>
      <c r="G173" s="681">
        <v>19.940000000000001</v>
      </c>
      <c r="H173" s="680">
        <v>277</v>
      </c>
      <c r="I173" s="681">
        <v>1.6579999999999999</v>
      </c>
      <c r="J173" s="680"/>
      <c r="K173" s="681">
        <v>15.7</v>
      </c>
      <c r="L173" s="680">
        <v>280</v>
      </c>
      <c r="M173" s="681">
        <v>17.8</v>
      </c>
      <c r="N173" s="681">
        <v>4.8899999999999997</v>
      </c>
      <c r="O173" s="680">
        <v>1</v>
      </c>
      <c r="P173" s="682">
        <v>0.874</v>
      </c>
      <c r="Q173" s="682">
        <v>0.87</v>
      </c>
      <c r="R173" s="681">
        <v>1.623</v>
      </c>
      <c r="S173" s="681">
        <v>0.79300000000000004</v>
      </c>
      <c r="T173" s="681">
        <v>0.377</v>
      </c>
      <c r="U173" s="681">
        <v>375</v>
      </c>
      <c r="V173" s="681">
        <v>0</v>
      </c>
      <c r="W173" s="681">
        <v>6</v>
      </c>
      <c r="X173" s="681">
        <v>0</v>
      </c>
      <c r="Y173" s="681">
        <v>0.85</v>
      </c>
      <c r="Z173" s="681">
        <v>47</v>
      </c>
    </row>
    <row r="174" spans="1:29" x14ac:dyDescent="0.25">
      <c r="A174" s="421"/>
      <c r="B174" s="421"/>
      <c r="C174" s="931" t="s">
        <v>175</v>
      </c>
      <c r="D174" s="1097" t="s">
        <v>7</v>
      </c>
      <c r="E174" s="680">
        <v>436</v>
      </c>
      <c r="F174" s="681">
        <v>34.54</v>
      </c>
      <c r="G174" s="681">
        <v>20.65</v>
      </c>
      <c r="H174" s="680">
        <v>206</v>
      </c>
      <c r="I174" s="681">
        <v>2.92</v>
      </c>
      <c r="J174" s="680"/>
      <c r="K174" s="681">
        <v>6.37</v>
      </c>
      <c r="L174" s="680">
        <v>429</v>
      </c>
      <c r="M174" s="681">
        <v>7.5</v>
      </c>
      <c r="N174" s="681">
        <v>3.92</v>
      </c>
      <c r="O174" s="680">
        <v>6</v>
      </c>
      <c r="P174" s="682">
        <v>0.58099999999999996</v>
      </c>
      <c r="Q174" s="682">
        <v>1.1599999999999999</v>
      </c>
      <c r="R174" s="681">
        <v>4.32</v>
      </c>
      <c r="S174" s="681">
        <v>1.59</v>
      </c>
      <c r="T174" s="681">
        <v>0.46100000000000002</v>
      </c>
      <c r="U174" s="681">
        <v>345</v>
      </c>
      <c r="V174" s="681">
        <v>0</v>
      </c>
      <c r="W174" s="681">
        <v>0</v>
      </c>
      <c r="X174" s="681">
        <v>0</v>
      </c>
      <c r="Y174" s="681">
        <v>1.95</v>
      </c>
      <c r="Z174" s="681">
        <v>70</v>
      </c>
    </row>
    <row r="175" spans="1:29" x14ac:dyDescent="0.25">
      <c r="C175" s="931" t="s">
        <v>247</v>
      </c>
      <c r="D175" s="1097" t="s">
        <v>508</v>
      </c>
      <c r="E175" s="680">
        <v>340.2</v>
      </c>
      <c r="F175" s="681">
        <v>17.5</v>
      </c>
      <c r="G175" s="681">
        <v>1.31</v>
      </c>
      <c r="H175" s="680">
        <v>159.78</v>
      </c>
      <c r="I175" s="681"/>
      <c r="J175" s="680"/>
      <c r="K175" s="681">
        <v>9.91</v>
      </c>
      <c r="L175" s="680">
        <v>182.9</v>
      </c>
      <c r="M175" s="681"/>
      <c r="N175" s="681">
        <v>4.41</v>
      </c>
      <c r="O175" s="680">
        <v>116</v>
      </c>
      <c r="P175" s="682">
        <v>1.63</v>
      </c>
      <c r="Q175" s="682">
        <v>0.76</v>
      </c>
      <c r="R175" s="681">
        <v>11.74</v>
      </c>
      <c r="S175" s="681"/>
      <c r="T175" s="681">
        <v>0.78</v>
      </c>
      <c r="U175" s="681">
        <v>222.7</v>
      </c>
      <c r="V175" s="681">
        <v>11</v>
      </c>
      <c r="W175" s="681">
        <v>0</v>
      </c>
      <c r="X175" s="681">
        <v>2</v>
      </c>
      <c r="Y175" s="681">
        <v>7.0000000000000007E-2</v>
      </c>
      <c r="Z175" s="681">
        <v>2.23</v>
      </c>
    </row>
    <row r="176" spans="1:29" x14ac:dyDescent="0.25">
      <c r="A176" s="565"/>
      <c r="C176" s="931" t="s">
        <v>247</v>
      </c>
      <c r="D176" s="1097" t="s">
        <v>509</v>
      </c>
      <c r="E176" s="680">
        <v>365.5</v>
      </c>
      <c r="F176" s="681">
        <v>13.42</v>
      </c>
      <c r="G176" s="681">
        <v>1.85</v>
      </c>
      <c r="H176" s="680">
        <v>2.5499999999999998</v>
      </c>
      <c r="I176" s="681"/>
      <c r="J176" s="680"/>
      <c r="K176" s="681">
        <v>6.99</v>
      </c>
      <c r="L176" s="680">
        <v>27.2</v>
      </c>
      <c r="M176" s="681"/>
      <c r="N176" s="681">
        <v>5.36</v>
      </c>
      <c r="O176" s="680">
        <v>229.35</v>
      </c>
      <c r="P176" s="682">
        <v>1.99</v>
      </c>
      <c r="Q176" s="682">
        <v>0.84</v>
      </c>
      <c r="R176" s="681">
        <v>8.85</v>
      </c>
      <c r="S176" s="681"/>
      <c r="T176" s="681">
        <v>0.95</v>
      </c>
      <c r="U176" s="681">
        <v>333.5</v>
      </c>
      <c r="V176" s="681">
        <v>22</v>
      </c>
      <c r="W176" s="681">
        <v>0</v>
      </c>
      <c r="X176" s="681">
        <v>4</v>
      </c>
      <c r="Y176" s="681">
        <v>0.1</v>
      </c>
      <c r="Z176" s="681">
        <v>0</v>
      </c>
    </row>
    <row r="177" spans="1:29" x14ac:dyDescent="0.25">
      <c r="A177" s="565"/>
      <c r="C177" s="931" t="s">
        <v>170</v>
      </c>
      <c r="D177" s="1097" t="s">
        <v>10</v>
      </c>
      <c r="E177" s="680">
        <v>387</v>
      </c>
      <c r="F177" s="681">
        <v>0</v>
      </c>
      <c r="G177" s="681">
        <v>0</v>
      </c>
      <c r="H177" s="680">
        <v>1</v>
      </c>
      <c r="I177" s="681">
        <v>7.0000000000000001E-3</v>
      </c>
      <c r="J177" s="680"/>
      <c r="K177" s="681">
        <v>0.05</v>
      </c>
      <c r="L177" s="680">
        <v>0</v>
      </c>
      <c r="M177" s="681">
        <v>0.6</v>
      </c>
      <c r="N177" s="681">
        <v>0.01</v>
      </c>
      <c r="O177" s="680">
        <v>0</v>
      </c>
      <c r="P177" s="682">
        <v>0</v>
      </c>
      <c r="Q177" s="682">
        <v>1.9E-2</v>
      </c>
      <c r="R177" s="681">
        <v>0</v>
      </c>
      <c r="S177" s="681">
        <v>0</v>
      </c>
      <c r="T177" s="681">
        <v>0</v>
      </c>
      <c r="U177" s="681">
        <v>0</v>
      </c>
      <c r="V177" s="681">
        <v>0</v>
      </c>
      <c r="W177" s="681">
        <v>0</v>
      </c>
      <c r="X177" s="681">
        <v>0</v>
      </c>
      <c r="Y177" s="681">
        <v>0</v>
      </c>
      <c r="Z177" s="681">
        <v>0</v>
      </c>
    </row>
    <row r="178" spans="1:29" x14ac:dyDescent="0.25">
      <c r="C178" s="931" t="s">
        <v>179</v>
      </c>
      <c r="D178" s="1097" t="s">
        <v>48</v>
      </c>
      <c r="E178" s="680">
        <v>584</v>
      </c>
      <c r="F178" s="681">
        <v>20.78</v>
      </c>
      <c r="G178" s="681">
        <v>51.46</v>
      </c>
      <c r="H178" s="680">
        <v>78</v>
      </c>
      <c r="I178" s="681">
        <v>1.8</v>
      </c>
      <c r="J178" s="680"/>
      <c r="K178" s="681">
        <v>5.25</v>
      </c>
      <c r="L178" s="680">
        <v>325</v>
      </c>
      <c r="M178" s="681">
        <v>53</v>
      </c>
      <c r="N178" s="681">
        <v>5</v>
      </c>
      <c r="O178" s="680">
        <v>3</v>
      </c>
      <c r="P178" s="682">
        <v>1.48</v>
      </c>
      <c r="Q178" s="682">
        <v>0.35499999999999998</v>
      </c>
      <c r="R178" s="681">
        <v>8.3350000000000009</v>
      </c>
      <c r="S178" s="681">
        <v>1.1299999999999999</v>
      </c>
      <c r="T178" s="681">
        <v>1.345</v>
      </c>
      <c r="U178" s="681">
        <v>227</v>
      </c>
      <c r="V178" s="681">
        <v>0</v>
      </c>
      <c r="W178" s="681">
        <v>1.4</v>
      </c>
      <c r="X178" s="681">
        <v>0</v>
      </c>
      <c r="Y178" s="681">
        <v>35.17</v>
      </c>
      <c r="Z178" s="681">
        <v>0</v>
      </c>
    </row>
    <row r="179" spans="1:29" x14ac:dyDescent="0.25">
      <c r="A179" s="65"/>
      <c r="C179" s="931" t="s">
        <v>173</v>
      </c>
      <c r="D179" s="932" t="s">
        <v>939</v>
      </c>
      <c r="E179" s="680">
        <v>595</v>
      </c>
      <c r="F179" s="681">
        <v>17</v>
      </c>
      <c r="G179" s="681">
        <v>53.76</v>
      </c>
      <c r="H179" s="680">
        <v>426</v>
      </c>
      <c r="I179" s="681">
        <v>1.61</v>
      </c>
      <c r="J179" s="680"/>
      <c r="K179" s="681">
        <v>8.9499999999999993</v>
      </c>
      <c r="L179" s="680">
        <v>95</v>
      </c>
      <c r="M179" s="681">
        <v>34.4</v>
      </c>
      <c r="N179" s="681">
        <v>4.62</v>
      </c>
      <c r="O179" s="680">
        <v>3</v>
      </c>
      <c r="P179" s="682">
        <v>1.22</v>
      </c>
      <c r="Q179" s="682">
        <v>0.47299999999999998</v>
      </c>
      <c r="R179" s="681">
        <v>5.45</v>
      </c>
      <c r="S179" s="681">
        <v>0.69299999999999995</v>
      </c>
      <c r="T179" s="681">
        <v>0.14899999999999999</v>
      </c>
      <c r="U179" s="681">
        <v>98</v>
      </c>
      <c r="V179" s="681">
        <v>0</v>
      </c>
      <c r="W179" s="681">
        <v>0</v>
      </c>
      <c r="X179" s="681">
        <v>0</v>
      </c>
      <c r="Y179" s="681">
        <v>0.25</v>
      </c>
      <c r="Z179" s="681">
        <v>0</v>
      </c>
    </row>
    <row r="180" spans="1:29" s="421" customFormat="1" x14ac:dyDescent="0.25">
      <c r="A180" s="479"/>
      <c r="B180" s="423"/>
      <c r="C180" s="931" t="s">
        <v>173</v>
      </c>
      <c r="D180" s="932" t="s">
        <v>755</v>
      </c>
      <c r="E180" s="680">
        <v>1</v>
      </c>
      <c r="F180" s="681">
        <v>0</v>
      </c>
      <c r="G180" s="681">
        <v>0</v>
      </c>
      <c r="H180" s="680">
        <v>0</v>
      </c>
      <c r="I180" s="681">
        <v>0.01</v>
      </c>
      <c r="J180" s="680"/>
      <c r="K180" s="681">
        <v>0.02</v>
      </c>
      <c r="L180" s="680">
        <v>3</v>
      </c>
      <c r="M180" s="681">
        <v>0</v>
      </c>
      <c r="N180" s="681">
        <v>0.02</v>
      </c>
      <c r="O180" s="680">
        <v>0</v>
      </c>
      <c r="P180" s="682">
        <v>0</v>
      </c>
      <c r="Q180" s="682">
        <v>1.4E-2</v>
      </c>
      <c r="R180" s="681">
        <v>0</v>
      </c>
      <c r="S180" s="681">
        <v>1.0999999999999999E-2</v>
      </c>
      <c r="T180" s="681">
        <v>0</v>
      </c>
      <c r="U180" s="681">
        <v>5</v>
      </c>
      <c r="V180" s="681">
        <v>0</v>
      </c>
      <c r="W180" s="681">
        <v>0</v>
      </c>
      <c r="X180" s="681">
        <v>0</v>
      </c>
      <c r="Y180" s="681">
        <v>0</v>
      </c>
      <c r="Z180" s="681">
        <v>0</v>
      </c>
      <c r="AA180" s="422"/>
      <c r="AB180" s="422"/>
      <c r="AC180" s="422"/>
    </row>
    <row r="181" spans="1:29" x14ac:dyDescent="0.25">
      <c r="C181" s="931" t="s">
        <v>173</v>
      </c>
      <c r="D181" s="932" t="s">
        <v>941</v>
      </c>
      <c r="E181" s="680">
        <v>276</v>
      </c>
      <c r="F181" s="681">
        <v>9.11</v>
      </c>
      <c r="G181" s="681">
        <v>7.43</v>
      </c>
      <c r="H181" s="680">
        <v>1890</v>
      </c>
      <c r="I181" s="681">
        <v>0.86</v>
      </c>
      <c r="J181" s="680"/>
      <c r="K181" s="681">
        <v>123.6</v>
      </c>
      <c r="L181" s="680">
        <v>220</v>
      </c>
      <c r="M181" s="681">
        <v>4.5999999999999996</v>
      </c>
      <c r="N181" s="681">
        <v>6.18</v>
      </c>
      <c r="O181" s="680">
        <v>190</v>
      </c>
      <c r="P181" s="682">
        <v>0.51300000000000001</v>
      </c>
      <c r="Q181" s="682">
        <v>0.39900000000000002</v>
      </c>
      <c r="R181" s="681">
        <v>4.9400000000000004</v>
      </c>
      <c r="S181" s="681"/>
      <c r="T181" s="681">
        <v>0.55000000000000004</v>
      </c>
      <c r="U181" s="681">
        <v>274</v>
      </c>
      <c r="V181" s="681">
        <v>0</v>
      </c>
      <c r="W181" s="681">
        <v>50</v>
      </c>
      <c r="X181" s="681">
        <v>0</v>
      </c>
      <c r="Y181" s="681">
        <v>7.48</v>
      </c>
      <c r="Z181" s="681">
        <v>1714.5</v>
      </c>
    </row>
    <row r="182" spans="1:29" x14ac:dyDescent="0.25">
      <c r="A182" s="65"/>
      <c r="C182" s="931" t="s">
        <v>176</v>
      </c>
      <c r="D182" s="932" t="s">
        <v>482</v>
      </c>
      <c r="E182" s="680">
        <v>82</v>
      </c>
      <c r="F182" s="681">
        <v>4.32</v>
      </c>
      <c r="G182" s="681">
        <v>0.47</v>
      </c>
      <c r="H182" s="680">
        <v>36</v>
      </c>
      <c r="I182" s="681">
        <v>0.36499999999999999</v>
      </c>
      <c r="J182" s="680"/>
      <c r="K182" s="681">
        <v>2.98</v>
      </c>
      <c r="L182" s="680">
        <v>42</v>
      </c>
      <c r="M182" s="681">
        <v>5.3</v>
      </c>
      <c r="N182" s="681">
        <v>0.63</v>
      </c>
      <c r="O182" s="680">
        <v>76</v>
      </c>
      <c r="P182" s="682">
        <v>0.06</v>
      </c>
      <c r="Q182" s="682">
        <v>0.153</v>
      </c>
      <c r="R182" s="681">
        <v>3.0760000000000001</v>
      </c>
      <c r="S182" s="681">
        <v>0.14199999999999999</v>
      </c>
      <c r="T182" s="681">
        <v>0.216</v>
      </c>
      <c r="U182" s="681">
        <v>12</v>
      </c>
      <c r="V182" s="681">
        <v>0</v>
      </c>
      <c r="W182" s="681">
        <v>21.9</v>
      </c>
      <c r="X182" s="681">
        <v>0</v>
      </c>
      <c r="Y182" s="681">
        <v>4.3</v>
      </c>
      <c r="Z182" s="681">
        <v>11.4</v>
      </c>
    </row>
    <row r="183" spans="1:29" x14ac:dyDescent="0.25">
      <c r="C183" s="931" t="s">
        <v>176</v>
      </c>
      <c r="D183" s="932" t="s">
        <v>102</v>
      </c>
      <c r="E183" s="680">
        <v>18</v>
      </c>
      <c r="F183" s="681">
        <v>0.88</v>
      </c>
      <c r="G183" s="681">
        <v>0.2</v>
      </c>
      <c r="H183" s="680">
        <v>10</v>
      </c>
      <c r="I183" s="681">
        <v>5.8999999999999997E-2</v>
      </c>
      <c r="J183" s="680"/>
      <c r="K183" s="681">
        <v>0.27</v>
      </c>
      <c r="L183" s="680">
        <v>11</v>
      </c>
      <c r="M183" s="681">
        <v>0</v>
      </c>
      <c r="N183" s="681">
        <v>0.17</v>
      </c>
      <c r="O183" s="680">
        <v>42</v>
      </c>
      <c r="P183" s="682">
        <v>3.6999999999999998E-2</v>
      </c>
      <c r="Q183" s="682">
        <v>1.9E-2</v>
      </c>
      <c r="R183" s="681">
        <v>0.59399999999999997</v>
      </c>
      <c r="S183" s="681">
        <v>8.8999999999999996E-2</v>
      </c>
      <c r="T183" s="681">
        <v>0.08</v>
      </c>
      <c r="U183" s="681">
        <v>15</v>
      </c>
      <c r="V183" s="681">
        <v>0</v>
      </c>
      <c r="W183" s="681">
        <v>13.7</v>
      </c>
      <c r="X183" s="681">
        <v>0</v>
      </c>
      <c r="Y183" s="681">
        <v>0.54</v>
      </c>
      <c r="Z183" s="681">
        <v>7.9</v>
      </c>
    </row>
    <row r="184" spans="1:29" x14ac:dyDescent="0.25">
      <c r="C184" s="931" t="s">
        <v>176</v>
      </c>
      <c r="D184" s="932" t="s">
        <v>103</v>
      </c>
      <c r="E184" s="680">
        <v>258</v>
      </c>
      <c r="F184" s="681">
        <v>14.11</v>
      </c>
      <c r="G184" s="681">
        <v>2.97</v>
      </c>
      <c r="H184" s="680">
        <v>110</v>
      </c>
      <c r="I184" s="681">
        <v>1.423</v>
      </c>
      <c r="J184" s="680"/>
      <c r="K184" s="681">
        <v>9.09</v>
      </c>
      <c r="L184" s="680">
        <v>194</v>
      </c>
      <c r="M184" s="681">
        <v>5.5</v>
      </c>
      <c r="N184" s="681">
        <v>1.99</v>
      </c>
      <c r="O184" s="680">
        <v>44</v>
      </c>
      <c r="P184" s="682">
        <v>0.52800000000000002</v>
      </c>
      <c r="Q184" s="682">
        <v>0.48899999999999999</v>
      </c>
      <c r="R184" s="681">
        <v>9.0500000000000007</v>
      </c>
      <c r="S184" s="681">
        <v>2.0870000000000002</v>
      </c>
      <c r="T184" s="681">
        <v>0.33200000000000002</v>
      </c>
      <c r="U184" s="681">
        <v>68</v>
      </c>
      <c r="V184" s="681">
        <v>0</v>
      </c>
      <c r="W184" s="681">
        <v>39.200000000000003</v>
      </c>
      <c r="X184" s="681">
        <v>0</v>
      </c>
      <c r="Y184" s="681">
        <v>0.01</v>
      </c>
      <c r="Z184" s="681">
        <v>43</v>
      </c>
    </row>
    <row r="185" spans="1:29" x14ac:dyDescent="0.25">
      <c r="C185" s="931" t="s">
        <v>171</v>
      </c>
      <c r="D185" s="932" t="s">
        <v>528</v>
      </c>
      <c r="E185" s="680">
        <v>198</v>
      </c>
      <c r="F185" s="681">
        <v>29.13</v>
      </c>
      <c r="G185" s="681">
        <v>8.2100000000000009</v>
      </c>
      <c r="H185" s="680">
        <v>13</v>
      </c>
      <c r="I185" s="681">
        <v>7.0999999999999994E-2</v>
      </c>
      <c r="J185" s="680"/>
      <c r="K185" s="681">
        <v>1.39</v>
      </c>
      <c r="L185" s="680">
        <v>31</v>
      </c>
      <c r="M185" s="681">
        <v>76</v>
      </c>
      <c r="N185" s="681">
        <v>0.9</v>
      </c>
      <c r="O185" s="680"/>
      <c r="P185" s="682">
        <v>3.7999999999999999E-2</v>
      </c>
      <c r="Q185" s="682">
        <v>0.12</v>
      </c>
      <c r="R185" s="681">
        <v>12.4</v>
      </c>
      <c r="S185" s="681">
        <v>0.37</v>
      </c>
      <c r="T185" s="681">
        <v>0.11</v>
      </c>
      <c r="U185" s="681">
        <v>5</v>
      </c>
      <c r="V185" s="681">
        <v>2.2000000000000002</v>
      </c>
      <c r="W185" s="681">
        <v>0</v>
      </c>
      <c r="X185" s="681"/>
      <c r="Y185" s="681"/>
      <c r="Z185" s="681"/>
    </row>
    <row r="186" spans="1:29" x14ac:dyDescent="0.25">
      <c r="C186" s="931" t="s">
        <v>171</v>
      </c>
      <c r="D186" s="932" t="s">
        <v>529</v>
      </c>
      <c r="E186" s="680">
        <v>116</v>
      </c>
      <c r="F186" s="681">
        <v>25.51</v>
      </c>
      <c r="G186" s="681">
        <v>0.82</v>
      </c>
      <c r="H186" s="680">
        <v>11</v>
      </c>
      <c r="I186" s="681">
        <v>5.0999999999999997E-2</v>
      </c>
      <c r="J186" s="680"/>
      <c r="K186" s="681">
        <v>1.53</v>
      </c>
      <c r="L186" s="680">
        <v>27</v>
      </c>
      <c r="M186" s="681">
        <v>80.400000000000006</v>
      </c>
      <c r="N186" s="681">
        <v>0.77</v>
      </c>
      <c r="O186" s="680"/>
      <c r="P186" s="682">
        <v>3.2000000000000001E-2</v>
      </c>
      <c r="Q186" s="682">
        <v>7.3999999999999996E-2</v>
      </c>
      <c r="R186" s="681">
        <v>13.28</v>
      </c>
      <c r="S186" s="681">
        <v>0.214</v>
      </c>
      <c r="T186" s="681">
        <v>0.35</v>
      </c>
      <c r="U186" s="681">
        <v>4</v>
      </c>
      <c r="V186" s="681">
        <v>2.99</v>
      </c>
      <c r="W186" s="681">
        <v>0</v>
      </c>
      <c r="X186" s="681"/>
      <c r="Y186" s="681"/>
      <c r="Z186" s="681"/>
    </row>
    <row r="187" spans="1:29" x14ac:dyDescent="0.25">
      <c r="C187" s="931" t="s">
        <v>248</v>
      </c>
      <c r="D187" s="932" t="s">
        <v>49</v>
      </c>
      <c r="E187" s="680">
        <v>30</v>
      </c>
      <c r="F187" s="681">
        <v>0.61</v>
      </c>
      <c r="G187" s="681">
        <v>0.15</v>
      </c>
      <c r="H187" s="680">
        <v>7</v>
      </c>
      <c r="I187" s="681">
        <v>4.2000000000000003E-2</v>
      </c>
      <c r="J187" s="680"/>
      <c r="K187" s="681">
        <v>0.24</v>
      </c>
      <c r="L187" s="680">
        <v>10</v>
      </c>
      <c r="M187" s="681">
        <v>0.4</v>
      </c>
      <c r="N187" s="681">
        <v>0.1</v>
      </c>
      <c r="O187" s="680">
        <v>28</v>
      </c>
      <c r="P187" s="682">
        <v>3.3000000000000002E-2</v>
      </c>
      <c r="Q187" s="682">
        <v>2.1000000000000001E-2</v>
      </c>
      <c r="R187" s="681">
        <v>0.17799999999999999</v>
      </c>
      <c r="S187" s="681">
        <v>0.221</v>
      </c>
      <c r="T187" s="681">
        <v>4.4999999999999998E-2</v>
      </c>
      <c r="U187" s="681">
        <v>3</v>
      </c>
      <c r="V187" s="681">
        <v>0</v>
      </c>
      <c r="W187" s="681">
        <v>8.1</v>
      </c>
      <c r="X187" s="681">
        <v>0</v>
      </c>
      <c r="Y187" s="681">
        <v>0.05</v>
      </c>
      <c r="Z187" s="681">
        <v>0.1</v>
      </c>
    </row>
    <row r="188" spans="1:29" x14ac:dyDescent="0.25">
      <c r="C188" s="931" t="s">
        <v>175</v>
      </c>
      <c r="D188" s="932" t="s">
        <v>525</v>
      </c>
      <c r="E188" s="680">
        <v>364</v>
      </c>
      <c r="F188" s="681">
        <v>10.33</v>
      </c>
      <c r="G188" s="681">
        <v>0.98</v>
      </c>
      <c r="H188" s="680">
        <v>19</v>
      </c>
      <c r="I188" s="681"/>
      <c r="J188" s="680"/>
      <c r="K188" s="681">
        <v>5.46</v>
      </c>
      <c r="L188" s="680">
        <v>28</v>
      </c>
      <c r="M188" s="681"/>
      <c r="N188" s="681">
        <v>3.28</v>
      </c>
      <c r="O188" s="680">
        <v>110</v>
      </c>
      <c r="P188" s="682">
        <v>0.52</v>
      </c>
      <c r="Q188" s="682">
        <v>0.44</v>
      </c>
      <c r="R188" s="681">
        <v>5.25</v>
      </c>
      <c r="S188" s="681"/>
      <c r="T188" s="681">
        <v>0.44</v>
      </c>
      <c r="U188" s="681">
        <v>180</v>
      </c>
      <c r="V188" s="681">
        <v>11</v>
      </c>
      <c r="W188" s="681">
        <v>0</v>
      </c>
      <c r="X188" s="681">
        <v>2</v>
      </c>
      <c r="Y188" s="681">
        <v>0.06</v>
      </c>
      <c r="Z188" s="681">
        <v>0.3</v>
      </c>
    </row>
    <row r="189" spans="1:29" x14ac:dyDescent="0.25">
      <c r="C189" s="931" t="s">
        <v>175</v>
      </c>
      <c r="D189" s="932" t="s">
        <v>526</v>
      </c>
      <c r="E189" s="680">
        <v>361</v>
      </c>
      <c r="F189" s="681">
        <v>11.98</v>
      </c>
      <c r="G189" s="681">
        <v>1.66</v>
      </c>
      <c r="H189" s="680">
        <v>15</v>
      </c>
      <c r="I189" s="681"/>
      <c r="J189" s="680"/>
      <c r="K189" s="681">
        <v>4.9000000000000004</v>
      </c>
      <c r="L189" s="680">
        <v>25</v>
      </c>
      <c r="M189" s="681"/>
      <c r="N189" s="681">
        <v>3.25</v>
      </c>
      <c r="O189" s="680">
        <v>110</v>
      </c>
      <c r="P189" s="682">
        <v>1.2</v>
      </c>
      <c r="Q189" s="682">
        <v>1</v>
      </c>
      <c r="R189" s="681">
        <v>5</v>
      </c>
      <c r="S189" s="681"/>
      <c r="T189" s="681">
        <v>4.3999999999999997E-2</v>
      </c>
      <c r="U189" s="681">
        <v>187</v>
      </c>
      <c r="V189" s="681">
        <v>11</v>
      </c>
      <c r="W189" s="681">
        <v>0</v>
      </c>
      <c r="X189" s="681">
        <v>2</v>
      </c>
      <c r="Y189" s="681">
        <v>0.4</v>
      </c>
      <c r="Z189" s="681">
        <v>0.3</v>
      </c>
    </row>
    <row r="190" spans="1:29" x14ac:dyDescent="0.25">
      <c r="C190" s="931" t="s">
        <v>175</v>
      </c>
      <c r="D190" s="932" t="s">
        <v>673</v>
      </c>
      <c r="E190" s="680">
        <v>364</v>
      </c>
      <c r="F190" s="681">
        <v>10.33</v>
      </c>
      <c r="G190" s="681">
        <v>0.98</v>
      </c>
      <c r="H190" s="680">
        <v>15</v>
      </c>
      <c r="I190" s="681">
        <v>0.14000000000000001</v>
      </c>
      <c r="J190" s="680">
        <v>0</v>
      </c>
      <c r="K190" s="681">
        <v>2.67</v>
      </c>
      <c r="L190" s="680"/>
      <c r="M190" s="681">
        <v>33.9</v>
      </c>
      <c r="N190" s="681">
        <v>3.7</v>
      </c>
      <c r="O190" s="680">
        <v>100</v>
      </c>
      <c r="P190" s="682">
        <v>0.56000000000000005</v>
      </c>
      <c r="Q190" s="682">
        <v>0.3</v>
      </c>
      <c r="R190" s="681">
        <v>4.75</v>
      </c>
      <c r="S190" s="681">
        <v>0.4</v>
      </c>
      <c r="T190" s="681">
        <v>4.3999999999999997E-2</v>
      </c>
      <c r="U190" s="681">
        <v>186</v>
      </c>
      <c r="V190" s="681">
        <v>0.8</v>
      </c>
      <c r="W190" s="681">
        <v>0</v>
      </c>
      <c r="X190" s="681">
        <v>0</v>
      </c>
      <c r="Y190" s="681">
        <v>0.1</v>
      </c>
      <c r="Z190" s="681"/>
    </row>
    <row r="191" spans="1:29" x14ac:dyDescent="0.25">
      <c r="A191" s="421"/>
      <c r="B191" s="421"/>
      <c r="C191" s="931" t="s">
        <v>175</v>
      </c>
      <c r="D191" s="1100" t="s">
        <v>674</v>
      </c>
      <c r="E191" s="680">
        <v>364</v>
      </c>
      <c r="F191" s="681">
        <v>10.33</v>
      </c>
      <c r="G191" s="681">
        <v>0.98</v>
      </c>
      <c r="H191" s="680">
        <v>15</v>
      </c>
      <c r="I191" s="681">
        <v>0.14000000000000001</v>
      </c>
      <c r="J191" s="680">
        <v>0</v>
      </c>
      <c r="K191" s="681">
        <v>3.17</v>
      </c>
      <c r="L191" s="680"/>
      <c r="M191" s="681">
        <v>33.9</v>
      </c>
      <c r="N191" s="681">
        <v>4.0999999999999996</v>
      </c>
      <c r="O191" s="680">
        <v>150</v>
      </c>
      <c r="P191" s="682">
        <v>0.41</v>
      </c>
      <c r="Q191" s="682">
        <v>0.40300000000000002</v>
      </c>
      <c r="R191" s="681">
        <v>4.75</v>
      </c>
      <c r="S191" s="681">
        <v>0.4</v>
      </c>
      <c r="T191" s="681"/>
      <c r="U191" s="681">
        <v>274</v>
      </c>
      <c r="V191" s="681">
        <v>0.4</v>
      </c>
      <c r="W191" s="681">
        <v>0</v>
      </c>
      <c r="X191" s="681">
        <v>2.2999999999999998</v>
      </c>
      <c r="Y191" s="681">
        <v>0.1</v>
      </c>
      <c r="Z191" s="681"/>
    </row>
    <row r="192" spans="1:29" x14ac:dyDescent="0.25">
      <c r="A192" s="65"/>
      <c r="C192" s="931" t="s">
        <v>175</v>
      </c>
      <c r="D192" s="1099" t="s">
        <v>50</v>
      </c>
      <c r="E192" s="680">
        <v>364</v>
      </c>
      <c r="F192" s="681">
        <v>10.33</v>
      </c>
      <c r="G192" s="681">
        <v>0.98</v>
      </c>
      <c r="H192" s="680">
        <v>15</v>
      </c>
      <c r="I192" s="681">
        <v>0.14399999999999999</v>
      </c>
      <c r="J192" s="680"/>
      <c r="K192" s="681">
        <v>1.17</v>
      </c>
      <c r="L192" s="680">
        <v>22</v>
      </c>
      <c r="M192" s="681">
        <v>33.9</v>
      </c>
      <c r="N192" s="681">
        <v>0.7</v>
      </c>
      <c r="O192" s="680">
        <v>0</v>
      </c>
      <c r="P192" s="682">
        <v>0.12</v>
      </c>
      <c r="Q192" s="682">
        <v>0.04</v>
      </c>
      <c r="R192" s="681">
        <v>1.25</v>
      </c>
      <c r="S192" s="681">
        <v>0.438</v>
      </c>
      <c r="T192" s="681">
        <v>4.3999999999999997E-2</v>
      </c>
      <c r="U192" s="681">
        <v>26</v>
      </c>
      <c r="V192" s="681">
        <v>0</v>
      </c>
      <c r="W192" s="681">
        <v>0</v>
      </c>
      <c r="X192" s="681">
        <v>0</v>
      </c>
      <c r="Y192" s="681">
        <v>0.06</v>
      </c>
      <c r="Z192" s="681">
        <v>0.3</v>
      </c>
    </row>
    <row r="193" spans="2:27" x14ac:dyDescent="0.25">
      <c r="C193" s="931" t="s">
        <v>175</v>
      </c>
      <c r="D193" s="1099" t="s">
        <v>489</v>
      </c>
      <c r="E193" s="680">
        <v>340</v>
      </c>
      <c r="F193" s="681">
        <v>13.21</v>
      </c>
      <c r="G193" s="681">
        <v>2.5</v>
      </c>
      <c r="H193" s="680">
        <v>34</v>
      </c>
      <c r="I193" s="681">
        <v>0.41</v>
      </c>
      <c r="J193" s="680"/>
      <c r="K193" s="681">
        <v>3.6</v>
      </c>
      <c r="L193" s="680">
        <v>137</v>
      </c>
      <c r="M193" s="681">
        <v>61.8</v>
      </c>
      <c r="N193" s="681">
        <v>2.6</v>
      </c>
      <c r="O193" s="680">
        <v>0</v>
      </c>
      <c r="P193" s="682">
        <v>0.502</v>
      </c>
      <c r="Q193" s="682">
        <v>0.16500000000000001</v>
      </c>
      <c r="R193" s="681">
        <v>4.9569999999999999</v>
      </c>
      <c r="S193" s="681">
        <v>0.60299999999999998</v>
      </c>
      <c r="T193" s="681">
        <v>0.40699999999999997</v>
      </c>
      <c r="U193" s="681">
        <v>44</v>
      </c>
      <c r="V193" s="681">
        <v>0</v>
      </c>
      <c r="W193" s="681">
        <v>0</v>
      </c>
      <c r="X193" s="681">
        <v>0</v>
      </c>
      <c r="Y193" s="681">
        <v>0.71</v>
      </c>
      <c r="Z193" s="681">
        <v>1.9</v>
      </c>
    </row>
    <row r="194" spans="2:27" x14ac:dyDescent="0.25">
      <c r="C194" s="931" t="s">
        <v>175</v>
      </c>
      <c r="D194" s="1100" t="s">
        <v>865</v>
      </c>
      <c r="E194" s="680">
        <v>334.66666666666669</v>
      </c>
      <c r="F194" s="681">
        <v>12.340000000000002</v>
      </c>
      <c r="G194" s="681">
        <v>1.8650000000000002</v>
      </c>
      <c r="H194" s="680">
        <v>30.166666666666668</v>
      </c>
      <c r="I194" s="681">
        <v>0.43933333333333335</v>
      </c>
      <c r="J194" s="680"/>
      <c r="K194" s="681">
        <v>3.9083333333333337</v>
      </c>
      <c r="L194" s="680">
        <v>117.16666666666667</v>
      </c>
      <c r="M194" s="681">
        <v>76.933333333333337</v>
      </c>
      <c r="N194" s="681">
        <v>3.1683333333333334</v>
      </c>
      <c r="O194" s="680">
        <v>0</v>
      </c>
      <c r="P194" s="682">
        <v>0.41616666666666674</v>
      </c>
      <c r="Q194" s="682">
        <v>0.10949999999999999</v>
      </c>
      <c r="R194" s="681">
        <v>5.3098333333333336</v>
      </c>
      <c r="S194" s="681">
        <v>0.91299999999999981</v>
      </c>
      <c r="T194" s="681">
        <v>0.34549999999999997</v>
      </c>
      <c r="U194" s="681">
        <v>40.666666666666664</v>
      </c>
      <c r="V194" s="681">
        <v>0</v>
      </c>
      <c r="W194" s="681">
        <v>0</v>
      </c>
      <c r="X194" s="681">
        <v>0</v>
      </c>
      <c r="Y194" s="681">
        <v>1.01</v>
      </c>
      <c r="Z194" s="681">
        <v>1.9</v>
      </c>
    </row>
    <row r="195" spans="2:27" x14ac:dyDescent="0.25">
      <c r="C195" s="1096" t="s">
        <v>247</v>
      </c>
      <c r="D195" s="1102" t="s">
        <v>758</v>
      </c>
      <c r="E195" s="680">
        <v>378.75</v>
      </c>
      <c r="F195" s="681">
        <v>17.43</v>
      </c>
      <c r="G195" s="681">
        <v>6.12</v>
      </c>
      <c r="H195" s="680">
        <v>409</v>
      </c>
      <c r="I195" s="681">
        <v>0.375</v>
      </c>
      <c r="J195" s="680">
        <v>40</v>
      </c>
      <c r="K195" s="681">
        <v>8.34</v>
      </c>
      <c r="L195" s="680"/>
      <c r="M195" s="681">
        <v>29.52</v>
      </c>
      <c r="N195" s="681">
        <v>6.7</v>
      </c>
      <c r="O195" s="680">
        <v>504.24</v>
      </c>
      <c r="P195" s="682">
        <v>0.39800000000000002</v>
      </c>
      <c r="Q195" s="682">
        <v>0.61899999999999999</v>
      </c>
      <c r="R195" s="681">
        <v>9.1720000000000006</v>
      </c>
      <c r="S195" s="681">
        <v>2.04</v>
      </c>
      <c r="T195" s="681">
        <v>1.0920000000000001</v>
      </c>
      <c r="U195" s="681">
        <v>172.25</v>
      </c>
      <c r="V195" s="681">
        <v>2</v>
      </c>
      <c r="W195" s="681">
        <v>101.15</v>
      </c>
      <c r="X195" s="681">
        <v>6</v>
      </c>
      <c r="Y195" s="681">
        <v>9.49</v>
      </c>
      <c r="Z195" s="681"/>
    </row>
    <row r="196" spans="2:27" x14ac:dyDescent="0.25">
      <c r="B196" s="287"/>
      <c r="C196" s="1085" t="s">
        <v>247</v>
      </c>
      <c r="D196" s="1086" t="s">
        <v>675</v>
      </c>
      <c r="E196" s="1087">
        <v>400.9</v>
      </c>
      <c r="F196" s="1087">
        <v>18.149999999999999</v>
      </c>
      <c r="G196" s="1087">
        <v>9.9700000000000006</v>
      </c>
      <c r="H196" s="1087">
        <v>506.65</v>
      </c>
      <c r="I196" s="1087">
        <v>0.34499999999999997</v>
      </c>
      <c r="J196" s="1087">
        <v>58.8</v>
      </c>
      <c r="K196" s="1087">
        <v>8.1300000000000008</v>
      </c>
      <c r="L196" s="1087"/>
      <c r="M196" s="1087">
        <v>24.65</v>
      </c>
      <c r="N196" s="1087">
        <v>6.88</v>
      </c>
      <c r="O196" s="1087">
        <v>504.78</v>
      </c>
      <c r="P196" s="1088">
        <v>0.40200000000000002</v>
      </c>
      <c r="Q196" s="1088">
        <v>0.73099999999999998</v>
      </c>
      <c r="R196" s="1088">
        <v>8.99</v>
      </c>
      <c r="S196" s="1088">
        <v>2.238</v>
      </c>
      <c r="T196" s="1088">
        <v>1.113</v>
      </c>
      <c r="U196" s="1088">
        <v>171.25</v>
      </c>
      <c r="V196" s="1088">
        <v>2.3199999999999998</v>
      </c>
      <c r="W196" s="1088">
        <v>101.69</v>
      </c>
      <c r="X196" s="1088">
        <v>6.66</v>
      </c>
      <c r="Y196" s="1088">
        <v>9.85</v>
      </c>
      <c r="Z196" s="1088"/>
      <c r="AA196" s="407"/>
    </row>
    <row r="197" spans="2:27" x14ac:dyDescent="0.25">
      <c r="C197" s="1089" t="s">
        <v>247</v>
      </c>
      <c r="D197" s="1090" t="s">
        <v>676</v>
      </c>
      <c r="E197" s="1091">
        <v>381.3</v>
      </c>
      <c r="F197" s="1091">
        <v>16.399999999999999</v>
      </c>
      <c r="G197" s="1091">
        <v>6</v>
      </c>
      <c r="H197" s="1091">
        <v>407.8</v>
      </c>
      <c r="I197" s="1091">
        <v>0.4</v>
      </c>
      <c r="J197" s="1091">
        <v>40</v>
      </c>
      <c r="K197" s="1091">
        <v>8.1999999999999993</v>
      </c>
      <c r="L197" s="1091"/>
      <c r="M197" s="1091">
        <v>26.3</v>
      </c>
      <c r="N197" s="1091">
        <v>6.6</v>
      </c>
      <c r="O197" s="1091">
        <v>504.24</v>
      </c>
      <c r="P197" s="1088">
        <v>0.4</v>
      </c>
      <c r="Q197" s="1088">
        <v>0.6</v>
      </c>
      <c r="R197" s="1088">
        <v>9.1</v>
      </c>
      <c r="S197" s="1088">
        <v>2</v>
      </c>
      <c r="T197" s="1088">
        <v>1.1000000000000001</v>
      </c>
      <c r="U197" s="1088">
        <v>170.3</v>
      </c>
      <c r="V197" s="1088">
        <v>2</v>
      </c>
      <c r="W197" s="1088">
        <v>101.2</v>
      </c>
      <c r="X197" s="1088">
        <v>6</v>
      </c>
      <c r="Y197" s="1088">
        <v>9.5</v>
      </c>
      <c r="Z197" s="1088"/>
      <c r="AA197" s="407"/>
    </row>
    <row r="198" spans="2:27" x14ac:dyDescent="0.25">
      <c r="C198" s="1089" t="s">
        <v>177</v>
      </c>
      <c r="D198" s="1090" t="s">
        <v>493</v>
      </c>
      <c r="E198" s="1091">
        <v>118</v>
      </c>
      <c r="F198" s="1091">
        <v>1.53</v>
      </c>
      <c r="G198" s="1091">
        <v>0.17</v>
      </c>
      <c r="H198" s="1091">
        <v>17</v>
      </c>
      <c r="I198" s="1091">
        <v>0.17799999999999999</v>
      </c>
      <c r="J198" s="1091"/>
      <c r="K198" s="1091">
        <v>0.54</v>
      </c>
      <c r="L198" s="1091">
        <v>21</v>
      </c>
      <c r="M198" s="1091">
        <v>0.7</v>
      </c>
      <c r="N198" s="1091">
        <v>0.24</v>
      </c>
      <c r="O198" s="1091">
        <v>7</v>
      </c>
      <c r="P198" s="1088">
        <v>0.112</v>
      </c>
      <c r="Q198" s="1088">
        <v>3.2000000000000001E-2</v>
      </c>
      <c r="R198" s="1088">
        <v>0.55200000000000005</v>
      </c>
      <c r="S198" s="1088">
        <v>0.314</v>
      </c>
      <c r="T198" s="1088">
        <v>0.29299999999999998</v>
      </c>
      <c r="U198" s="1088">
        <v>23</v>
      </c>
      <c r="V198" s="1088">
        <v>0</v>
      </c>
      <c r="W198" s="1088">
        <v>17.100000000000001</v>
      </c>
      <c r="X198" s="1088">
        <v>0</v>
      </c>
      <c r="Y198" s="1088">
        <v>0.35</v>
      </c>
      <c r="Z198" s="1088">
        <v>2.2999999999999998</v>
      </c>
      <c r="AA198" s="407"/>
    </row>
    <row r="199" spans="2:27" x14ac:dyDescent="0.25">
      <c r="C199" s="1092" t="s">
        <v>178</v>
      </c>
      <c r="D199" s="1093" t="s">
        <v>936</v>
      </c>
      <c r="E199" s="1094">
        <v>61</v>
      </c>
      <c r="F199" s="1094">
        <v>3.47</v>
      </c>
      <c r="G199" s="1094">
        <v>3.25</v>
      </c>
      <c r="H199" s="1094">
        <v>121</v>
      </c>
      <c r="I199" s="1094">
        <v>8.9999999999999993E-3</v>
      </c>
      <c r="J199" s="1094"/>
      <c r="K199" s="1094">
        <v>0.05</v>
      </c>
      <c r="L199" s="1094">
        <v>12</v>
      </c>
      <c r="M199" s="1094">
        <v>2.2000000000000002</v>
      </c>
      <c r="N199" s="1094">
        <v>0.59</v>
      </c>
      <c r="O199" s="1094">
        <v>27</v>
      </c>
      <c r="P199" s="1095">
        <v>2.9000000000000001E-2</v>
      </c>
      <c r="Q199" s="1095">
        <v>0.14000000000000001</v>
      </c>
      <c r="R199" s="1095">
        <v>7.4999999999999997E-2</v>
      </c>
      <c r="S199" s="1095">
        <v>0.38900000000000001</v>
      </c>
      <c r="T199" s="1095">
        <v>3.2000000000000001E-2</v>
      </c>
      <c r="U199" s="1095">
        <v>7</v>
      </c>
      <c r="V199" s="1095">
        <v>0.37</v>
      </c>
      <c r="W199" s="1095">
        <v>0.5</v>
      </c>
      <c r="X199" s="1095">
        <v>0.1</v>
      </c>
      <c r="Y199" s="1095">
        <v>0.06</v>
      </c>
      <c r="Z199" s="1095">
        <v>0.2</v>
      </c>
      <c r="AA199" s="407"/>
    </row>
    <row r="200" spans="2:27" x14ac:dyDescent="0.25">
      <c r="E200" s="678"/>
      <c r="H200" s="679"/>
      <c r="J200" s="678"/>
      <c r="O200" s="678"/>
    </row>
    <row r="201" spans="2:27" x14ac:dyDescent="0.25">
      <c r="E201" s="678"/>
      <c r="H201" s="679"/>
      <c r="J201" s="678"/>
    </row>
    <row r="202" spans="2:27" x14ac:dyDescent="0.25">
      <c r="E202" s="678"/>
      <c r="H202" s="679"/>
      <c r="J202" s="678"/>
    </row>
    <row r="203" spans="2:27" x14ac:dyDescent="0.25">
      <c r="E203" s="678"/>
      <c r="H203" s="679"/>
      <c r="J203" s="678"/>
    </row>
    <row r="204" spans="2:27" x14ac:dyDescent="0.25">
      <c r="E204" s="678"/>
      <c r="H204" s="679"/>
      <c r="J204" s="678"/>
    </row>
    <row r="205" spans="2:27" x14ac:dyDescent="0.25">
      <c r="E205" s="678"/>
      <c r="H205" s="679"/>
      <c r="J205" s="678"/>
    </row>
    <row r="206" spans="2:27" x14ac:dyDescent="0.25">
      <c r="E206" s="678"/>
      <c r="H206" s="679"/>
    </row>
    <row r="207" spans="2:27" x14ac:dyDescent="0.25">
      <c r="E207" s="678"/>
      <c r="H207" s="679"/>
    </row>
    <row r="208" spans="2:27" x14ac:dyDescent="0.25">
      <c r="E208" s="678"/>
      <c r="H208" s="679"/>
    </row>
    <row r="209" spans="1:8" x14ac:dyDescent="0.25">
      <c r="E209" s="678"/>
      <c r="H209" s="679"/>
    </row>
    <row r="210" spans="1:8" x14ac:dyDescent="0.25">
      <c r="E210" s="678"/>
      <c r="H210" s="679"/>
    </row>
    <row r="211" spans="1:8" x14ac:dyDescent="0.25">
      <c r="E211" s="678"/>
      <c r="H211" s="679"/>
    </row>
    <row r="212" spans="1:8" x14ac:dyDescent="0.25">
      <c r="E212" s="678"/>
      <c r="H212" s="679"/>
    </row>
    <row r="213" spans="1:8" x14ac:dyDescent="0.25">
      <c r="E213" s="678"/>
      <c r="H213" s="679"/>
    </row>
    <row r="214" spans="1:8" x14ac:dyDescent="0.25">
      <c r="A214" s="573" t="s">
        <v>345</v>
      </c>
      <c r="E214" s="678"/>
      <c r="H214" s="679"/>
    </row>
    <row r="215" spans="1:8" x14ac:dyDescent="0.25">
      <c r="A215" s="574">
        <v>1</v>
      </c>
      <c r="E215" s="678"/>
      <c r="H215" s="679"/>
    </row>
    <row r="216" spans="1:8" x14ac:dyDescent="0.25">
      <c r="A216" s="575"/>
      <c r="E216" s="678"/>
      <c r="H216" s="679"/>
    </row>
    <row r="217" spans="1:8" x14ac:dyDescent="0.25">
      <c r="A217" s="573" t="s">
        <v>346</v>
      </c>
      <c r="E217" s="678"/>
      <c r="H217" s="679"/>
    </row>
    <row r="218" spans="1:8" x14ac:dyDescent="0.25">
      <c r="A218" s="574">
        <v>1</v>
      </c>
      <c r="E218" s="678"/>
      <c r="H218" s="679"/>
    </row>
    <row r="219" spans="1:8" x14ac:dyDescent="0.25">
      <c r="A219" s="575"/>
      <c r="E219" s="678"/>
      <c r="H219" s="679"/>
    </row>
    <row r="220" spans="1:8" x14ac:dyDescent="0.25">
      <c r="A220" s="576" t="s">
        <v>343</v>
      </c>
      <c r="E220" s="678"/>
      <c r="H220" s="679"/>
    </row>
    <row r="221" spans="1:8" x14ac:dyDescent="0.25">
      <c r="A221" s="577" t="s">
        <v>183</v>
      </c>
      <c r="E221" s="678"/>
      <c r="H221" s="679"/>
    </row>
    <row r="222" spans="1:8" x14ac:dyDescent="0.25">
      <c r="A222" s="578" t="s">
        <v>342</v>
      </c>
      <c r="E222" s="678"/>
      <c r="H222" s="679"/>
    </row>
    <row r="223" spans="1:8" x14ac:dyDescent="0.25">
      <c r="A223" s="578" t="s">
        <v>330</v>
      </c>
      <c r="E223" s="678"/>
      <c r="H223" s="679"/>
    </row>
    <row r="224" spans="1:8" x14ac:dyDescent="0.25">
      <c r="A224" s="578" t="s">
        <v>245</v>
      </c>
      <c r="E224" s="678"/>
      <c r="H224" s="679"/>
    </row>
    <row r="225" spans="1:8" x14ac:dyDescent="0.25">
      <c r="A225" s="579" t="s">
        <v>246</v>
      </c>
      <c r="E225" s="678"/>
      <c r="H225" s="679"/>
    </row>
    <row r="226" spans="1:8" x14ac:dyDescent="0.25">
      <c r="A226" s="578" t="s">
        <v>291</v>
      </c>
      <c r="E226" s="678"/>
      <c r="H226" s="679"/>
    </row>
    <row r="227" spans="1:8" x14ac:dyDescent="0.25">
      <c r="A227" s="578" t="s">
        <v>292</v>
      </c>
      <c r="E227" s="678"/>
      <c r="H227" s="679"/>
    </row>
    <row r="228" spans="1:8" x14ac:dyDescent="0.25">
      <c r="A228" s="578" t="s">
        <v>293</v>
      </c>
      <c r="E228" s="678"/>
      <c r="H228" s="679"/>
    </row>
    <row r="229" spans="1:8" x14ac:dyDescent="0.25">
      <c r="A229" s="578" t="s">
        <v>294</v>
      </c>
      <c r="E229" s="678"/>
      <c r="H229" s="679"/>
    </row>
    <row r="230" spans="1:8" x14ac:dyDescent="0.25">
      <c r="A230" s="578" t="s">
        <v>295</v>
      </c>
      <c r="E230" s="678"/>
      <c r="H230" s="679"/>
    </row>
    <row r="231" spans="1:8" x14ac:dyDescent="0.25">
      <c r="A231" s="578" t="s">
        <v>296</v>
      </c>
      <c r="E231" s="678"/>
      <c r="H231" s="679"/>
    </row>
    <row r="232" spans="1:8" x14ac:dyDescent="0.25">
      <c r="A232" s="578" t="s">
        <v>297</v>
      </c>
      <c r="E232" s="678"/>
      <c r="H232" s="679"/>
    </row>
    <row r="233" spans="1:8" x14ac:dyDescent="0.25">
      <c r="A233" s="578" t="s">
        <v>281</v>
      </c>
      <c r="E233" s="678"/>
      <c r="H233" s="679"/>
    </row>
    <row r="234" spans="1:8" x14ac:dyDescent="0.25">
      <c r="A234" s="578" t="s">
        <v>331</v>
      </c>
      <c r="E234" s="678"/>
      <c r="H234" s="679"/>
    </row>
    <row r="235" spans="1:8" x14ac:dyDescent="0.25">
      <c r="A235" s="578" t="s">
        <v>332</v>
      </c>
      <c r="E235" s="678"/>
      <c r="H235" s="679"/>
    </row>
    <row r="236" spans="1:8" x14ac:dyDescent="0.25">
      <c r="A236" s="578" t="s">
        <v>333</v>
      </c>
      <c r="E236" s="678"/>
      <c r="H236" s="679"/>
    </row>
    <row r="237" spans="1:8" x14ac:dyDescent="0.25">
      <c r="A237" s="578" t="s">
        <v>334</v>
      </c>
      <c r="E237" s="678"/>
      <c r="H237" s="679"/>
    </row>
    <row r="238" spans="1:8" x14ac:dyDescent="0.25">
      <c r="A238" s="578" t="s">
        <v>335</v>
      </c>
      <c r="E238" s="678"/>
      <c r="H238" s="679"/>
    </row>
    <row r="239" spans="1:8" x14ac:dyDescent="0.25">
      <c r="A239" s="578" t="s">
        <v>336</v>
      </c>
      <c r="E239" s="678"/>
      <c r="H239" s="679"/>
    </row>
    <row r="240" spans="1:8" x14ac:dyDescent="0.25">
      <c r="A240" s="578" t="s">
        <v>337</v>
      </c>
      <c r="H240" s="679"/>
    </row>
    <row r="241" spans="1:8" x14ac:dyDescent="0.25">
      <c r="A241" s="578" t="s">
        <v>338</v>
      </c>
      <c r="H241" s="679"/>
    </row>
    <row r="242" spans="1:8" x14ac:dyDescent="0.25">
      <c r="A242" s="578" t="s">
        <v>339</v>
      </c>
      <c r="H242" s="679"/>
    </row>
    <row r="243" spans="1:8" x14ac:dyDescent="0.25">
      <c r="A243" s="578" t="s">
        <v>340</v>
      </c>
      <c r="H243" s="679"/>
    </row>
    <row r="244" spans="1:8" x14ac:dyDescent="0.25">
      <c r="A244" s="580" t="s">
        <v>341</v>
      </c>
      <c r="H244" s="679"/>
    </row>
    <row r="245" spans="1:8" x14ac:dyDescent="0.25">
      <c r="A245" s="575"/>
      <c r="H245" s="679"/>
    </row>
    <row r="246" spans="1:8" x14ac:dyDescent="0.25">
      <c r="A246" s="581" t="s">
        <v>344</v>
      </c>
      <c r="H246" s="679"/>
    </row>
    <row r="247" spans="1:8" x14ac:dyDescent="0.25">
      <c r="A247" s="582" t="s">
        <v>347</v>
      </c>
      <c r="H247" s="679"/>
    </row>
    <row r="248" spans="1:8" x14ac:dyDescent="0.25">
      <c r="A248" s="583" t="s">
        <v>175</v>
      </c>
      <c r="H248" s="679"/>
    </row>
    <row r="249" spans="1:8" x14ac:dyDescent="0.25">
      <c r="A249" s="583" t="s">
        <v>247</v>
      </c>
      <c r="H249" s="679"/>
    </row>
    <row r="250" spans="1:8" x14ac:dyDescent="0.25">
      <c r="A250" s="583" t="s">
        <v>179</v>
      </c>
      <c r="H250" s="679"/>
    </row>
    <row r="251" spans="1:8" x14ac:dyDescent="0.25">
      <c r="A251" s="583" t="s">
        <v>172</v>
      </c>
      <c r="H251" s="679"/>
    </row>
    <row r="252" spans="1:8" x14ac:dyDescent="0.25">
      <c r="A252" s="583" t="s">
        <v>170</v>
      </c>
    </row>
    <row r="253" spans="1:8" x14ac:dyDescent="0.25">
      <c r="A253" s="583" t="s">
        <v>176</v>
      </c>
    </row>
    <row r="254" spans="1:8" x14ac:dyDescent="0.25">
      <c r="A254" s="583" t="s">
        <v>177</v>
      </c>
    </row>
    <row r="255" spans="1:8" x14ac:dyDescent="0.25">
      <c r="A255" s="583" t="s">
        <v>178</v>
      </c>
    </row>
    <row r="256" spans="1:8" x14ac:dyDescent="0.25">
      <c r="A256" s="583" t="s">
        <v>180</v>
      </c>
    </row>
    <row r="257" spans="1:1" x14ac:dyDescent="0.25">
      <c r="A257" s="583" t="s">
        <v>171</v>
      </c>
    </row>
    <row r="258" spans="1:1" x14ac:dyDescent="0.25">
      <c r="A258" s="584" t="s">
        <v>248</v>
      </c>
    </row>
    <row r="259" spans="1:1" x14ac:dyDescent="0.25">
      <c r="A259" s="583" t="s">
        <v>250</v>
      </c>
    </row>
    <row r="260" spans="1:1" x14ac:dyDescent="0.25">
      <c r="A260" s="583" t="s">
        <v>954</v>
      </c>
    </row>
    <row r="261" spans="1:1" x14ac:dyDescent="0.25">
      <c r="A261" s="585" t="s">
        <v>173</v>
      </c>
    </row>
  </sheetData>
  <sheetProtection algorithmName="SHA-512" hashValue="wnBH+pR9Ia+TB1Ny8szFFoum5nt4heRCh9qlwSTM8lLlNMGBmZiLUnFfebi14V871yFuRpLoh5QJQYXfu4PM0w==" saltValue="42myqWrDUPXy9Vr5ccR7Eg==" spinCount="100000" sheet="1" objects="1" scenarios="1"/>
  <autoFilter ref="C11:Z199">
    <filterColumn colId="0" hiddenButton="1">
      <customFilters and="1">
        <customFilter operator="notEqual" val=" "/>
      </custom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customSheetViews>
    <customSheetView guid="{662328B1-0775-4F70-9698-998A355FC5BA}" showGridLines="0" showRowCol="0" filter="1" showAutoFilter="1" showRuler="0" topLeftCell="A2">
      <pane ySplit="9" topLeftCell="A11" activePane="bottomLeft" state="frozenSplit"/>
      <selection pane="bottomLeft" activeCell="L3" sqref="L3"/>
      <pageMargins left="0.75" right="0.75" top="1" bottom="1" header="0.5" footer="0.5"/>
      <pageSetup paperSize="9" orientation="portrait" horizontalDpi="4294967293" verticalDpi="4294967293" r:id="rId1"/>
      <headerFooter alignWithMargins="0"/>
      <autoFilter ref="B1">
        <filterColumn colId="0">
          <customFilters and="1">
            <customFilter operator="notEqual" val=" "/>
          </customFilters>
        </filterColumn>
      </autoFilter>
    </customSheetView>
    <customSheetView guid="{D9DE8450-BFB9-43C9-99CE-F387EC95D082}" showGridLines="0"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2"/>
      <headerFooter alignWithMargins="0"/>
      <autoFilter ref="B1"/>
    </customSheetView>
    <customSheetView guid="{5C3D267B-61EB-4FFE-BD22-532277CBABA0}" showGridLines="0" showRowCol="0" filter="1" showAutoFilter="1" showRuler="0" topLeftCell="A2">
      <pane ySplit="9" topLeftCell="A11" activePane="bottomLeft" state="frozenSplit"/>
      <selection pane="bottomLeft" activeCell="E8" sqref="E8"/>
      <pageMargins left="0.75" right="0.75" top="1" bottom="1" header="0.5" footer="0.5"/>
      <pageSetup paperSize="9" orientation="portrait" horizontalDpi="4294967293" verticalDpi="4294967293" r:id="rId3"/>
      <headerFooter alignWithMargins="0"/>
      <autoFilter ref="B1">
        <filterColumn colId="0">
          <filters>
            <filter val="BLENDED CEREALS"/>
          </filters>
        </filterColumn>
      </autoFilter>
    </customSheetView>
    <customSheetView guid="{BA4F6A8B-B7E1-468F-AE8D-B0079A2D20E5}" showGridLines="0" filter="1" showAutoFilter="1" showRuler="0" topLeftCell="A2">
      <pane ySplit="9" topLeftCell="A11" activePane="bottomLeft" state="frozenSplit"/>
      <selection pane="bottomLeft" activeCell="B11" sqref="B11"/>
      <pageMargins left="0.75" right="0.75" top="1" bottom="1" header="0.5" footer="0.5"/>
      <pageSetup paperSize="9" orientation="portrait" horizontalDpi="4294967293" verticalDpi="4294967293" r:id="rId4"/>
      <headerFooter alignWithMargins="0"/>
      <autoFilter ref="B1">
        <filterColumn colId="0">
          <filters>
            <filter val="CEREALS"/>
          </filters>
        </filterColumn>
      </autoFilter>
    </customSheetView>
    <customSheetView guid="{93429E49-92B0-4925-8D04-D425145938FD}"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5"/>
      <headerFooter alignWithMargins="0"/>
      <autoFilter ref="B1">
        <filterColumn colId="0">
          <customFilters and="1">
            <customFilter operator="notEqual" val=" "/>
          </customFilters>
        </filterColumn>
      </autoFilter>
    </customSheetView>
    <customSheetView guid="{E422BA57-AFCC-4512-A22E-E75FB5198808}"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6"/>
      <headerFooter alignWithMargins="0"/>
      <autoFilter ref="B1">
        <filterColumn colId="0">
          <customFilters and="1">
            <customFilter operator="notEqual" val=" "/>
          </customFilters>
        </filterColumn>
      </autoFilter>
    </customSheetView>
    <customSheetView guid="{818A4ACB-56B8-4736-9E14-BA18A36B5B2F}"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7"/>
      <headerFooter alignWithMargins="0"/>
      <autoFilter ref="B1">
        <filterColumn colId="0">
          <customFilters and="1">
            <customFilter operator="notEqual" val=" "/>
          </customFilters>
        </filterColumn>
      </autoFilter>
    </customSheetView>
    <customSheetView guid="{3EA4A73F-A388-49D1-AD67-268667AF56E2}" showGridLines="0" showRowCol="0" filter="1" showAutoFilter="1" showRuler="0">
      <pageMargins left="0.75" right="0.75" top="1" bottom="1" header="0.5" footer="0.5"/>
      <pageSetup paperSize="9" scale="67" orientation="portrait" horizontalDpi="4294967293" verticalDpi="4294967293" r:id="rId8"/>
      <headerFooter alignWithMargins="0"/>
      <autoFilter ref="B1">
        <filterColumn colId="0">
          <customFilters and="1">
            <customFilter operator="notEqual" val=" "/>
          </customFilters>
        </filterColumn>
      </autoFilter>
    </customSheetView>
  </customSheetViews>
  <phoneticPr fontId="0" type="noConversion"/>
  <hyperlinks>
    <hyperlink ref="O11" location="Database!O11" tooltip="RAE = Retinol Activity Equivalent" display="µg RAE"/>
    <hyperlink ref="U11" location="Database!A1" tooltip="DFE = Dietary Folate Equivalent" display="µg DFE"/>
  </hyperlinks>
  <pageMargins left="0.75" right="0.75" top="1" bottom="1" header="0.5" footer="0.5"/>
  <pageSetup paperSize="9" scale="67" orientation="portrait"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18784" r:id="rId12" name="Button 352">
              <controlPr defaultSize="0" print="0" autoFill="0" autoPict="0" macro="[0]!Goto_Menu1">
                <anchor moveWithCells="1" sizeWithCells="1">
                  <from>
                    <xdr:col>2</xdr:col>
                    <xdr:colOff>0</xdr:colOff>
                    <xdr:row>1</xdr:row>
                    <xdr:rowOff>0</xdr:rowOff>
                  </from>
                  <to>
                    <xdr:col>3</xdr:col>
                    <xdr:colOff>114300</xdr:colOff>
                    <xdr:row>2</xdr:row>
                    <xdr:rowOff>28575</xdr:rowOff>
                  </to>
                </anchor>
              </controlPr>
            </control>
          </mc:Choice>
        </mc:AlternateContent>
        <mc:AlternateContent xmlns:mc="http://schemas.openxmlformats.org/markup-compatibility/2006">
          <mc:Choice Requires="x14">
            <control shapeId="18785" r:id="rId13" name="Button 353">
              <controlPr defaultSize="0" print="0" autoFill="0" autoPict="0" macro="[0]!Goto_Help2">
                <anchor moveWithCells="1" sizeWithCells="1">
                  <from>
                    <xdr:col>2</xdr:col>
                    <xdr:colOff>0</xdr:colOff>
                    <xdr:row>2</xdr:row>
                    <xdr:rowOff>38100</xdr:rowOff>
                  </from>
                  <to>
                    <xdr:col>3</xdr:col>
                    <xdr:colOff>114300</xdr:colOff>
                    <xdr:row>3</xdr:row>
                    <xdr:rowOff>57150</xdr:rowOff>
                  </to>
                </anchor>
              </controlPr>
            </control>
          </mc:Choice>
        </mc:AlternateContent>
        <mc:AlternateContent xmlns:mc="http://schemas.openxmlformats.org/markup-compatibility/2006">
          <mc:Choice Requires="x14">
            <control shapeId="18787" r:id="rId14" name="Button 355">
              <controlPr defaultSize="0" print="0" autoFill="0" autoPict="0" macro="[0]!Goto_Calculation_Sheet">
                <anchor moveWithCells="1" sizeWithCells="1">
                  <from>
                    <xdr:col>3</xdr:col>
                    <xdr:colOff>123825</xdr:colOff>
                    <xdr:row>1</xdr:row>
                    <xdr:rowOff>0</xdr:rowOff>
                  </from>
                  <to>
                    <xdr:col>3</xdr:col>
                    <xdr:colOff>1200150</xdr:colOff>
                    <xdr:row>3</xdr:row>
                    <xdr:rowOff>57150</xdr:rowOff>
                  </to>
                </anchor>
              </controlPr>
            </control>
          </mc:Choice>
        </mc:AlternateContent>
        <mc:AlternateContent xmlns:mc="http://schemas.openxmlformats.org/markup-compatibility/2006">
          <mc:Choice Requires="x14">
            <control shapeId="18984" r:id="rId15" name="Button 552">
              <controlPr defaultSize="0" print="0" autoFill="0" autoPict="0" macro="[0]!DataDisplayVitamins">
                <anchor>
                  <from>
                    <xdr:col>19</xdr:col>
                    <xdr:colOff>409575</xdr:colOff>
                    <xdr:row>1</xdr:row>
                    <xdr:rowOff>0</xdr:rowOff>
                  </from>
                  <to>
                    <xdr:col>21</xdr:col>
                    <xdr:colOff>276225</xdr:colOff>
                    <xdr:row>3</xdr:row>
                    <xdr:rowOff>57150</xdr:rowOff>
                  </to>
                </anchor>
              </controlPr>
            </control>
          </mc:Choice>
        </mc:AlternateContent>
        <mc:AlternateContent xmlns:mc="http://schemas.openxmlformats.org/markup-compatibility/2006">
          <mc:Choice Requires="x14">
            <control shapeId="18985" r:id="rId16" name="Button 553">
              <controlPr defaultSize="0" print="0" autoFill="0" autoPict="0" macro="[0]!DataDisplayMinerals">
                <anchor>
                  <from>
                    <xdr:col>21</xdr:col>
                    <xdr:colOff>295275</xdr:colOff>
                    <xdr:row>1</xdr:row>
                    <xdr:rowOff>0</xdr:rowOff>
                  </from>
                  <to>
                    <xdr:col>23</xdr:col>
                    <xdr:colOff>257175</xdr:colOff>
                    <xdr:row>3</xdr:row>
                    <xdr:rowOff>57150</xdr:rowOff>
                  </to>
                </anchor>
              </controlPr>
            </control>
          </mc:Choice>
        </mc:AlternateContent>
        <mc:AlternateContent xmlns:mc="http://schemas.openxmlformats.org/markup-compatibility/2006">
          <mc:Choice Requires="x14">
            <control shapeId="19046" r:id="rId17" name="Drop Down 164">
              <controlPr defaultSize="0" autoLine="0" autoPict="0" macro="[0]!DropDown164_Change">
                <anchor moveWithCells="1">
                  <from>
                    <xdr:col>3</xdr:col>
                    <xdr:colOff>923925</xdr:colOff>
                    <xdr:row>8</xdr:row>
                    <xdr:rowOff>76200</xdr:rowOff>
                  </from>
                  <to>
                    <xdr:col>3</xdr:col>
                    <xdr:colOff>2257425</xdr:colOff>
                    <xdr:row>9</xdr:row>
                    <xdr:rowOff>19050</xdr:rowOff>
                  </to>
                </anchor>
              </controlPr>
            </control>
          </mc:Choice>
        </mc:AlternateContent>
        <mc:AlternateContent xmlns:mc="http://schemas.openxmlformats.org/markup-compatibility/2006">
          <mc:Choice Requires="x14">
            <control shapeId="19248" r:id="rId18" name="Drop Down 816">
              <controlPr defaultSize="0" autoLine="0" autoPict="0" macro="[0]!DropDown816_Change">
                <anchor moveWithCells="1">
                  <from>
                    <xdr:col>3</xdr:col>
                    <xdr:colOff>923925</xdr:colOff>
                    <xdr:row>9</xdr:row>
                    <xdr:rowOff>85725</xdr:rowOff>
                  </from>
                  <to>
                    <xdr:col>3</xdr:col>
                    <xdr:colOff>2257425</xdr:colOff>
                    <xdr:row>9</xdr:row>
                    <xdr:rowOff>285750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B1" transitionEvaluation="1" codeName="Sheet2">
    <pageSetUpPr autoPageBreaks="0" fitToPage="1"/>
  </sheetPr>
  <dimension ref="A1:AI351"/>
  <sheetViews>
    <sheetView showGridLines="0" showRowColHeaders="0" tabSelected="1" topLeftCell="B1" zoomScaleNormal="100" workbookViewId="0"/>
  </sheetViews>
  <sheetFormatPr defaultColWidth="9.6640625" defaultRowHeight="14.1" customHeight="1" x14ac:dyDescent="0.25"/>
  <cols>
    <col min="1" max="1" width="19.44140625" style="285" hidden="1" customWidth="1"/>
    <col min="2" max="2" width="2" style="285" customWidth="1"/>
    <col min="3" max="3" width="41.77734375" style="285" customWidth="1"/>
    <col min="4" max="4" width="1.88671875" style="285" customWidth="1"/>
    <col min="5" max="5" width="4.44140625" style="285" customWidth="1"/>
    <col min="6" max="6" width="9" style="285" customWidth="1"/>
    <col min="7" max="7" width="6.33203125" style="285" customWidth="1"/>
    <col min="8" max="8" width="6.44140625" style="285" customWidth="1"/>
    <col min="9" max="9" width="6.109375" style="285" customWidth="1"/>
    <col min="10" max="10" width="7.109375" style="285" customWidth="1"/>
    <col min="11" max="11" width="6.6640625" style="285" customWidth="1"/>
    <col min="12" max="13" width="6" style="285" customWidth="1"/>
    <col min="14" max="14" width="8.33203125" style="285" customWidth="1"/>
    <col min="15" max="16" width="6.88671875" style="285" customWidth="1"/>
    <col min="17" max="19" width="6.77734375" style="285" hidden="1" customWidth="1"/>
    <col min="20" max="20" width="6.44140625" style="285" hidden="1" customWidth="1"/>
    <col min="21" max="21" width="9.21875" style="285" hidden="1" customWidth="1"/>
    <col min="22" max="22" width="7.33203125" style="285" hidden="1" customWidth="1"/>
    <col min="23" max="24" width="6.5546875" style="285" hidden="1" customWidth="1"/>
    <col min="25" max="25" width="7.33203125" style="285" hidden="1" customWidth="1"/>
    <col min="26" max="29" width="5.77734375" style="285" hidden="1" customWidth="1"/>
    <col min="30" max="30" width="5.5546875" style="285" customWidth="1"/>
    <col min="31" max="32" width="6.33203125" style="285" customWidth="1"/>
    <col min="33" max="33" width="6.21875" style="285" customWidth="1"/>
    <col min="34" max="34" width="8.109375" style="285" customWidth="1"/>
    <col min="35" max="35" width="6.5546875" style="285" bestFit="1" customWidth="1"/>
    <col min="36" max="16384" width="9.6640625" style="285"/>
  </cols>
  <sheetData>
    <row r="1" spans="1:34" s="35" customFormat="1" ht="10.5" customHeight="1" x14ac:dyDescent="0.25">
      <c r="A1" s="456"/>
      <c r="C1" s="457"/>
      <c r="X1" s="456"/>
    </row>
    <row r="2" spans="1:34" s="35" customFormat="1" ht="27" customHeight="1" x14ac:dyDescent="0.25">
      <c r="D2" s="285"/>
      <c r="G2" s="379"/>
      <c r="P2" s="1127"/>
      <c r="Q2" s="1127"/>
    </row>
    <row r="3" spans="1:34" s="35" customFormat="1" ht="15" customHeight="1" x14ac:dyDescent="0.25">
      <c r="B3" s="285"/>
      <c r="C3" s="455"/>
      <c r="D3" s="380"/>
      <c r="E3" s="380"/>
      <c r="F3" s="380"/>
      <c r="I3" s="380"/>
      <c r="J3" s="380"/>
      <c r="K3" s="380"/>
      <c r="L3" s="380"/>
      <c r="M3" s="380"/>
      <c r="N3" s="380"/>
      <c r="O3" s="381"/>
      <c r="P3" s="1127"/>
      <c r="Q3" s="1127"/>
      <c r="R3" s="390"/>
      <c r="S3" s="1"/>
    </row>
    <row r="4" spans="1:34" s="35" customFormat="1" ht="8.25" customHeight="1" x14ac:dyDescent="0.25">
      <c r="B4" s="285"/>
      <c r="C4" s="1"/>
      <c r="D4" s="1"/>
      <c r="E4" s="1"/>
      <c r="F4" s="1"/>
      <c r="G4" s="1"/>
      <c r="H4" s="382"/>
      <c r="I4" s="1"/>
      <c r="J4" s="1"/>
      <c r="K4" s="1"/>
      <c r="L4" s="1"/>
      <c r="M4" s="1"/>
      <c r="N4" s="1"/>
      <c r="O4" s="1"/>
      <c r="P4" s="1"/>
      <c r="Q4" s="1"/>
      <c r="S4" s="1"/>
      <c r="AH4" s="368"/>
    </row>
    <row r="5" spans="1:34" s="35" customFormat="1" ht="6" customHeight="1" x14ac:dyDescent="0.25">
      <c r="B5" s="285"/>
      <c r="C5" s="506" t="s">
        <v>280</v>
      </c>
      <c r="D5" s="507"/>
      <c r="E5" s="507"/>
      <c r="F5" s="508"/>
      <c r="G5" s="509"/>
      <c r="H5" s="509"/>
      <c r="I5" s="510"/>
      <c r="J5" s="511"/>
      <c r="K5" s="510"/>
      <c r="L5" s="511"/>
      <c r="M5" s="511"/>
      <c r="N5" s="512"/>
      <c r="O5" s="512"/>
      <c r="P5" s="510"/>
      <c r="Q5" s="511"/>
      <c r="R5" s="511"/>
      <c r="S5" s="511"/>
      <c r="T5" s="511"/>
      <c r="U5" s="511"/>
      <c r="V5" s="511"/>
      <c r="W5" s="511"/>
      <c r="X5" s="511"/>
      <c r="Y5" s="511"/>
      <c r="Z5" s="511"/>
      <c r="AA5" s="511"/>
      <c r="AB5" s="511"/>
      <c r="AC5" s="513"/>
      <c r="AH5" s="368"/>
    </row>
    <row r="6" spans="1:34" s="35" customFormat="1" ht="35.25" customHeight="1" x14ac:dyDescent="0.25">
      <c r="B6" s="285"/>
      <c r="C6" s="558" t="s">
        <v>328</v>
      </c>
      <c r="D6" s="514"/>
      <c r="E6" s="514"/>
      <c r="F6" s="515" t="s">
        <v>298</v>
      </c>
      <c r="G6" s="516" t="s">
        <v>330</v>
      </c>
      <c r="H6" s="517" t="s">
        <v>245</v>
      </c>
      <c r="I6" s="517" t="s">
        <v>246</v>
      </c>
      <c r="J6" s="517" t="s">
        <v>119</v>
      </c>
      <c r="K6" s="517" t="s">
        <v>641</v>
      </c>
      <c r="L6" s="517" t="s">
        <v>643</v>
      </c>
      <c r="M6" s="517" t="s">
        <v>645</v>
      </c>
      <c r="N6" s="517" t="s">
        <v>646</v>
      </c>
      <c r="O6" s="517" t="s">
        <v>648</v>
      </c>
      <c r="P6" s="517" t="s">
        <v>649</v>
      </c>
      <c r="Q6" s="517" t="s">
        <v>634</v>
      </c>
      <c r="R6" s="517" t="s">
        <v>282</v>
      </c>
      <c r="S6" s="517" t="s">
        <v>283</v>
      </c>
      <c r="T6" s="517" t="s">
        <v>284</v>
      </c>
      <c r="U6" s="517" t="s">
        <v>351</v>
      </c>
      <c r="V6" s="517" t="s">
        <v>285</v>
      </c>
      <c r="W6" s="517" t="s">
        <v>352</v>
      </c>
      <c r="X6" s="926" t="s">
        <v>768</v>
      </c>
      <c r="Y6" s="517" t="s">
        <v>286</v>
      </c>
      <c r="Z6" s="517" t="s">
        <v>287</v>
      </c>
      <c r="AA6" s="517" t="s">
        <v>288</v>
      </c>
      <c r="AB6" s="517" t="s">
        <v>289</v>
      </c>
      <c r="AC6" s="518" t="s">
        <v>290</v>
      </c>
    </row>
    <row r="7" spans="1:34" s="35" customFormat="1" ht="12.75" customHeight="1" x14ac:dyDescent="0.25">
      <c r="B7" s="285"/>
      <c r="C7" s="519"/>
      <c r="D7" s="514"/>
      <c r="E7" s="514"/>
      <c r="F7" s="520" t="s">
        <v>125</v>
      </c>
      <c r="G7" s="521" t="s">
        <v>117</v>
      </c>
      <c r="H7" s="522" t="s">
        <v>118</v>
      </c>
      <c r="I7" s="522" t="s">
        <v>118</v>
      </c>
      <c r="J7" s="521" t="s">
        <v>120</v>
      </c>
      <c r="K7" s="522" t="s">
        <v>120</v>
      </c>
      <c r="L7" s="522" t="s">
        <v>121</v>
      </c>
      <c r="M7" s="523" t="s">
        <v>120</v>
      </c>
      <c r="N7" s="523" t="s">
        <v>120</v>
      </c>
      <c r="O7" s="523" t="s">
        <v>348</v>
      </c>
      <c r="P7" s="523" t="s">
        <v>120</v>
      </c>
      <c r="Q7" s="524" t="s">
        <v>312</v>
      </c>
      <c r="R7" s="521" t="s">
        <v>120</v>
      </c>
      <c r="S7" s="521" t="s">
        <v>120</v>
      </c>
      <c r="T7" s="521" t="s">
        <v>120</v>
      </c>
      <c r="U7" s="521" t="s">
        <v>120</v>
      </c>
      <c r="V7" s="521" t="s">
        <v>120</v>
      </c>
      <c r="W7" s="524" t="s">
        <v>353</v>
      </c>
      <c r="X7" s="521" t="s">
        <v>279</v>
      </c>
      <c r="Y7" s="521" t="s">
        <v>279</v>
      </c>
      <c r="Z7" s="521" t="s">
        <v>120</v>
      </c>
      <c r="AA7" s="521" t="s">
        <v>348</v>
      </c>
      <c r="AB7" s="521" t="s">
        <v>120</v>
      </c>
      <c r="AC7" s="525" t="s">
        <v>348</v>
      </c>
    </row>
    <row r="8" spans="1:34" s="35" customFormat="1" ht="20.45" customHeight="1" x14ac:dyDescent="0.25">
      <c r="B8" s="285"/>
      <c r="C8" s="912" t="s">
        <v>865</v>
      </c>
      <c r="D8" s="526"/>
      <c r="E8" s="567"/>
      <c r="F8" s="915">
        <v>450</v>
      </c>
      <c r="G8" s="549">
        <f>IF($C8="","",IF(ISBLANK(VLOOKUP($C8,CalculatorNutrientData,2)),"-",VLOOKUP($C8,CalculatorNutrientData,2)*$F8/100))</f>
        <v>1506</v>
      </c>
      <c r="H8" s="783">
        <f t="shared" ref="H8:H27" si="0">IF($C8="","",IF(ISBLANK(VLOOKUP($C8,CalculatorNutrientData,3)),"-",VLOOKUP($C8,CalculatorNutrientData,3)*$F8/100))</f>
        <v>55.530000000000008</v>
      </c>
      <c r="I8" s="783">
        <f t="shared" ref="I8:I27" si="1">IF($C8="","",IF(ISBLANK(VLOOKUP($C8,CalculatorNutrientData,4)),"-",VLOOKUP($C8,CalculatorNutrientData,4)*$F8/100))</f>
        <v>8.3925000000000018</v>
      </c>
      <c r="J8" s="549">
        <f t="shared" ref="J8:J27" si="2">IF($C8="","",IF(ISBLANK(VLOOKUP($C8,CalculatorNutrientData,5)),"-",VLOOKUP($C8,CalculatorNutrientData,5)*$F8/100))</f>
        <v>135.75</v>
      </c>
      <c r="K8" s="783">
        <f t="shared" ref="K8:K27" si="3">IF($C8="","",IF(ISBLANK(VLOOKUP($C8,CalculatorNutrientData,6)),"-",VLOOKUP($C8,CalculatorNutrientData,6)*$F8/100))</f>
        <v>1.9770000000000001</v>
      </c>
      <c r="L8" s="549" t="str">
        <f t="shared" ref="L8:L27" si="4">IF($C8="","",IF(ISBLANK(VLOOKUP($C8,CalculatorNutrientData,7)),"-",VLOOKUP($C8,CalculatorNutrientData,7)*$F8/100))</f>
        <v>-</v>
      </c>
      <c r="M8" s="783">
        <f t="shared" ref="M8:M27" si="5">IF($C8="","",IF(ISBLANK(VLOOKUP($C8,CalculatorNutrientData,8)),"-",VLOOKUP($C8,CalculatorNutrientData,8)*$F8/100))</f>
        <v>17.587500000000002</v>
      </c>
      <c r="N8" s="549">
        <f t="shared" ref="N8:N27" si="6">IF($C8="","",IF(ISBLANK(VLOOKUP($C8,CalculatorNutrientData,9)),"-",VLOOKUP($C8,CalculatorNutrientData,9)*$F8/100))</f>
        <v>527.25</v>
      </c>
      <c r="O8" s="783">
        <f t="shared" ref="O8:O27" si="7">IF($C8="","",IF(ISBLANK(VLOOKUP($C8,CalculatorNutrientData,10)),"-",VLOOKUP($C8,CalculatorNutrientData,10)*$F8/100))</f>
        <v>346.2</v>
      </c>
      <c r="P8" s="783">
        <f t="shared" ref="P8:P27" si="8">IF($C8="","",IF(ISBLANK(VLOOKUP($C8,CalculatorNutrientData,11)),"-",VLOOKUP($C8,CalculatorNutrientData,11)*$F8/100))</f>
        <v>14.2575</v>
      </c>
      <c r="Q8" s="549">
        <f t="shared" ref="Q8:Q27" si="9">IF($C8="","",IF(ISBLANK(VLOOKUP($C8,CalculatorNutrientData,12)),"-",VLOOKUP($C8,CalculatorNutrientData,12)*$F8/100))</f>
        <v>0</v>
      </c>
      <c r="R8" s="784">
        <f t="shared" ref="R8:R27" si="10">IF($C8="","",IF(ISBLANK(VLOOKUP($C8,CalculatorNutrientData,13)),"-",VLOOKUP($C8,CalculatorNutrientData,13)*$F8/100))</f>
        <v>1.8727500000000004</v>
      </c>
      <c r="S8" s="784">
        <f t="shared" ref="S8:S27" si="11">IF($C8="","",IF(ISBLANK(VLOOKUP($C8,CalculatorNutrientData,14)),"-",VLOOKUP($C8,CalculatorNutrientData,14)*$F8/100))</f>
        <v>0.49274999999999991</v>
      </c>
      <c r="T8" s="783">
        <f t="shared" ref="T8:T27" si="12">IF($C8="","",IF(ISBLANK(VLOOKUP($C8,CalculatorNutrientData,15)),"-",VLOOKUP($C8,CalculatorNutrientData,15)*$F8/100))</f>
        <v>23.894250000000003</v>
      </c>
      <c r="U8" s="783">
        <f t="shared" ref="U8:U27" si="13">IF($C8="","",IF(ISBLANK(VLOOKUP($C8,CalculatorNutrientData,16)),"-",VLOOKUP($C8,CalculatorNutrientData,16)*$F8/100))</f>
        <v>4.1084999999999994</v>
      </c>
      <c r="V8" s="783">
        <f t="shared" ref="V8:V27" si="14">IF($C8="","",IF(ISBLANK(VLOOKUP($C8,CalculatorNutrientData,17)),"-",VLOOKUP($C8,CalculatorNutrientData,17)*$F8/100))</f>
        <v>1.5547499999999999</v>
      </c>
      <c r="W8" s="549">
        <f t="shared" ref="W8:W27" si="15">IF($C8="","",IF(ISBLANK(VLOOKUP($C8,CalculatorNutrientData,18)),"-",VLOOKUP($C8,CalculatorNutrientData,18)*$F8/100))</f>
        <v>183</v>
      </c>
      <c r="X8" s="549">
        <f t="shared" ref="X8:X27" si="16">IF($C8="","",IF(ISBLANK(VLOOKUP($C8,CalculatorNutrientData,19)),"-",VLOOKUP($C8,CalculatorNutrientData,19)*$F8/100))</f>
        <v>0</v>
      </c>
      <c r="Y8" s="549">
        <f t="shared" ref="Y8:Y27" si="17">IF($C8="","",IF(ISBLANK(VLOOKUP($C8,CalculatorNutrientData,20)),"-",VLOOKUP($C8,CalculatorNutrientData,20)*$F8/100))</f>
        <v>0</v>
      </c>
      <c r="Z8" s="783">
        <f t="shared" ref="Z8:Z27" si="18">IF($C8="","",IF(ISBLANK(VLOOKUP($C8,CalculatorNutrientData,21)),"-",VLOOKUP($C8,CalculatorNutrientData,21)*$F8/100))</f>
        <v>0</v>
      </c>
      <c r="AA8" s="783">
        <f t="shared" ref="AA8:AA27" si="19">IF($C8="","",IF(ISBLANK(VLOOKUP($C8,CalculatorNutrientData,22)),"-",VLOOKUP($C8,CalculatorNutrientData,22)*$F8/100))</f>
        <v>0</v>
      </c>
      <c r="AB8" s="783">
        <f t="shared" ref="AB8:AB27" si="20">IF($C8="","",IF(ISBLANK(VLOOKUP($C8,CalculatorNutrientData,23)),"-",VLOOKUP($C8,CalculatorNutrientData,23)*$F8/100))</f>
        <v>4.5449999999999999</v>
      </c>
      <c r="AC8" s="786">
        <f t="shared" ref="AC8:AC27" si="21">IF($C8="","",IF(ISBLANK(VLOOKUP($C8,CalculatorNutrientData,24)),"-",VLOOKUP($C8,CalculatorNutrientData,24)*$F8/100))</f>
        <v>8.5500000000000007</v>
      </c>
    </row>
    <row r="9" spans="1:34" s="35" customFormat="1" ht="20.45" customHeight="1" x14ac:dyDescent="0.25">
      <c r="B9" s="285"/>
      <c r="C9" s="913" t="s">
        <v>9</v>
      </c>
      <c r="D9" s="526"/>
      <c r="E9" s="568"/>
      <c r="F9" s="915">
        <v>60</v>
      </c>
      <c r="G9" s="549">
        <f t="shared" ref="G9:G27" si="22">IF($C9="","",IF(ISBLANK(VLOOKUP($C9,CalculatorNutrientData,2)),"-",VLOOKUP($C9,CalculatorNutrientData,2)*$F9/100))</f>
        <v>203.88</v>
      </c>
      <c r="H9" s="783">
        <f t="shared" si="0"/>
        <v>13.218</v>
      </c>
      <c r="I9" s="783">
        <f t="shared" si="1"/>
        <v>0.69959999999999989</v>
      </c>
      <c r="J9" s="549">
        <f t="shared" si="2"/>
        <v>84.96</v>
      </c>
      <c r="K9" s="783">
        <f t="shared" si="3"/>
        <v>0.51983999999999997</v>
      </c>
      <c r="L9" s="549" t="str">
        <f t="shared" si="4"/>
        <v>-</v>
      </c>
      <c r="M9" s="783">
        <f t="shared" si="5"/>
        <v>3.7199999999999993</v>
      </c>
      <c r="N9" s="549">
        <f t="shared" si="6"/>
        <v>103.44</v>
      </c>
      <c r="O9" s="783">
        <f t="shared" si="7"/>
        <v>8.16</v>
      </c>
      <c r="P9" s="783">
        <f t="shared" si="8"/>
        <v>1.6296000000000002</v>
      </c>
      <c r="Q9" s="549">
        <f t="shared" si="9"/>
        <v>0</v>
      </c>
      <c r="R9" s="784">
        <f t="shared" si="10"/>
        <v>0.41304000000000002</v>
      </c>
      <c r="S9" s="784">
        <f t="shared" si="11"/>
        <v>0.12288</v>
      </c>
      <c r="T9" s="783">
        <f t="shared" si="12"/>
        <v>1.1122800000000002</v>
      </c>
      <c r="U9" s="783">
        <f t="shared" si="13"/>
        <v>0.52847999999999995</v>
      </c>
      <c r="V9" s="783">
        <f t="shared" si="14"/>
        <v>0.27275999999999995</v>
      </c>
      <c r="W9" s="549">
        <f t="shared" si="15"/>
        <v>267.36</v>
      </c>
      <c r="X9" s="549">
        <f t="shared" si="16"/>
        <v>0</v>
      </c>
      <c r="Y9" s="549">
        <f t="shared" si="17"/>
        <v>0</v>
      </c>
      <c r="Z9" s="783">
        <f t="shared" si="18"/>
        <v>2.4150000000000005</v>
      </c>
      <c r="AA9" s="783">
        <f t="shared" si="19"/>
        <v>0</v>
      </c>
      <c r="AB9" s="783">
        <f t="shared" si="20"/>
        <v>0.10559999999999999</v>
      </c>
      <c r="AC9" s="787">
        <f t="shared" si="21"/>
        <v>4.6560000000000006</v>
      </c>
    </row>
    <row r="10" spans="1:34" s="35" customFormat="1" ht="20.45" customHeight="1" x14ac:dyDescent="0.25">
      <c r="B10" s="285"/>
      <c r="C10" s="913" t="s">
        <v>663</v>
      </c>
      <c r="D10" s="526"/>
      <c r="E10" s="568"/>
      <c r="F10" s="915">
        <v>30</v>
      </c>
      <c r="G10" s="549">
        <f t="shared" si="22"/>
        <v>265.2</v>
      </c>
      <c r="H10" s="783">
        <f t="shared" si="0"/>
        <v>0</v>
      </c>
      <c r="I10" s="783">
        <f t="shared" si="1"/>
        <v>30</v>
      </c>
      <c r="J10" s="549">
        <f t="shared" si="2"/>
        <v>0</v>
      </c>
      <c r="K10" s="783" t="str">
        <f t="shared" si="3"/>
        <v>-</v>
      </c>
      <c r="L10" s="549" t="str">
        <f t="shared" si="4"/>
        <v>-</v>
      </c>
      <c r="M10" s="783">
        <f t="shared" si="5"/>
        <v>0</v>
      </c>
      <c r="N10" s="549" t="str">
        <f t="shared" si="6"/>
        <v>-</v>
      </c>
      <c r="O10" s="783" t="str">
        <f t="shared" si="7"/>
        <v>-</v>
      </c>
      <c r="P10" s="783" t="str">
        <f t="shared" si="8"/>
        <v>-</v>
      </c>
      <c r="Q10" s="549">
        <f t="shared" si="9"/>
        <v>270.27027027027026</v>
      </c>
      <c r="R10" s="784">
        <f t="shared" si="10"/>
        <v>0</v>
      </c>
      <c r="S10" s="784">
        <f t="shared" si="11"/>
        <v>0</v>
      </c>
      <c r="T10" s="783">
        <f t="shared" si="12"/>
        <v>0</v>
      </c>
      <c r="U10" s="783">
        <f t="shared" si="13"/>
        <v>0</v>
      </c>
      <c r="V10" s="783">
        <f t="shared" si="14"/>
        <v>0</v>
      </c>
      <c r="W10" s="549">
        <f t="shared" si="15"/>
        <v>0</v>
      </c>
      <c r="X10" s="549">
        <f t="shared" si="16"/>
        <v>0</v>
      </c>
      <c r="Y10" s="549">
        <f t="shared" si="17"/>
        <v>0</v>
      </c>
      <c r="Z10" s="783">
        <f t="shared" si="18"/>
        <v>0</v>
      </c>
      <c r="AA10" s="783">
        <f t="shared" si="19"/>
        <v>2.25</v>
      </c>
      <c r="AB10" s="783" t="str">
        <f t="shared" si="20"/>
        <v>-</v>
      </c>
      <c r="AC10" s="787" t="str">
        <f t="shared" si="21"/>
        <v>-</v>
      </c>
    </row>
    <row r="11" spans="1:34" s="35" customFormat="1" ht="20.45" customHeight="1" x14ac:dyDescent="0.25">
      <c r="B11" s="285"/>
      <c r="C11" s="913" t="s">
        <v>662</v>
      </c>
      <c r="D11" s="526"/>
      <c r="E11" s="568"/>
      <c r="F11" s="915">
        <v>60</v>
      </c>
      <c r="G11" s="549">
        <f t="shared" si="22"/>
        <v>225.46799999999999</v>
      </c>
      <c r="H11" s="783">
        <f t="shared" si="0"/>
        <v>9.1739999999999995</v>
      </c>
      <c r="I11" s="783">
        <f t="shared" si="1"/>
        <v>4.8179999999999996</v>
      </c>
      <c r="J11" s="549">
        <f t="shared" si="2"/>
        <v>237.88800000000003</v>
      </c>
      <c r="K11" s="783">
        <f t="shared" si="3"/>
        <v>0.28199999999999997</v>
      </c>
      <c r="L11" s="549">
        <f t="shared" si="4"/>
        <v>24</v>
      </c>
      <c r="M11" s="783">
        <f t="shared" si="5"/>
        <v>5.6459999999999999</v>
      </c>
      <c r="N11" s="549" t="str">
        <f t="shared" si="6"/>
        <v>-</v>
      </c>
      <c r="O11" s="783">
        <f t="shared" si="7"/>
        <v>9.5939999999999994</v>
      </c>
      <c r="P11" s="783">
        <f t="shared" si="8"/>
        <v>4.6079999999999997</v>
      </c>
      <c r="Q11" s="549">
        <f t="shared" si="9"/>
        <v>332.98200000000003</v>
      </c>
      <c r="R11" s="784">
        <f t="shared" si="10"/>
        <v>0.35399999999999998</v>
      </c>
      <c r="S11" s="784">
        <f t="shared" si="11"/>
        <v>0.42599999999999993</v>
      </c>
      <c r="T11" s="783">
        <f t="shared" si="12"/>
        <v>6.63</v>
      </c>
      <c r="U11" s="783">
        <f t="shared" si="13"/>
        <v>1.212</v>
      </c>
      <c r="V11" s="783">
        <f t="shared" si="14"/>
        <v>0.91799999999999993</v>
      </c>
      <c r="W11" s="549">
        <f t="shared" si="15"/>
        <v>94.722000000000008</v>
      </c>
      <c r="X11" s="549">
        <f t="shared" si="16"/>
        <v>36</v>
      </c>
      <c r="Y11" s="549">
        <f t="shared" si="17"/>
        <v>1.2</v>
      </c>
      <c r="Z11" s="783">
        <f t="shared" si="18"/>
        <v>60.552</v>
      </c>
      <c r="AA11" s="783">
        <f t="shared" si="19"/>
        <v>3.6</v>
      </c>
      <c r="AB11" s="783">
        <f t="shared" si="20"/>
        <v>5.76</v>
      </c>
      <c r="AC11" s="787" t="str">
        <f t="shared" si="21"/>
        <v>-</v>
      </c>
      <c r="AH11" s="368"/>
    </row>
    <row r="12" spans="1:34" s="35" customFormat="1" ht="20.45" customHeight="1" x14ac:dyDescent="0.25">
      <c r="B12" s="285"/>
      <c r="C12" s="913" t="s">
        <v>664</v>
      </c>
      <c r="D12" s="526"/>
      <c r="E12" s="568"/>
      <c r="F12" s="915">
        <v>5</v>
      </c>
      <c r="G12" s="549">
        <f t="shared" si="22"/>
        <v>0</v>
      </c>
      <c r="H12" s="783">
        <f t="shared" si="0"/>
        <v>0</v>
      </c>
      <c r="I12" s="783">
        <f t="shared" si="1"/>
        <v>0</v>
      </c>
      <c r="J12" s="549" t="str">
        <f t="shared" si="2"/>
        <v>-</v>
      </c>
      <c r="K12" s="783" t="str">
        <f t="shared" si="3"/>
        <v>-</v>
      </c>
      <c r="L12" s="549">
        <f t="shared" si="4"/>
        <v>200</v>
      </c>
      <c r="M12" s="783" t="str">
        <f t="shared" si="5"/>
        <v>-</v>
      </c>
      <c r="N12" s="549" t="str">
        <f t="shared" si="6"/>
        <v>-</v>
      </c>
      <c r="O12" s="783" t="str">
        <f t="shared" si="7"/>
        <v>-</v>
      </c>
      <c r="P12" s="783">
        <f t="shared" si="8"/>
        <v>0</v>
      </c>
      <c r="Q12" s="549">
        <f t="shared" si="9"/>
        <v>0</v>
      </c>
      <c r="R12" s="784">
        <f t="shared" si="10"/>
        <v>0</v>
      </c>
      <c r="S12" s="784">
        <f t="shared" si="11"/>
        <v>0</v>
      </c>
      <c r="T12" s="783">
        <f t="shared" si="12"/>
        <v>0</v>
      </c>
      <c r="U12" s="783">
        <f t="shared" si="13"/>
        <v>0</v>
      </c>
      <c r="V12" s="783">
        <f t="shared" si="14"/>
        <v>0</v>
      </c>
      <c r="W12" s="549">
        <f t="shared" si="15"/>
        <v>0</v>
      </c>
      <c r="X12" s="549">
        <f t="shared" si="16"/>
        <v>0</v>
      </c>
      <c r="Y12" s="549">
        <f t="shared" si="17"/>
        <v>0</v>
      </c>
      <c r="Z12" s="783">
        <f t="shared" si="18"/>
        <v>0</v>
      </c>
      <c r="AA12" s="783">
        <f t="shared" si="19"/>
        <v>0</v>
      </c>
      <c r="AB12" s="783">
        <f t="shared" si="20"/>
        <v>0</v>
      </c>
      <c r="AC12" s="787">
        <f t="shared" si="21"/>
        <v>0</v>
      </c>
    </row>
    <row r="13" spans="1:34" s="35" customFormat="1" ht="20.45" customHeight="1" x14ac:dyDescent="0.25">
      <c r="B13" s="285"/>
      <c r="C13" s="913" t="s">
        <v>941</v>
      </c>
      <c r="D13" s="526"/>
      <c r="E13" s="568"/>
      <c r="F13" s="915">
        <v>5</v>
      </c>
      <c r="G13" s="549">
        <f t="shared" si="22"/>
        <v>13.8</v>
      </c>
      <c r="H13" s="783">
        <f t="shared" si="0"/>
        <v>0.45549999999999996</v>
      </c>
      <c r="I13" s="783">
        <f t="shared" si="1"/>
        <v>0.3715</v>
      </c>
      <c r="J13" s="549">
        <f t="shared" si="2"/>
        <v>94.5</v>
      </c>
      <c r="K13" s="783">
        <f t="shared" si="3"/>
        <v>4.2999999999999997E-2</v>
      </c>
      <c r="L13" s="549" t="str">
        <f t="shared" si="4"/>
        <v>-</v>
      </c>
      <c r="M13" s="783">
        <f t="shared" si="5"/>
        <v>6.18</v>
      </c>
      <c r="N13" s="549">
        <f t="shared" si="6"/>
        <v>11</v>
      </c>
      <c r="O13" s="783">
        <f t="shared" si="7"/>
        <v>0.23</v>
      </c>
      <c r="P13" s="783">
        <f t="shared" si="8"/>
        <v>0.309</v>
      </c>
      <c r="Q13" s="549">
        <f t="shared" si="9"/>
        <v>9.5</v>
      </c>
      <c r="R13" s="784">
        <f t="shared" si="10"/>
        <v>2.5649999999999999E-2</v>
      </c>
      <c r="S13" s="784">
        <f t="shared" si="11"/>
        <v>1.9950000000000002E-2</v>
      </c>
      <c r="T13" s="783">
        <f t="shared" si="12"/>
        <v>0.24700000000000003</v>
      </c>
      <c r="U13" s="783" t="str">
        <f t="shared" si="13"/>
        <v>-</v>
      </c>
      <c r="V13" s="783">
        <f t="shared" si="14"/>
        <v>2.75E-2</v>
      </c>
      <c r="W13" s="549">
        <f t="shared" si="15"/>
        <v>13.7</v>
      </c>
      <c r="X13" s="549">
        <f t="shared" si="16"/>
        <v>0</v>
      </c>
      <c r="Y13" s="549">
        <f t="shared" si="17"/>
        <v>0</v>
      </c>
      <c r="Z13" s="783">
        <f t="shared" si="18"/>
        <v>2.5</v>
      </c>
      <c r="AA13" s="783">
        <f t="shared" si="19"/>
        <v>0</v>
      </c>
      <c r="AB13" s="783">
        <f t="shared" si="20"/>
        <v>0.37400000000000005</v>
      </c>
      <c r="AC13" s="787">
        <f t="shared" si="21"/>
        <v>85.724999999999994</v>
      </c>
    </row>
    <row r="14" spans="1:34" s="35" customFormat="1" ht="20.45" customHeight="1" x14ac:dyDescent="0.25">
      <c r="B14" s="285"/>
      <c r="C14" s="913" t="s">
        <v>29</v>
      </c>
      <c r="D14" s="526"/>
      <c r="E14" s="564"/>
      <c r="F14" s="915">
        <v>50</v>
      </c>
      <c r="G14" s="549">
        <f t="shared" si="22"/>
        <v>11.5</v>
      </c>
      <c r="H14" s="783">
        <f t="shared" si="0"/>
        <v>1.43</v>
      </c>
      <c r="I14" s="783">
        <f t="shared" si="1"/>
        <v>0.19500000000000001</v>
      </c>
      <c r="J14" s="549">
        <f t="shared" si="2"/>
        <v>49.5</v>
      </c>
      <c r="K14" s="783">
        <f t="shared" si="3"/>
        <v>6.5000000000000002E-2</v>
      </c>
      <c r="L14" s="549" t="str">
        <f t="shared" si="4"/>
        <v>-</v>
      </c>
      <c r="M14" s="783">
        <f t="shared" si="5"/>
        <v>1.355</v>
      </c>
      <c r="N14" s="549">
        <f t="shared" si="6"/>
        <v>39.5</v>
      </c>
      <c r="O14" s="783">
        <f t="shared" si="7"/>
        <v>0.5</v>
      </c>
      <c r="P14" s="783">
        <f t="shared" si="8"/>
        <v>0.26500000000000001</v>
      </c>
      <c r="Q14" s="549">
        <f t="shared" si="9"/>
        <v>234.5</v>
      </c>
      <c r="R14" s="784">
        <f t="shared" si="10"/>
        <v>3.9E-2</v>
      </c>
      <c r="S14" s="784">
        <f t="shared" si="11"/>
        <v>9.4499999999999987E-2</v>
      </c>
      <c r="T14" s="783">
        <f t="shared" si="12"/>
        <v>0.36199999999999993</v>
      </c>
      <c r="U14" s="783">
        <f t="shared" si="13"/>
        <v>3.2500000000000001E-2</v>
      </c>
      <c r="V14" s="783">
        <f t="shared" si="14"/>
        <v>9.7500000000000003E-2</v>
      </c>
      <c r="W14" s="549">
        <f t="shared" si="15"/>
        <v>97</v>
      </c>
      <c r="X14" s="549">
        <f t="shared" si="16"/>
        <v>0</v>
      </c>
      <c r="Y14" s="549">
        <f t="shared" si="17"/>
        <v>0</v>
      </c>
      <c r="Z14" s="783">
        <f t="shared" si="18"/>
        <v>14.05</v>
      </c>
      <c r="AA14" s="783">
        <f t="shared" si="19"/>
        <v>0</v>
      </c>
      <c r="AB14" s="783">
        <f t="shared" si="20"/>
        <v>1.0149999999999999</v>
      </c>
      <c r="AC14" s="787">
        <f t="shared" si="21"/>
        <v>241.45</v>
      </c>
    </row>
    <row r="15" spans="1:34" s="35" customFormat="1" ht="20.45" customHeight="1" x14ac:dyDescent="0.25">
      <c r="B15" s="285"/>
      <c r="C15" s="913"/>
      <c r="D15" s="526"/>
      <c r="E15" s="564"/>
      <c r="F15" s="915"/>
      <c r="G15" s="549" t="str">
        <f t="shared" si="22"/>
        <v/>
      </c>
      <c r="H15" s="783" t="str">
        <f t="shared" si="0"/>
        <v/>
      </c>
      <c r="I15" s="783" t="str">
        <f t="shared" si="1"/>
        <v/>
      </c>
      <c r="J15" s="549" t="str">
        <f t="shared" si="2"/>
        <v/>
      </c>
      <c r="K15" s="783" t="str">
        <f t="shared" si="3"/>
        <v/>
      </c>
      <c r="L15" s="549" t="str">
        <f t="shared" si="4"/>
        <v/>
      </c>
      <c r="M15" s="783" t="str">
        <f t="shared" si="5"/>
        <v/>
      </c>
      <c r="N15" s="549" t="str">
        <f t="shared" si="6"/>
        <v/>
      </c>
      <c r="O15" s="783" t="str">
        <f t="shared" si="7"/>
        <v/>
      </c>
      <c r="P15" s="783" t="str">
        <f t="shared" si="8"/>
        <v/>
      </c>
      <c r="Q15" s="549" t="str">
        <f t="shared" si="9"/>
        <v/>
      </c>
      <c r="R15" s="784" t="str">
        <f t="shared" si="10"/>
        <v/>
      </c>
      <c r="S15" s="784" t="str">
        <f t="shared" si="11"/>
        <v/>
      </c>
      <c r="T15" s="783" t="str">
        <f t="shared" si="12"/>
        <v/>
      </c>
      <c r="U15" s="783" t="str">
        <f t="shared" si="13"/>
        <v/>
      </c>
      <c r="V15" s="783" t="str">
        <f t="shared" si="14"/>
        <v/>
      </c>
      <c r="W15" s="549" t="str">
        <f t="shared" si="15"/>
        <v/>
      </c>
      <c r="X15" s="549" t="str">
        <f t="shared" si="16"/>
        <v/>
      </c>
      <c r="Y15" s="549" t="str">
        <f t="shared" si="17"/>
        <v/>
      </c>
      <c r="Z15" s="783" t="str">
        <f t="shared" si="18"/>
        <v/>
      </c>
      <c r="AA15" s="783" t="str">
        <f t="shared" si="19"/>
        <v/>
      </c>
      <c r="AB15" s="783" t="str">
        <f t="shared" si="20"/>
        <v/>
      </c>
      <c r="AC15" s="787" t="str">
        <f t="shared" si="21"/>
        <v/>
      </c>
    </row>
    <row r="16" spans="1:34" s="35" customFormat="1" ht="20.45" customHeight="1" x14ac:dyDescent="0.25">
      <c r="B16" s="285"/>
      <c r="C16" s="913"/>
      <c r="D16" s="526"/>
      <c r="E16" s="564"/>
      <c r="F16" s="915"/>
      <c r="G16" s="549" t="str">
        <f t="shared" si="22"/>
        <v/>
      </c>
      <c r="H16" s="783" t="str">
        <f t="shared" si="0"/>
        <v/>
      </c>
      <c r="I16" s="783" t="str">
        <f t="shared" si="1"/>
        <v/>
      </c>
      <c r="J16" s="549" t="str">
        <f t="shared" si="2"/>
        <v/>
      </c>
      <c r="K16" s="783" t="str">
        <f t="shared" si="3"/>
        <v/>
      </c>
      <c r="L16" s="549" t="str">
        <f t="shared" si="4"/>
        <v/>
      </c>
      <c r="M16" s="783" t="str">
        <f t="shared" si="5"/>
        <v/>
      </c>
      <c r="N16" s="549" t="str">
        <f t="shared" si="6"/>
        <v/>
      </c>
      <c r="O16" s="783" t="str">
        <f t="shared" si="7"/>
        <v/>
      </c>
      <c r="P16" s="783" t="str">
        <f t="shared" si="8"/>
        <v/>
      </c>
      <c r="Q16" s="549" t="str">
        <f t="shared" si="9"/>
        <v/>
      </c>
      <c r="R16" s="784" t="str">
        <f t="shared" si="10"/>
        <v/>
      </c>
      <c r="S16" s="784" t="str">
        <f t="shared" si="11"/>
        <v/>
      </c>
      <c r="T16" s="783" t="str">
        <f t="shared" si="12"/>
        <v/>
      </c>
      <c r="U16" s="783" t="str">
        <f t="shared" si="13"/>
        <v/>
      </c>
      <c r="V16" s="783" t="str">
        <f t="shared" si="14"/>
        <v/>
      </c>
      <c r="W16" s="549" t="str">
        <f t="shared" si="15"/>
        <v/>
      </c>
      <c r="X16" s="549" t="str">
        <f t="shared" si="16"/>
        <v/>
      </c>
      <c r="Y16" s="549" t="str">
        <f t="shared" si="17"/>
        <v/>
      </c>
      <c r="Z16" s="783" t="str">
        <f t="shared" si="18"/>
        <v/>
      </c>
      <c r="AA16" s="783" t="str">
        <f t="shared" si="19"/>
        <v/>
      </c>
      <c r="AB16" s="783" t="str">
        <f t="shared" si="20"/>
        <v/>
      </c>
      <c r="AC16" s="787" t="str">
        <f t="shared" si="21"/>
        <v/>
      </c>
    </row>
    <row r="17" spans="2:29" s="35" customFormat="1" ht="20.45" customHeight="1" x14ac:dyDescent="0.25">
      <c r="B17" s="285"/>
      <c r="C17" s="913"/>
      <c r="D17" s="526"/>
      <c r="E17" s="564"/>
      <c r="F17" s="915"/>
      <c r="G17" s="549" t="str">
        <f t="shared" si="22"/>
        <v/>
      </c>
      <c r="H17" s="783" t="str">
        <f t="shared" si="0"/>
        <v/>
      </c>
      <c r="I17" s="783" t="str">
        <f t="shared" si="1"/>
        <v/>
      </c>
      <c r="J17" s="549" t="str">
        <f t="shared" si="2"/>
        <v/>
      </c>
      <c r="K17" s="783" t="str">
        <f t="shared" si="3"/>
        <v/>
      </c>
      <c r="L17" s="549" t="str">
        <f t="shared" si="4"/>
        <v/>
      </c>
      <c r="M17" s="783" t="str">
        <f t="shared" si="5"/>
        <v/>
      </c>
      <c r="N17" s="549" t="str">
        <f t="shared" si="6"/>
        <v/>
      </c>
      <c r="O17" s="783" t="str">
        <f t="shared" si="7"/>
        <v/>
      </c>
      <c r="P17" s="783" t="str">
        <f t="shared" si="8"/>
        <v/>
      </c>
      <c r="Q17" s="549" t="str">
        <f t="shared" si="9"/>
        <v/>
      </c>
      <c r="R17" s="784" t="str">
        <f t="shared" si="10"/>
        <v/>
      </c>
      <c r="S17" s="784" t="str">
        <f t="shared" si="11"/>
        <v/>
      </c>
      <c r="T17" s="783" t="str">
        <f t="shared" si="12"/>
        <v/>
      </c>
      <c r="U17" s="783" t="str">
        <f t="shared" si="13"/>
        <v/>
      </c>
      <c r="V17" s="783" t="str">
        <f t="shared" si="14"/>
        <v/>
      </c>
      <c r="W17" s="549" t="str">
        <f t="shared" si="15"/>
        <v/>
      </c>
      <c r="X17" s="549" t="str">
        <f t="shared" si="16"/>
        <v/>
      </c>
      <c r="Y17" s="549" t="str">
        <f t="shared" si="17"/>
        <v/>
      </c>
      <c r="Z17" s="783" t="str">
        <f t="shared" si="18"/>
        <v/>
      </c>
      <c r="AA17" s="783" t="str">
        <f t="shared" si="19"/>
        <v/>
      </c>
      <c r="AB17" s="783" t="str">
        <f t="shared" si="20"/>
        <v/>
      </c>
      <c r="AC17" s="787" t="str">
        <f t="shared" si="21"/>
        <v/>
      </c>
    </row>
    <row r="18" spans="2:29" s="35" customFormat="1" ht="20.45" hidden="1" customHeight="1" x14ac:dyDescent="0.25">
      <c r="B18" s="285"/>
      <c r="C18" s="913"/>
      <c r="D18" s="526"/>
      <c r="E18" s="564"/>
      <c r="F18" s="915"/>
      <c r="G18" s="549" t="str">
        <f t="shared" si="22"/>
        <v/>
      </c>
      <c r="H18" s="783" t="str">
        <f t="shared" si="0"/>
        <v/>
      </c>
      <c r="I18" s="783" t="str">
        <f t="shared" si="1"/>
        <v/>
      </c>
      <c r="J18" s="549" t="str">
        <f t="shared" si="2"/>
        <v/>
      </c>
      <c r="K18" s="783" t="str">
        <f t="shared" si="3"/>
        <v/>
      </c>
      <c r="L18" s="549" t="str">
        <f t="shared" si="4"/>
        <v/>
      </c>
      <c r="M18" s="783" t="str">
        <f t="shared" si="5"/>
        <v/>
      </c>
      <c r="N18" s="549" t="str">
        <f t="shared" si="6"/>
        <v/>
      </c>
      <c r="O18" s="783" t="str">
        <f t="shared" si="7"/>
        <v/>
      </c>
      <c r="P18" s="783" t="str">
        <f t="shared" si="8"/>
        <v/>
      </c>
      <c r="Q18" s="549" t="str">
        <f t="shared" si="9"/>
        <v/>
      </c>
      <c r="R18" s="784" t="str">
        <f t="shared" si="10"/>
        <v/>
      </c>
      <c r="S18" s="784" t="str">
        <f t="shared" si="11"/>
        <v/>
      </c>
      <c r="T18" s="783" t="str">
        <f t="shared" si="12"/>
        <v/>
      </c>
      <c r="U18" s="783" t="str">
        <f t="shared" si="13"/>
        <v/>
      </c>
      <c r="V18" s="783" t="str">
        <f t="shared" si="14"/>
        <v/>
      </c>
      <c r="W18" s="549" t="str">
        <f t="shared" si="15"/>
        <v/>
      </c>
      <c r="X18" s="549" t="str">
        <f t="shared" si="16"/>
        <v/>
      </c>
      <c r="Y18" s="549" t="str">
        <f t="shared" si="17"/>
        <v/>
      </c>
      <c r="Z18" s="783" t="str">
        <f t="shared" si="18"/>
        <v/>
      </c>
      <c r="AA18" s="783" t="str">
        <f t="shared" si="19"/>
        <v/>
      </c>
      <c r="AB18" s="783" t="str">
        <f t="shared" si="20"/>
        <v/>
      </c>
      <c r="AC18" s="787" t="str">
        <f t="shared" si="21"/>
        <v/>
      </c>
    </row>
    <row r="19" spans="2:29" s="35" customFormat="1" ht="20.45" hidden="1" customHeight="1" x14ac:dyDescent="0.25">
      <c r="B19" s="285"/>
      <c r="C19" s="913"/>
      <c r="D19" s="526"/>
      <c r="E19" s="564"/>
      <c r="F19" s="915"/>
      <c r="G19" s="549" t="str">
        <f t="shared" si="22"/>
        <v/>
      </c>
      <c r="H19" s="783" t="str">
        <f t="shared" si="0"/>
        <v/>
      </c>
      <c r="I19" s="783" t="str">
        <f t="shared" si="1"/>
        <v/>
      </c>
      <c r="J19" s="549" t="str">
        <f t="shared" si="2"/>
        <v/>
      </c>
      <c r="K19" s="783" t="str">
        <f t="shared" si="3"/>
        <v/>
      </c>
      <c r="L19" s="549" t="str">
        <f t="shared" si="4"/>
        <v/>
      </c>
      <c r="M19" s="783" t="str">
        <f t="shared" si="5"/>
        <v/>
      </c>
      <c r="N19" s="549" t="str">
        <f t="shared" si="6"/>
        <v/>
      </c>
      <c r="O19" s="783" t="str">
        <f t="shared" si="7"/>
        <v/>
      </c>
      <c r="P19" s="783" t="str">
        <f t="shared" si="8"/>
        <v/>
      </c>
      <c r="Q19" s="549" t="str">
        <f t="shared" si="9"/>
        <v/>
      </c>
      <c r="R19" s="784" t="str">
        <f t="shared" si="10"/>
        <v/>
      </c>
      <c r="S19" s="784" t="str">
        <f t="shared" si="11"/>
        <v/>
      </c>
      <c r="T19" s="783" t="str">
        <f t="shared" si="12"/>
        <v/>
      </c>
      <c r="U19" s="783" t="str">
        <f t="shared" si="13"/>
        <v/>
      </c>
      <c r="V19" s="783" t="str">
        <f t="shared" si="14"/>
        <v/>
      </c>
      <c r="W19" s="549" t="str">
        <f t="shared" si="15"/>
        <v/>
      </c>
      <c r="X19" s="549" t="str">
        <f t="shared" si="16"/>
        <v/>
      </c>
      <c r="Y19" s="549" t="str">
        <f t="shared" si="17"/>
        <v/>
      </c>
      <c r="Z19" s="783" t="str">
        <f t="shared" si="18"/>
        <v/>
      </c>
      <c r="AA19" s="783" t="str">
        <f t="shared" si="19"/>
        <v/>
      </c>
      <c r="AB19" s="783" t="str">
        <f t="shared" si="20"/>
        <v/>
      </c>
      <c r="AC19" s="787" t="str">
        <f t="shared" si="21"/>
        <v/>
      </c>
    </row>
    <row r="20" spans="2:29" s="35" customFormat="1" ht="20.45" hidden="1" customHeight="1" x14ac:dyDescent="0.25">
      <c r="B20" s="285"/>
      <c r="C20" s="913"/>
      <c r="D20" s="526"/>
      <c r="E20" s="564"/>
      <c r="F20" s="915"/>
      <c r="G20" s="549" t="str">
        <f t="shared" si="22"/>
        <v/>
      </c>
      <c r="H20" s="783" t="str">
        <f t="shared" si="0"/>
        <v/>
      </c>
      <c r="I20" s="783" t="str">
        <f t="shared" si="1"/>
        <v/>
      </c>
      <c r="J20" s="549" t="str">
        <f t="shared" si="2"/>
        <v/>
      </c>
      <c r="K20" s="783" t="str">
        <f t="shared" si="3"/>
        <v/>
      </c>
      <c r="L20" s="549" t="str">
        <f t="shared" si="4"/>
        <v/>
      </c>
      <c r="M20" s="783" t="str">
        <f t="shared" si="5"/>
        <v/>
      </c>
      <c r="N20" s="549" t="str">
        <f t="shared" si="6"/>
        <v/>
      </c>
      <c r="O20" s="783" t="str">
        <f t="shared" si="7"/>
        <v/>
      </c>
      <c r="P20" s="783" t="str">
        <f t="shared" si="8"/>
        <v/>
      </c>
      <c r="Q20" s="549" t="str">
        <f t="shared" si="9"/>
        <v/>
      </c>
      <c r="R20" s="784" t="str">
        <f t="shared" si="10"/>
        <v/>
      </c>
      <c r="S20" s="784" t="str">
        <f t="shared" si="11"/>
        <v/>
      </c>
      <c r="T20" s="783" t="str">
        <f t="shared" si="12"/>
        <v/>
      </c>
      <c r="U20" s="783" t="str">
        <f t="shared" si="13"/>
        <v/>
      </c>
      <c r="V20" s="783" t="str">
        <f t="shared" si="14"/>
        <v/>
      </c>
      <c r="W20" s="549" t="str">
        <f t="shared" si="15"/>
        <v/>
      </c>
      <c r="X20" s="549" t="str">
        <f t="shared" si="16"/>
        <v/>
      </c>
      <c r="Y20" s="549" t="str">
        <f t="shared" si="17"/>
        <v/>
      </c>
      <c r="Z20" s="783" t="str">
        <f t="shared" si="18"/>
        <v/>
      </c>
      <c r="AA20" s="783" t="str">
        <f t="shared" si="19"/>
        <v/>
      </c>
      <c r="AB20" s="783" t="str">
        <f t="shared" si="20"/>
        <v/>
      </c>
      <c r="AC20" s="787" t="str">
        <f t="shared" si="21"/>
        <v/>
      </c>
    </row>
    <row r="21" spans="2:29" s="35" customFormat="1" ht="20.45" hidden="1" customHeight="1" x14ac:dyDescent="0.25">
      <c r="B21" s="285"/>
      <c r="C21" s="913"/>
      <c r="D21" s="526"/>
      <c r="E21" s="564"/>
      <c r="F21" s="915"/>
      <c r="G21" s="549" t="str">
        <f t="shared" si="22"/>
        <v/>
      </c>
      <c r="H21" s="783" t="str">
        <f t="shared" si="0"/>
        <v/>
      </c>
      <c r="I21" s="783" t="str">
        <f t="shared" si="1"/>
        <v/>
      </c>
      <c r="J21" s="549" t="str">
        <f t="shared" si="2"/>
        <v/>
      </c>
      <c r="K21" s="783" t="str">
        <f t="shared" si="3"/>
        <v/>
      </c>
      <c r="L21" s="549" t="str">
        <f t="shared" si="4"/>
        <v/>
      </c>
      <c r="M21" s="783" t="str">
        <f t="shared" si="5"/>
        <v/>
      </c>
      <c r="N21" s="549" t="str">
        <f t="shared" si="6"/>
        <v/>
      </c>
      <c r="O21" s="783" t="str">
        <f t="shared" si="7"/>
        <v/>
      </c>
      <c r="P21" s="783" t="str">
        <f t="shared" si="8"/>
        <v/>
      </c>
      <c r="Q21" s="549" t="str">
        <f t="shared" si="9"/>
        <v/>
      </c>
      <c r="R21" s="784" t="str">
        <f t="shared" si="10"/>
        <v/>
      </c>
      <c r="S21" s="784" t="str">
        <f t="shared" si="11"/>
        <v/>
      </c>
      <c r="T21" s="783" t="str">
        <f t="shared" si="12"/>
        <v/>
      </c>
      <c r="U21" s="783" t="str">
        <f t="shared" si="13"/>
        <v/>
      </c>
      <c r="V21" s="783" t="str">
        <f t="shared" si="14"/>
        <v/>
      </c>
      <c r="W21" s="549" t="str">
        <f t="shared" si="15"/>
        <v/>
      </c>
      <c r="X21" s="549" t="str">
        <f t="shared" si="16"/>
        <v/>
      </c>
      <c r="Y21" s="549" t="str">
        <f t="shared" si="17"/>
        <v/>
      </c>
      <c r="Z21" s="783" t="str">
        <f t="shared" si="18"/>
        <v/>
      </c>
      <c r="AA21" s="783" t="str">
        <f t="shared" si="19"/>
        <v/>
      </c>
      <c r="AB21" s="783" t="str">
        <f t="shared" si="20"/>
        <v/>
      </c>
      <c r="AC21" s="787" t="str">
        <f t="shared" si="21"/>
        <v/>
      </c>
    </row>
    <row r="22" spans="2:29" s="35" customFormat="1" ht="20.45" hidden="1" customHeight="1" x14ac:dyDescent="0.25">
      <c r="B22" s="285"/>
      <c r="C22" s="913"/>
      <c r="D22" s="526"/>
      <c r="E22" s="564"/>
      <c r="F22" s="915"/>
      <c r="G22" s="549" t="str">
        <f t="shared" si="22"/>
        <v/>
      </c>
      <c r="H22" s="783" t="str">
        <f t="shared" si="0"/>
        <v/>
      </c>
      <c r="I22" s="783" t="str">
        <f t="shared" si="1"/>
        <v/>
      </c>
      <c r="J22" s="549" t="str">
        <f t="shared" si="2"/>
        <v/>
      </c>
      <c r="K22" s="783" t="str">
        <f t="shared" si="3"/>
        <v/>
      </c>
      <c r="L22" s="549" t="str">
        <f t="shared" si="4"/>
        <v/>
      </c>
      <c r="M22" s="783" t="str">
        <f t="shared" si="5"/>
        <v/>
      </c>
      <c r="N22" s="549" t="str">
        <f t="shared" si="6"/>
        <v/>
      </c>
      <c r="O22" s="783" t="str">
        <f t="shared" si="7"/>
        <v/>
      </c>
      <c r="P22" s="783" t="str">
        <f t="shared" si="8"/>
        <v/>
      </c>
      <c r="Q22" s="549" t="str">
        <f t="shared" si="9"/>
        <v/>
      </c>
      <c r="R22" s="784" t="str">
        <f t="shared" si="10"/>
        <v/>
      </c>
      <c r="S22" s="784" t="str">
        <f t="shared" si="11"/>
        <v/>
      </c>
      <c r="T22" s="783" t="str">
        <f t="shared" si="12"/>
        <v/>
      </c>
      <c r="U22" s="783" t="str">
        <f t="shared" si="13"/>
        <v/>
      </c>
      <c r="V22" s="783" t="str">
        <f t="shared" si="14"/>
        <v/>
      </c>
      <c r="W22" s="549" t="str">
        <f t="shared" si="15"/>
        <v/>
      </c>
      <c r="X22" s="549" t="str">
        <f t="shared" si="16"/>
        <v/>
      </c>
      <c r="Y22" s="549" t="str">
        <f t="shared" si="17"/>
        <v/>
      </c>
      <c r="Z22" s="783" t="str">
        <f t="shared" si="18"/>
        <v/>
      </c>
      <c r="AA22" s="783" t="str">
        <f t="shared" si="19"/>
        <v/>
      </c>
      <c r="AB22" s="783" t="str">
        <f t="shared" si="20"/>
        <v/>
      </c>
      <c r="AC22" s="787" t="str">
        <f t="shared" si="21"/>
        <v/>
      </c>
    </row>
    <row r="23" spans="2:29" s="35" customFormat="1" ht="20.45" hidden="1" customHeight="1" x14ac:dyDescent="0.25">
      <c r="B23" s="285"/>
      <c r="C23" s="913"/>
      <c r="D23" s="526"/>
      <c r="E23" s="564"/>
      <c r="F23" s="915"/>
      <c r="G23" s="549" t="str">
        <f t="shared" si="22"/>
        <v/>
      </c>
      <c r="H23" s="783" t="str">
        <f t="shared" si="0"/>
        <v/>
      </c>
      <c r="I23" s="783" t="str">
        <f t="shared" si="1"/>
        <v/>
      </c>
      <c r="J23" s="549" t="str">
        <f t="shared" si="2"/>
        <v/>
      </c>
      <c r="K23" s="783" t="str">
        <f t="shared" si="3"/>
        <v/>
      </c>
      <c r="L23" s="549" t="str">
        <f t="shared" si="4"/>
        <v/>
      </c>
      <c r="M23" s="783" t="str">
        <f t="shared" si="5"/>
        <v/>
      </c>
      <c r="N23" s="549" t="str">
        <f t="shared" si="6"/>
        <v/>
      </c>
      <c r="O23" s="783" t="str">
        <f t="shared" si="7"/>
        <v/>
      </c>
      <c r="P23" s="783" t="str">
        <f t="shared" si="8"/>
        <v/>
      </c>
      <c r="Q23" s="549" t="str">
        <f t="shared" si="9"/>
        <v/>
      </c>
      <c r="R23" s="784" t="str">
        <f t="shared" si="10"/>
        <v/>
      </c>
      <c r="S23" s="784" t="str">
        <f t="shared" si="11"/>
        <v/>
      </c>
      <c r="T23" s="783" t="str">
        <f t="shared" si="12"/>
        <v/>
      </c>
      <c r="U23" s="783" t="str">
        <f t="shared" si="13"/>
        <v/>
      </c>
      <c r="V23" s="783" t="str">
        <f t="shared" si="14"/>
        <v/>
      </c>
      <c r="W23" s="549" t="str">
        <f t="shared" si="15"/>
        <v/>
      </c>
      <c r="X23" s="549" t="str">
        <f t="shared" si="16"/>
        <v/>
      </c>
      <c r="Y23" s="549" t="str">
        <f t="shared" si="17"/>
        <v/>
      </c>
      <c r="Z23" s="783" t="str">
        <f t="shared" si="18"/>
        <v/>
      </c>
      <c r="AA23" s="783" t="str">
        <f t="shared" si="19"/>
        <v/>
      </c>
      <c r="AB23" s="783" t="str">
        <f t="shared" si="20"/>
        <v/>
      </c>
      <c r="AC23" s="787" t="str">
        <f t="shared" si="21"/>
        <v/>
      </c>
    </row>
    <row r="24" spans="2:29" s="35" customFormat="1" ht="20.45" hidden="1" customHeight="1" x14ac:dyDescent="0.25">
      <c r="B24" s="285"/>
      <c r="C24" s="913"/>
      <c r="D24" s="526"/>
      <c r="E24" s="564"/>
      <c r="F24" s="915"/>
      <c r="G24" s="549" t="str">
        <f t="shared" si="22"/>
        <v/>
      </c>
      <c r="H24" s="783" t="str">
        <f t="shared" si="0"/>
        <v/>
      </c>
      <c r="I24" s="783" t="str">
        <f t="shared" si="1"/>
        <v/>
      </c>
      <c r="J24" s="549" t="str">
        <f t="shared" si="2"/>
        <v/>
      </c>
      <c r="K24" s="783" t="str">
        <f t="shared" si="3"/>
        <v/>
      </c>
      <c r="L24" s="549" t="str">
        <f t="shared" si="4"/>
        <v/>
      </c>
      <c r="M24" s="783" t="str">
        <f t="shared" si="5"/>
        <v/>
      </c>
      <c r="N24" s="549" t="str">
        <f t="shared" si="6"/>
        <v/>
      </c>
      <c r="O24" s="783" t="str">
        <f t="shared" si="7"/>
        <v/>
      </c>
      <c r="P24" s="783" t="str">
        <f t="shared" si="8"/>
        <v/>
      </c>
      <c r="Q24" s="549" t="str">
        <f t="shared" si="9"/>
        <v/>
      </c>
      <c r="R24" s="784" t="str">
        <f t="shared" si="10"/>
        <v/>
      </c>
      <c r="S24" s="784" t="str">
        <f t="shared" si="11"/>
        <v/>
      </c>
      <c r="T24" s="783" t="str">
        <f t="shared" si="12"/>
        <v/>
      </c>
      <c r="U24" s="783" t="str">
        <f t="shared" si="13"/>
        <v/>
      </c>
      <c r="V24" s="783" t="str">
        <f t="shared" si="14"/>
        <v/>
      </c>
      <c r="W24" s="549" t="str">
        <f t="shared" si="15"/>
        <v/>
      </c>
      <c r="X24" s="549" t="str">
        <f t="shared" si="16"/>
        <v/>
      </c>
      <c r="Y24" s="549" t="str">
        <f t="shared" si="17"/>
        <v/>
      </c>
      <c r="Z24" s="783" t="str">
        <f t="shared" si="18"/>
        <v/>
      </c>
      <c r="AA24" s="783" t="str">
        <f t="shared" si="19"/>
        <v/>
      </c>
      <c r="AB24" s="783" t="str">
        <f t="shared" si="20"/>
        <v/>
      </c>
      <c r="AC24" s="787" t="str">
        <f t="shared" si="21"/>
        <v/>
      </c>
    </row>
    <row r="25" spans="2:29" s="35" customFormat="1" ht="20.45" hidden="1" customHeight="1" x14ac:dyDescent="0.25">
      <c r="B25" s="285"/>
      <c r="C25" s="913"/>
      <c r="D25" s="526"/>
      <c r="E25" s="564"/>
      <c r="F25" s="915"/>
      <c r="G25" s="549" t="str">
        <f t="shared" si="22"/>
        <v/>
      </c>
      <c r="H25" s="783" t="str">
        <f t="shared" si="0"/>
        <v/>
      </c>
      <c r="I25" s="783" t="str">
        <f t="shared" si="1"/>
        <v/>
      </c>
      <c r="J25" s="549" t="str">
        <f t="shared" si="2"/>
        <v/>
      </c>
      <c r="K25" s="783" t="str">
        <f t="shared" si="3"/>
        <v/>
      </c>
      <c r="L25" s="549" t="str">
        <f t="shared" si="4"/>
        <v/>
      </c>
      <c r="M25" s="783" t="str">
        <f t="shared" si="5"/>
        <v/>
      </c>
      <c r="N25" s="549" t="str">
        <f t="shared" si="6"/>
        <v/>
      </c>
      <c r="O25" s="783" t="str">
        <f t="shared" si="7"/>
        <v/>
      </c>
      <c r="P25" s="783" t="str">
        <f t="shared" si="8"/>
        <v/>
      </c>
      <c r="Q25" s="549" t="str">
        <f t="shared" si="9"/>
        <v/>
      </c>
      <c r="R25" s="784" t="str">
        <f t="shared" si="10"/>
        <v/>
      </c>
      <c r="S25" s="784" t="str">
        <f t="shared" si="11"/>
        <v/>
      </c>
      <c r="T25" s="783" t="str">
        <f t="shared" si="12"/>
        <v/>
      </c>
      <c r="U25" s="783" t="str">
        <f t="shared" si="13"/>
        <v/>
      </c>
      <c r="V25" s="783" t="str">
        <f t="shared" si="14"/>
        <v/>
      </c>
      <c r="W25" s="549" t="str">
        <f t="shared" si="15"/>
        <v/>
      </c>
      <c r="X25" s="549" t="str">
        <f t="shared" si="16"/>
        <v/>
      </c>
      <c r="Y25" s="549" t="str">
        <f t="shared" si="17"/>
        <v/>
      </c>
      <c r="Z25" s="783" t="str">
        <f t="shared" si="18"/>
        <v/>
      </c>
      <c r="AA25" s="783" t="str">
        <f t="shared" si="19"/>
        <v/>
      </c>
      <c r="AB25" s="783" t="str">
        <f t="shared" si="20"/>
        <v/>
      </c>
      <c r="AC25" s="787" t="str">
        <f t="shared" si="21"/>
        <v/>
      </c>
    </row>
    <row r="26" spans="2:29" s="35" customFormat="1" ht="20.45" hidden="1" customHeight="1" x14ac:dyDescent="0.25">
      <c r="B26" s="285"/>
      <c r="C26" s="913"/>
      <c r="D26" s="526"/>
      <c r="E26" s="564"/>
      <c r="F26" s="915"/>
      <c r="G26" s="549" t="str">
        <f t="shared" si="22"/>
        <v/>
      </c>
      <c r="H26" s="783" t="str">
        <f t="shared" si="0"/>
        <v/>
      </c>
      <c r="I26" s="783" t="str">
        <f t="shared" si="1"/>
        <v/>
      </c>
      <c r="J26" s="549" t="str">
        <f t="shared" si="2"/>
        <v/>
      </c>
      <c r="K26" s="783" t="str">
        <f t="shared" si="3"/>
        <v/>
      </c>
      <c r="L26" s="549" t="str">
        <f t="shared" si="4"/>
        <v/>
      </c>
      <c r="M26" s="783" t="str">
        <f t="shared" si="5"/>
        <v/>
      </c>
      <c r="N26" s="549" t="str">
        <f t="shared" si="6"/>
        <v/>
      </c>
      <c r="O26" s="783" t="str">
        <f t="shared" si="7"/>
        <v/>
      </c>
      <c r="P26" s="783" t="str">
        <f t="shared" si="8"/>
        <v/>
      </c>
      <c r="Q26" s="549" t="str">
        <f t="shared" si="9"/>
        <v/>
      </c>
      <c r="R26" s="784" t="str">
        <f t="shared" si="10"/>
        <v/>
      </c>
      <c r="S26" s="784" t="str">
        <f t="shared" si="11"/>
        <v/>
      </c>
      <c r="T26" s="783" t="str">
        <f t="shared" si="12"/>
        <v/>
      </c>
      <c r="U26" s="783" t="str">
        <f t="shared" si="13"/>
        <v/>
      </c>
      <c r="V26" s="783" t="str">
        <f t="shared" si="14"/>
        <v/>
      </c>
      <c r="W26" s="549" t="str">
        <f t="shared" si="15"/>
        <v/>
      </c>
      <c r="X26" s="549" t="str">
        <f t="shared" si="16"/>
        <v/>
      </c>
      <c r="Y26" s="549" t="str">
        <f t="shared" si="17"/>
        <v/>
      </c>
      <c r="Z26" s="783" t="str">
        <f t="shared" si="18"/>
        <v/>
      </c>
      <c r="AA26" s="783" t="str">
        <f t="shared" si="19"/>
        <v/>
      </c>
      <c r="AB26" s="783" t="str">
        <f t="shared" si="20"/>
        <v/>
      </c>
      <c r="AC26" s="787" t="str">
        <f t="shared" si="21"/>
        <v/>
      </c>
    </row>
    <row r="27" spans="2:29" s="35" customFormat="1" ht="20.45" hidden="1" customHeight="1" x14ac:dyDescent="0.25">
      <c r="B27" s="285"/>
      <c r="C27" s="914"/>
      <c r="D27" s="526"/>
      <c r="E27" s="564"/>
      <c r="F27" s="915"/>
      <c r="G27" s="549" t="str">
        <f t="shared" si="22"/>
        <v/>
      </c>
      <c r="H27" s="783" t="str">
        <f t="shared" si="0"/>
        <v/>
      </c>
      <c r="I27" s="783" t="str">
        <f t="shared" si="1"/>
        <v/>
      </c>
      <c r="J27" s="549" t="str">
        <f t="shared" si="2"/>
        <v/>
      </c>
      <c r="K27" s="783" t="str">
        <f t="shared" si="3"/>
        <v/>
      </c>
      <c r="L27" s="549" t="str">
        <f t="shared" si="4"/>
        <v/>
      </c>
      <c r="M27" s="783" t="str">
        <f t="shared" si="5"/>
        <v/>
      </c>
      <c r="N27" s="549" t="str">
        <f t="shared" si="6"/>
        <v/>
      </c>
      <c r="O27" s="783" t="str">
        <f t="shared" si="7"/>
        <v/>
      </c>
      <c r="P27" s="783" t="str">
        <f t="shared" si="8"/>
        <v/>
      </c>
      <c r="Q27" s="549" t="str">
        <f t="shared" si="9"/>
        <v/>
      </c>
      <c r="R27" s="784" t="str">
        <f t="shared" si="10"/>
        <v/>
      </c>
      <c r="S27" s="784" t="str">
        <f t="shared" si="11"/>
        <v/>
      </c>
      <c r="T27" s="783" t="str">
        <f t="shared" si="12"/>
        <v/>
      </c>
      <c r="U27" s="783" t="str">
        <f t="shared" si="13"/>
        <v/>
      </c>
      <c r="V27" s="783" t="str">
        <f t="shared" si="14"/>
        <v/>
      </c>
      <c r="W27" s="549" t="str">
        <f t="shared" si="15"/>
        <v/>
      </c>
      <c r="X27" s="549" t="str">
        <f t="shared" si="16"/>
        <v/>
      </c>
      <c r="Y27" s="549" t="str">
        <f t="shared" si="17"/>
        <v/>
      </c>
      <c r="Z27" s="783" t="str">
        <f t="shared" si="18"/>
        <v/>
      </c>
      <c r="AA27" s="783" t="str">
        <f t="shared" si="19"/>
        <v/>
      </c>
      <c r="AB27" s="783" t="str">
        <f t="shared" si="20"/>
        <v/>
      </c>
      <c r="AC27" s="787" t="str">
        <f t="shared" si="21"/>
        <v/>
      </c>
    </row>
    <row r="28" spans="2:29" s="35" customFormat="1" ht="20.45" customHeight="1" x14ac:dyDescent="0.25">
      <c r="B28" s="285"/>
      <c r="C28" s="983"/>
      <c r="D28" s="557"/>
      <c r="E28" s="564"/>
      <c r="F28" s="990"/>
      <c r="G28" s="984"/>
      <c r="H28" s="985"/>
      <c r="I28" s="985"/>
      <c r="J28" s="985"/>
      <c r="K28" s="985"/>
      <c r="L28" s="985"/>
      <c r="M28" s="985"/>
      <c r="N28" s="985"/>
      <c r="O28" s="985"/>
      <c r="P28" s="985"/>
      <c r="Q28" s="985"/>
      <c r="R28" s="985"/>
      <c r="S28" s="985"/>
      <c r="T28" s="985"/>
      <c r="U28" s="984"/>
      <c r="V28" s="985"/>
      <c r="W28" s="985"/>
      <c r="X28" s="985"/>
      <c r="Y28" s="985"/>
      <c r="Z28" s="985"/>
      <c r="AA28" s="985"/>
      <c r="AB28" s="985"/>
      <c r="AC28" s="988"/>
    </row>
    <row r="29" spans="2:29" s="35" customFormat="1" ht="20.45" customHeight="1" x14ac:dyDescent="0.25">
      <c r="B29" s="285"/>
      <c r="C29" s="992"/>
      <c r="D29" s="526"/>
      <c r="E29" s="564"/>
      <c r="F29" s="991"/>
      <c r="G29" s="986"/>
      <c r="H29" s="987"/>
      <c r="I29" s="987"/>
      <c r="J29" s="987"/>
      <c r="K29" s="987"/>
      <c r="L29" s="987"/>
      <c r="M29" s="987"/>
      <c r="N29" s="987"/>
      <c r="O29" s="987"/>
      <c r="P29" s="987"/>
      <c r="Q29" s="987"/>
      <c r="R29" s="987"/>
      <c r="S29" s="987"/>
      <c r="T29" s="987"/>
      <c r="U29" s="987"/>
      <c r="V29" s="987"/>
      <c r="W29" s="987"/>
      <c r="X29" s="987"/>
      <c r="Y29" s="987"/>
      <c r="Z29" s="987"/>
      <c r="AA29" s="987"/>
      <c r="AB29" s="987"/>
      <c r="AC29" s="989"/>
    </row>
    <row r="30" spans="2:29" s="35" customFormat="1" ht="20.45" hidden="1" customHeight="1" x14ac:dyDescent="0.25">
      <c r="B30" s="285"/>
      <c r="C30" s="992"/>
      <c r="D30" s="526"/>
      <c r="E30" s="564"/>
      <c r="F30" s="991"/>
      <c r="G30" s="986"/>
      <c r="H30" s="987"/>
      <c r="I30" s="987"/>
      <c r="J30" s="987"/>
      <c r="K30" s="987"/>
      <c r="L30" s="987"/>
      <c r="M30" s="987"/>
      <c r="N30" s="987"/>
      <c r="O30" s="987"/>
      <c r="P30" s="987"/>
      <c r="Q30" s="987"/>
      <c r="R30" s="987"/>
      <c r="S30" s="987"/>
      <c r="T30" s="987"/>
      <c r="U30" s="987"/>
      <c r="V30" s="987"/>
      <c r="W30" s="987"/>
      <c r="X30" s="987"/>
      <c r="Y30" s="987"/>
      <c r="Z30" s="987"/>
      <c r="AA30" s="987"/>
      <c r="AB30" s="987"/>
      <c r="AC30" s="989"/>
    </row>
    <row r="31" spans="2:29" s="35" customFormat="1" ht="20.45" hidden="1" customHeight="1" x14ac:dyDescent="0.25">
      <c r="B31" s="285"/>
      <c r="C31" s="992"/>
      <c r="D31" s="526"/>
      <c r="E31" s="564"/>
      <c r="F31" s="991"/>
      <c r="G31" s="986"/>
      <c r="H31" s="987"/>
      <c r="I31" s="987"/>
      <c r="J31" s="987"/>
      <c r="K31" s="987"/>
      <c r="L31" s="987"/>
      <c r="M31" s="987"/>
      <c r="N31" s="987"/>
      <c r="O31" s="987"/>
      <c r="P31" s="987"/>
      <c r="Q31" s="987"/>
      <c r="R31" s="987"/>
      <c r="S31" s="987"/>
      <c r="T31" s="987"/>
      <c r="U31" s="987"/>
      <c r="V31" s="987"/>
      <c r="W31" s="987"/>
      <c r="X31" s="987"/>
      <c r="Y31" s="987"/>
      <c r="Z31" s="987"/>
      <c r="AA31" s="987"/>
      <c r="AB31" s="987"/>
      <c r="AC31" s="989"/>
    </row>
    <row r="32" spans="2:29" s="35" customFormat="1" ht="20.45" hidden="1" customHeight="1" x14ac:dyDescent="0.25">
      <c r="B32" s="285"/>
      <c r="C32" s="992"/>
      <c r="D32" s="526"/>
      <c r="E32" s="564"/>
      <c r="F32" s="991"/>
      <c r="G32" s="986"/>
      <c r="H32" s="987"/>
      <c r="I32" s="987"/>
      <c r="J32" s="987"/>
      <c r="K32" s="987"/>
      <c r="L32" s="987"/>
      <c r="M32" s="987"/>
      <c r="N32" s="987"/>
      <c r="O32" s="987"/>
      <c r="P32" s="987"/>
      <c r="Q32" s="987"/>
      <c r="R32" s="987"/>
      <c r="S32" s="987"/>
      <c r="T32" s="987"/>
      <c r="U32" s="987"/>
      <c r="V32" s="987"/>
      <c r="W32" s="987"/>
      <c r="X32" s="987"/>
      <c r="Y32" s="987"/>
      <c r="Z32" s="987"/>
      <c r="AA32" s="987"/>
      <c r="AB32" s="987"/>
      <c r="AC32" s="989"/>
    </row>
    <row r="33" spans="2:29" s="35" customFormat="1" ht="20.45" hidden="1" customHeight="1" x14ac:dyDescent="0.25">
      <c r="B33" s="285"/>
      <c r="C33" s="992"/>
      <c r="D33" s="526"/>
      <c r="E33" s="564"/>
      <c r="F33" s="991"/>
      <c r="G33" s="986"/>
      <c r="H33" s="987"/>
      <c r="I33" s="987"/>
      <c r="J33" s="987"/>
      <c r="K33" s="987"/>
      <c r="L33" s="987"/>
      <c r="M33" s="987"/>
      <c r="N33" s="987"/>
      <c r="O33" s="987"/>
      <c r="P33" s="987"/>
      <c r="Q33" s="987"/>
      <c r="R33" s="987"/>
      <c r="S33" s="987"/>
      <c r="T33" s="987"/>
      <c r="U33" s="987"/>
      <c r="V33" s="987"/>
      <c r="W33" s="987"/>
      <c r="X33" s="987"/>
      <c r="Y33" s="987"/>
      <c r="Z33" s="987"/>
      <c r="AA33" s="987"/>
      <c r="AB33" s="987"/>
      <c r="AC33" s="989"/>
    </row>
    <row r="34" spans="2:29" s="35" customFormat="1" ht="20.45" hidden="1" customHeight="1" x14ac:dyDescent="0.25">
      <c r="B34" s="285"/>
      <c r="C34" s="992"/>
      <c r="D34" s="526"/>
      <c r="E34" s="564"/>
      <c r="F34" s="991"/>
      <c r="G34" s="986"/>
      <c r="H34" s="987"/>
      <c r="I34" s="987"/>
      <c r="J34" s="987"/>
      <c r="K34" s="987"/>
      <c r="L34" s="987"/>
      <c r="M34" s="987"/>
      <c r="N34" s="987"/>
      <c r="O34" s="987"/>
      <c r="P34" s="987"/>
      <c r="Q34" s="987"/>
      <c r="R34" s="987"/>
      <c r="S34" s="987"/>
      <c r="T34" s="987"/>
      <c r="U34" s="987"/>
      <c r="V34" s="987"/>
      <c r="W34" s="987"/>
      <c r="X34" s="987"/>
      <c r="Y34" s="987"/>
      <c r="Z34" s="987"/>
      <c r="AA34" s="987"/>
      <c r="AB34" s="987"/>
      <c r="AC34" s="989"/>
    </row>
    <row r="35" spans="2:29" s="35" customFormat="1" ht="20.45" hidden="1" customHeight="1" x14ac:dyDescent="0.25">
      <c r="B35" s="285"/>
      <c r="C35" s="992"/>
      <c r="D35" s="526"/>
      <c r="E35" s="564"/>
      <c r="F35" s="991"/>
      <c r="G35" s="986"/>
      <c r="H35" s="987"/>
      <c r="I35" s="987"/>
      <c r="J35" s="987"/>
      <c r="K35" s="987"/>
      <c r="L35" s="987"/>
      <c r="M35" s="987"/>
      <c r="N35" s="987"/>
      <c r="O35" s="987"/>
      <c r="P35" s="987"/>
      <c r="Q35" s="987"/>
      <c r="R35" s="987"/>
      <c r="S35" s="987"/>
      <c r="T35" s="987"/>
      <c r="U35" s="987"/>
      <c r="V35" s="987"/>
      <c r="W35" s="987"/>
      <c r="X35" s="987"/>
      <c r="Y35" s="987"/>
      <c r="Z35" s="987"/>
      <c r="AA35" s="987"/>
      <c r="AB35" s="987"/>
      <c r="AC35" s="989"/>
    </row>
    <row r="36" spans="2:29" s="35" customFormat="1" ht="20.45" hidden="1" customHeight="1" x14ac:dyDescent="0.25">
      <c r="B36" s="285"/>
      <c r="C36" s="992"/>
      <c r="D36" s="526"/>
      <c r="E36" s="564"/>
      <c r="F36" s="991"/>
      <c r="G36" s="986"/>
      <c r="H36" s="987"/>
      <c r="I36" s="987"/>
      <c r="J36" s="987"/>
      <c r="K36" s="987"/>
      <c r="L36" s="987"/>
      <c r="M36" s="987"/>
      <c r="N36" s="987"/>
      <c r="O36" s="987"/>
      <c r="P36" s="987"/>
      <c r="Q36" s="987"/>
      <c r="R36" s="987"/>
      <c r="S36" s="987"/>
      <c r="T36" s="987"/>
      <c r="U36" s="987"/>
      <c r="V36" s="987"/>
      <c r="W36" s="987"/>
      <c r="X36" s="987"/>
      <c r="Y36" s="987"/>
      <c r="Z36" s="987"/>
      <c r="AA36" s="987"/>
      <c r="AB36" s="987"/>
      <c r="AC36" s="989"/>
    </row>
    <row r="37" spans="2:29" s="35" customFormat="1" ht="20.45" hidden="1" customHeight="1" x14ac:dyDescent="0.25">
      <c r="B37" s="285"/>
      <c r="C37" s="992"/>
      <c r="D37" s="526"/>
      <c r="E37" s="564"/>
      <c r="F37" s="991"/>
      <c r="G37" s="986"/>
      <c r="H37" s="987"/>
      <c r="I37" s="987"/>
      <c r="J37" s="987"/>
      <c r="K37" s="987"/>
      <c r="L37" s="987"/>
      <c r="M37" s="987"/>
      <c r="N37" s="987"/>
      <c r="O37" s="987"/>
      <c r="P37" s="987"/>
      <c r="Q37" s="987"/>
      <c r="R37" s="987"/>
      <c r="S37" s="987"/>
      <c r="T37" s="987"/>
      <c r="U37" s="987"/>
      <c r="V37" s="987"/>
      <c r="W37" s="987"/>
      <c r="X37" s="987"/>
      <c r="Y37" s="987"/>
      <c r="Z37" s="987"/>
      <c r="AA37" s="987"/>
      <c r="AB37" s="987"/>
      <c r="AC37" s="989"/>
    </row>
    <row r="38" spans="2:29" s="35" customFormat="1" ht="20.45" hidden="1" customHeight="1" x14ac:dyDescent="0.25">
      <c r="B38" s="285"/>
      <c r="C38" s="992"/>
      <c r="D38" s="526"/>
      <c r="E38" s="564"/>
      <c r="F38" s="991"/>
      <c r="G38" s="986"/>
      <c r="H38" s="987"/>
      <c r="I38" s="987"/>
      <c r="J38" s="987"/>
      <c r="K38" s="987"/>
      <c r="L38" s="987"/>
      <c r="M38" s="987"/>
      <c r="N38" s="987"/>
      <c r="O38" s="987"/>
      <c r="P38" s="987"/>
      <c r="Q38" s="987"/>
      <c r="R38" s="987"/>
      <c r="S38" s="987"/>
      <c r="T38" s="987"/>
      <c r="U38" s="987"/>
      <c r="V38" s="987"/>
      <c r="W38" s="987"/>
      <c r="X38" s="987"/>
      <c r="Y38" s="987"/>
      <c r="Z38" s="987"/>
      <c r="AA38" s="987"/>
      <c r="AB38" s="987"/>
      <c r="AC38" s="989"/>
    </row>
    <row r="39" spans="2:29" s="35" customFormat="1" ht="20.45" hidden="1" customHeight="1" x14ac:dyDescent="0.25">
      <c r="B39" s="285"/>
      <c r="C39" s="992"/>
      <c r="D39" s="526"/>
      <c r="E39" s="564"/>
      <c r="F39" s="991"/>
      <c r="G39" s="986"/>
      <c r="H39" s="987"/>
      <c r="I39" s="987"/>
      <c r="J39" s="987"/>
      <c r="K39" s="987"/>
      <c r="L39" s="987"/>
      <c r="M39" s="987"/>
      <c r="N39" s="987"/>
      <c r="O39" s="987"/>
      <c r="P39" s="987"/>
      <c r="Q39" s="987"/>
      <c r="R39" s="987"/>
      <c r="S39" s="987"/>
      <c r="T39" s="987"/>
      <c r="U39" s="987"/>
      <c r="V39" s="987"/>
      <c r="W39" s="987"/>
      <c r="X39" s="987"/>
      <c r="Y39" s="987"/>
      <c r="Z39" s="987"/>
      <c r="AA39" s="987"/>
      <c r="AB39" s="987"/>
      <c r="AC39" s="989"/>
    </row>
    <row r="40" spans="2:29" s="35" customFormat="1" ht="20.45" hidden="1" customHeight="1" x14ac:dyDescent="0.25">
      <c r="B40" s="285"/>
      <c r="C40" s="992"/>
      <c r="D40" s="526"/>
      <c r="E40" s="564"/>
      <c r="F40" s="991"/>
      <c r="G40" s="986"/>
      <c r="H40" s="987"/>
      <c r="I40" s="987"/>
      <c r="J40" s="987"/>
      <c r="K40" s="987"/>
      <c r="L40" s="987"/>
      <c r="M40" s="987"/>
      <c r="N40" s="987"/>
      <c r="O40" s="987"/>
      <c r="P40" s="987"/>
      <c r="Q40" s="987"/>
      <c r="R40" s="987"/>
      <c r="S40" s="987"/>
      <c r="T40" s="987"/>
      <c r="U40" s="987"/>
      <c r="V40" s="987"/>
      <c r="W40" s="987"/>
      <c r="X40" s="987"/>
      <c r="Y40" s="987"/>
      <c r="Z40" s="987"/>
      <c r="AA40" s="987"/>
      <c r="AB40" s="987"/>
      <c r="AC40" s="989"/>
    </row>
    <row r="41" spans="2:29" s="35" customFormat="1" ht="20.45" hidden="1" customHeight="1" x14ac:dyDescent="0.25">
      <c r="B41" s="285"/>
      <c r="C41" s="992"/>
      <c r="D41" s="526"/>
      <c r="E41" s="564"/>
      <c r="F41" s="991"/>
      <c r="G41" s="986"/>
      <c r="H41" s="987"/>
      <c r="I41" s="987"/>
      <c r="J41" s="987"/>
      <c r="K41" s="987"/>
      <c r="L41" s="987"/>
      <c r="M41" s="987"/>
      <c r="N41" s="987"/>
      <c r="O41" s="987"/>
      <c r="P41" s="987"/>
      <c r="Q41" s="987"/>
      <c r="R41" s="987"/>
      <c r="S41" s="987"/>
      <c r="T41" s="987"/>
      <c r="U41" s="987"/>
      <c r="V41" s="987"/>
      <c r="W41" s="987"/>
      <c r="X41" s="987"/>
      <c r="Y41" s="987"/>
      <c r="Z41" s="987"/>
      <c r="AA41" s="987"/>
      <c r="AB41" s="987"/>
      <c r="AC41" s="989"/>
    </row>
    <row r="42" spans="2:29" s="35" customFormat="1" ht="20.45" hidden="1" customHeight="1" x14ac:dyDescent="0.25">
      <c r="B42" s="285"/>
      <c r="C42" s="992"/>
      <c r="D42" s="526"/>
      <c r="E42" s="564"/>
      <c r="F42" s="991"/>
      <c r="G42" s="986"/>
      <c r="H42" s="987"/>
      <c r="I42" s="987"/>
      <c r="J42" s="987"/>
      <c r="K42" s="987"/>
      <c r="L42" s="987"/>
      <c r="M42" s="987"/>
      <c r="N42" s="987"/>
      <c r="O42" s="987"/>
      <c r="P42" s="987"/>
      <c r="Q42" s="987"/>
      <c r="R42" s="987"/>
      <c r="S42" s="987"/>
      <c r="T42" s="987"/>
      <c r="U42" s="987"/>
      <c r="V42" s="987"/>
      <c r="W42" s="987"/>
      <c r="X42" s="987"/>
      <c r="Y42" s="987"/>
      <c r="Z42" s="987"/>
      <c r="AA42" s="987"/>
      <c r="AB42" s="987"/>
      <c r="AC42" s="989"/>
    </row>
    <row r="43" spans="2:29" s="35" customFormat="1" ht="20.45" hidden="1" customHeight="1" x14ac:dyDescent="0.25">
      <c r="B43" s="285"/>
      <c r="C43" s="992"/>
      <c r="D43" s="526"/>
      <c r="E43" s="564"/>
      <c r="F43" s="991"/>
      <c r="G43" s="986"/>
      <c r="H43" s="987"/>
      <c r="I43" s="987"/>
      <c r="J43" s="987"/>
      <c r="K43" s="987"/>
      <c r="L43" s="987"/>
      <c r="M43" s="987"/>
      <c r="N43" s="987"/>
      <c r="O43" s="987"/>
      <c r="P43" s="987"/>
      <c r="Q43" s="987"/>
      <c r="R43" s="987"/>
      <c r="S43" s="987"/>
      <c r="T43" s="987"/>
      <c r="U43" s="987"/>
      <c r="V43" s="987"/>
      <c r="W43" s="987"/>
      <c r="X43" s="987"/>
      <c r="Y43" s="987"/>
      <c r="Z43" s="987"/>
      <c r="AA43" s="987"/>
      <c r="AB43" s="987"/>
      <c r="AC43" s="989"/>
    </row>
    <row r="44" spans="2:29" s="35" customFormat="1" ht="20.45" hidden="1" customHeight="1" x14ac:dyDescent="0.25">
      <c r="B44" s="285"/>
      <c r="C44" s="992"/>
      <c r="D44" s="526"/>
      <c r="E44" s="564"/>
      <c r="F44" s="991"/>
      <c r="G44" s="986"/>
      <c r="H44" s="987"/>
      <c r="I44" s="987"/>
      <c r="J44" s="987"/>
      <c r="K44" s="987"/>
      <c r="L44" s="987"/>
      <c r="M44" s="987"/>
      <c r="N44" s="987"/>
      <c r="O44" s="987"/>
      <c r="P44" s="987"/>
      <c r="Q44" s="987"/>
      <c r="R44" s="987"/>
      <c r="S44" s="987"/>
      <c r="T44" s="987"/>
      <c r="U44" s="987"/>
      <c r="V44" s="987"/>
      <c r="W44" s="987"/>
      <c r="X44" s="987"/>
      <c r="Y44" s="987"/>
      <c r="Z44" s="987"/>
      <c r="AA44" s="987"/>
      <c r="AB44" s="987"/>
      <c r="AC44" s="989"/>
    </row>
    <row r="45" spans="2:29" s="35" customFormat="1" ht="20.45" hidden="1" customHeight="1" x14ac:dyDescent="0.25">
      <c r="B45" s="285"/>
      <c r="C45" s="992"/>
      <c r="D45" s="526"/>
      <c r="E45" s="564"/>
      <c r="F45" s="991"/>
      <c r="G45" s="986"/>
      <c r="H45" s="987"/>
      <c r="I45" s="987"/>
      <c r="J45" s="987"/>
      <c r="K45" s="987"/>
      <c r="L45" s="987"/>
      <c r="M45" s="987"/>
      <c r="N45" s="987"/>
      <c r="O45" s="987"/>
      <c r="P45" s="987"/>
      <c r="Q45" s="987"/>
      <c r="R45" s="987"/>
      <c r="S45" s="987"/>
      <c r="T45" s="987"/>
      <c r="U45" s="987"/>
      <c r="V45" s="987"/>
      <c r="W45" s="987"/>
      <c r="X45" s="987"/>
      <c r="Y45" s="987"/>
      <c r="Z45" s="987"/>
      <c r="AA45" s="987"/>
      <c r="AB45" s="987"/>
      <c r="AC45" s="989"/>
    </row>
    <row r="46" spans="2:29" s="35" customFormat="1" ht="20.45" hidden="1" customHeight="1" x14ac:dyDescent="0.25">
      <c r="B46" s="285"/>
      <c r="C46" s="992"/>
      <c r="D46" s="526"/>
      <c r="E46" s="564"/>
      <c r="F46" s="991"/>
      <c r="G46" s="986"/>
      <c r="H46" s="987"/>
      <c r="I46" s="987"/>
      <c r="J46" s="987"/>
      <c r="K46" s="987"/>
      <c r="L46" s="987"/>
      <c r="M46" s="987"/>
      <c r="N46" s="987"/>
      <c r="O46" s="987"/>
      <c r="P46" s="987"/>
      <c r="Q46" s="987"/>
      <c r="R46" s="987"/>
      <c r="S46" s="987"/>
      <c r="T46" s="987"/>
      <c r="U46" s="987"/>
      <c r="V46" s="987"/>
      <c r="W46" s="987"/>
      <c r="X46" s="987"/>
      <c r="Y46" s="987"/>
      <c r="Z46" s="987"/>
      <c r="AA46" s="987"/>
      <c r="AB46" s="987"/>
      <c r="AC46" s="989"/>
    </row>
    <row r="47" spans="2:29" s="35" customFormat="1" ht="20.45" hidden="1" customHeight="1" x14ac:dyDescent="0.25">
      <c r="B47" s="285"/>
      <c r="C47" s="993"/>
      <c r="D47" s="526"/>
      <c r="E47" s="564"/>
      <c r="F47" s="991"/>
      <c r="G47" s="986"/>
      <c r="H47" s="987"/>
      <c r="I47" s="987"/>
      <c r="J47" s="987"/>
      <c r="K47" s="987"/>
      <c r="L47" s="987"/>
      <c r="M47" s="987"/>
      <c r="N47" s="987"/>
      <c r="O47" s="987"/>
      <c r="P47" s="987"/>
      <c r="Q47" s="987"/>
      <c r="R47" s="987"/>
      <c r="S47" s="987"/>
      <c r="T47" s="987"/>
      <c r="U47" s="987"/>
      <c r="V47" s="987"/>
      <c r="W47" s="987"/>
      <c r="X47" s="987"/>
      <c r="Y47" s="987"/>
      <c r="Z47" s="987"/>
      <c r="AA47" s="987"/>
      <c r="AB47" s="987"/>
      <c r="AC47" s="989"/>
    </row>
    <row r="48" spans="2:29" s="35" customFormat="1" ht="15" customHeight="1" x14ac:dyDescent="0.25">
      <c r="B48" s="285"/>
      <c r="C48" s="805" t="s">
        <v>618</v>
      </c>
      <c r="D48" s="556"/>
      <c r="E48" s="556"/>
      <c r="F48" s="555">
        <f t="shared" ref="F48:AC48" si="23">SUM(F8:F47)</f>
        <v>660</v>
      </c>
      <c r="G48" s="555">
        <f t="shared" si="23"/>
        <v>2225.8480000000004</v>
      </c>
      <c r="H48" s="555">
        <f t="shared" si="23"/>
        <v>79.807500000000005</v>
      </c>
      <c r="I48" s="555">
        <f t="shared" si="23"/>
        <v>44.476599999999998</v>
      </c>
      <c r="J48" s="555">
        <f t="shared" si="23"/>
        <v>602.59799999999996</v>
      </c>
      <c r="K48" s="895">
        <f t="shared" si="23"/>
        <v>2.8868400000000003</v>
      </c>
      <c r="L48" s="555">
        <f t="shared" si="23"/>
        <v>224</v>
      </c>
      <c r="M48" s="895">
        <f t="shared" si="23"/>
        <v>34.488499999999995</v>
      </c>
      <c r="N48" s="555">
        <f t="shared" si="23"/>
        <v>681.19</v>
      </c>
      <c r="O48" s="895">
        <f t="shared" si="23"/>
        <v>364.68400000000003</v>
      </c>
      <c r="P48" s="895">
        <f t="shared" si="23"/>
        <v>21.069100000000002</v>
      </c>
      <c r="Q48" s="555">
        <f t="shared" si="23"/>
        <v>847.25227027027029</v>
      </c>
      <c r="R48" s="895">
        <f t="shared" si="23"/>
        <v>2.7044400000000008</v>
      </c>
      <c r="S48" s="895">
        <f t="shared" si="23"/>
        <v>1.1560799999999998</v>
      </c>
      <c r="T48" s="895">
        <f t="shared" si="23"/>
        <v>32.245530000000002</v>
      </c>
      <c r="U48" s="895">
        <f t="shared" si="23"/>
        <v>5.8814799999999989</v>
      </c>
      <c r="V48" s="895">
        <f t="shared" si="23"/>
        <v>2.8705099999999995</v>
      </c>
      <c r="W48" s="555">
        <f t="shared" si="23"/>
        <v>655.78200000000004</v>
      </c>
      <c r="X48" s="555">
        <f>SUM(X8:X47)</f>
        <v>36</v>
      </c>
      <c r="Y48" s="895">
        <f t="shared" si="23"/>
        <v>1.2</v>
      </c>
      <c r="Z48" s="895">
        <f t="shared" si="23"/>
        <v>79.516999999999996</v>
      </c>
      <c r="AA48" s="895">
        <f t="shared" si="23"/>
        <v>5.85</v>
      </c>
      <c r="AB48" s="895">
        <f t="shared" si="23"/>
        <v>11.7996</v>
      </c>
      <c r="AC48" s="896">
        <f t="shared" si="23"/>
        <v>340.38099999999997</v>
      </c>
    </row>
    <row r="49" spans="1:29" s="35" customFormat="1" ht="15" customHeight="1" x14ac:dyDescent="0.25">
      <c r="B49" s="285"/>
      <c r="C49" s="527" t="s">
        <v>700</v>
      </c>
      <c r="D49" s="528"/>
      <c r="E49" s="529"/>
      <c r="F49" s="530"/>
      <c r="G49" s="672">
        <f>GREnergyTarget</f>
        <v>2100</v>
      </c>
      <c r="H49" s="673">
        <f>52.5*(G49/2100)</f>
        <v>52.5</v>
      </c>
      <c r="I49" s="673">
        <f>40*(G49/2100)</f>
        <v>40</v>
      </c>
      <c r="J49" s="674">
        <f>989*(G49/2100)</f>
        <v>989</v>
      </c>
      <c r="K49" s="673">
        <f>1.1*(G49/2100)</f>
        <v>1.1000000000000001</v>
      </c>
      <c r="L49" s="674">
        <f>138*(G49/2100)</f>
        <v>138</v>
      </c>
      <c r="M49" s="673">
        <f>32*(G49/2100)</f>
        <v>32</v>
      </c>
      <c r="N49" s="674">
        <f>201*(G49/2100)</f>
        <v>201</v>
      </c>
      <c r="O49" s="673">
        <f>27.6*(G49/2100)</f>
        <v>27.6</v>
      </c>
      <c r="P49" s="671">
        <f>12.4*(G49/2100)</f>
        <v>12.4</v>
      </c>
      <c r="Q49" s="675">
        <f>550*(G49/2100)</f>
        <v>550</v>
      </c>
      <c r="R49" s="671">
        <f>1.1*(G49/2100)</f>
        <v>1.1000000000000001</v>
      </c>
      <c r="S49" s="671">
        <f>1.1*(G49/2100)</f>
        <v>1.1000000000000001</v>
      </c>
      <c r="T49" s="671">
        <f>13.8*(G49/2100)</f>
        <v>13.8</v>
      </c>
      <c r="U49" s="671">
        <f>4.6*(G49/2100)</f>
        <v>4.5999999999999996</v>
      </c>
      <c r="V49" s="671">
        <f>1.2*(G49/2100)</f>
        <v>1.2</v>
      </c>
      <c r="W49" s="675">
        <f>363*(G49/2100)</f>
        <v>363</v>
      </c>
      <c r="X49" s="675"/>
      <c r="Y49" s="671">
        <f>2.2*(G49/2100)</f>
        <v>2.2000000000000002</v>
      </c>
      <c r="Z49" s="671">
        <f>41.6*(G49/2100)</f>
        <v>41.6</v>
      </c>
      <c r="AA49" s="671">
        <f>6.1*(G49/2100)</f>
        <v>6.1</v>
      </c>
      <c r="AB49" s="671">
        <f>8*(G49/2100)</f>
        <v>8</v>
      </c>
      <c r="AC49" s="789">
        <f>48.2*(G49/2100)</f>
        <v>48.2</v>
      </c>
    </row>
    <row r="50" spans="1:29" s="35" customFormat="1" ht="14.1" hidden="1" customHeight="1" x14ac:dyDescent="0.25">
      <c r="B50" s="405"/>
      <c r="C50" s="531"/>
      <c r="D50" s="528"/>
      <c r="E50" s="528"/>
      <c r="F50" s="722" t="s">
        <v>655</v>
      </c>
      <c r="G50" s="550"/>
      <c r="H50" s="551"/>
      <c r="I50" s="551"/>
      <c r="J50" s="552">
        <v>2000</v>
      </c>
      <c r="K50" s="551">
        <v>10</v>
      </c>
      <c r="L50" s="552">
        <v>600</v>
      </c>
      <c r="M50" s="552">
        <v>45</v>
      </c>
      <c r="N50" s="552">
        <v>5000</v>
      </c>
      <c r="O50" s="736">
        <v>400</v>
      </c>
      <c r="P50" s="553">
        <v>34</v>
      </c>
      <c r="Q50" s="737">
        <v>1171</v>
      </c>
      <c r="R50" s="737">
        <v>5000</v>
      </c>
      <c r="S50" s="737">
        <v>5000</v>
      </c>
      <c r="T50" s="737">
        <v>263.10000000000002</v>
      </c>
      <c r="U50" s="737">
        <v>5000</v>
      </c>
      <c r="V50" s="553">
        <v>8.7680000000000007</v>
      </c>
      <c r="W50" s="737"/>
      <c r="X50" s="737">
        <v>512</v>
      </c>
      <c r="Y50" s="737">
        <v>5000</v>
      </c>
      <c r="Z50" s="737">
        <v>701</v>
      </c>
      <c r="AA50" s="737">
        <v>72</v>
      </c>
      <c r="AB50" s="737">
        <v>139.69999999999999</v>
      </c>
      <c r="AC50" s="933">
        <v>1000</v>
      </c>
    </row>
    <row r="51" spans="1:29" s="35" customFormat="1" ht="15" customHeight="1" x14ac:dyDescent="0.25">
      <c r="B51" s="285"/>
      <c r="C51" s="1128" t="s">
        <v>627</v>
      </c>
      <c r="D51" s="1129"/>
      <c r="E51" s="1129"/>
      <c r="F51" s="532"/>
      <c r="G51" s="676">
        <f>G48/G49</f>
        <v>1.0599276190476192</v>
      </c>
      <c r="H51" s="676">
        <f>H48/H49</f>
        <v>1.5201428571428572</v>
      </c>
      <c r="I51" s="676">
        <f>I48/I49</f>
        <v>1.111915</v>
      </c>
      <c r="J51" s="676">
        <f>IF(ISERROR(J48/J49),"-",J48/J49)</f>
        <v>0.60930030333670371</v>
      </c>
      <c r="K51" s="676">
        <f>IF(ISERROR(K48/K49),"-",K48/K49)</f>
        <v>2.6244000000000001</v>
      </c>
      <c r="L51" s="676">
        <f t="shared" ref="L51:AC51" si="24">IF(ISERROR(L48/L49),"-",L48/L49)</f>
        <v>1.6231884057971016</v>
      </c>
      <c r="M51" s="676">
        <f t="shared" si="24"/>
        <v>1.0777656249999998</v>
      </c>
      <c r="N51" s="676">
        <f t="shared" si="24"/>
        <v>3.3890049751243785</v>
      </c>
      <c r="O51" s="676">
        <f>IF(ISERROR(O48/O49),"-",O48/O49)</f>
        <v>13.213188405797101</v>
      </c>
      <c r="P51" s="676">
        <f t="shared" si="24"/>
        <v>1.6991209677419357</v>
      </c>
      <c r="Q51" s="676">
        <f t="shared" si="24"/>
        <v>1.5404586732186734</v>
      </c>
      <c r="R51" s="676">
        <f t="shared" si="24"/>
        <v>2.4585818181818189</v>
      </c>
      <c r="S51" s="676">
        <f t="shared" si="24"/>
        <v>1.0509818181818178</v>
      </c>
      <c r="T51" s="676">
        <f t="shared" si="24"/>
        <v>2.3366326086956524</v>
      </c>
      <c r="U51" s="929">
        <f t="shared" si="24"/>
        <v>1.278582608695652</v>
      </c>
      <c r="V51" s="928">
        <f t="shared" si="24"/>
        <v>2.3920916666666665</v>
      </c>
      <c r="W51" s="927">
        <f t="shared" si="24"/>
        <v>1.8065619834710744</v>
      </c>
      <c r="X51" s="676"/>
      <c r="Y51" s="676">
        <f t="shared" si="24"/>
        <v>0.54545454545454541</v>
      </c>
      <c r="Z51" s="676">
        <f t="shared" si="24"/>
        <v>1.9114663461538459</v>
      </c>
      <c r="AA51" s="676">
        <f t="shared" si="24"/>
        <v>0.95901639344262291</v>
      </c>
      <c r="AB51" s="676">
        <f t="shared" si="24"/>
        <v>1.47495</v>
      </c>
      <c r="AC51" s="788">
        <f t="shared" si="24"/>
        <v>7.0618464730290444</v>
      </c>
    </row>
    <row r="52" spans="1:29" s="35" customFormat="1" ht="15" customHeight="1" x14ac:dyDescent="0.25">
      <c r="B52" s="285"/>
      <c r="C52" s="1130" t="s">
        <v>964</v>
      </c>
      <c r="D52" s="1131"/>
      <c r="E52" s="1131"/>
      <c r="F52" s="533"/>
      <c r="G52" s="838">
        <f>1-(H52+I52)</f>
        <v>0.67674369498725884</v>
      </c>
      <c r="H52" s="677">
        <f>IF(ISERROR(RationProteinContent*4/RationEnergyContent),"-",RationProteinContent*4/RationEnergyContent)</f>
        <v>0.14341949674910415</v>
      </c>
      <c r="I52" s="677">
        <f>IF(ISERROR(RationFatContent*9/RationEnergyContent),"-",RationFatContent*9/RationEnergyContent)</f>
        <v>0.17983680826363702</v>
      </c>
      <c r="J52" s="536"/>
      <c r="K52" s="537"/>
      <c r="L52" s="536"/>
      <c r="M52" s="537"/>
      <c r="N52" s="537"/>
      <c r="O52" s="537"/>
      <c r="P52" s="538"/>
      <c r="Q52" s="539"/>
      <c r="R52" s="539"/>
      <c r="S52" s="539"/>
      <c r="T52" s="539"/>
      <c r="U52" s="539"/>
      <c r="V52" s="539"/>
      <c r="W52" s="539"/>
      <c r="X52" s="539"/>
      <c r="Y52" s="539"/>
      <c r="Z52" s="539"/>
      <c r="AA52" s="539"/>
      <c r="AB52" s="539"/>
      <c r="AC52" s="790"/>
    </row>
    <row r="53" spans="1:29" s="35" customFormat="1" ht="6" customHeight="1" x14ac:dyDescent="0.25">
      <c r="B53" s="285"/>
      <c r="C53" s="743"/>
      <c r="D53" s="744"/>
      <c r="E53" s="744"/>
      <c r="F53" s="745"/>
      <c r="G53" s="745"/>
      <c r="H53" s="746"/>
      <c r="I53" s="746"/>
      <c r="J53" s="747"/>
      <c r="K53" s="745"/>
      <c r="L53" s="747"/>
      <c r="M53" s="745"/>
      <c r="N53" s="745"/>
      <c r="O53" s="745"/>
      <c r="P53" s="745"/>
      <c r="Q53" s="747"/>
      <c r="R53" s="747"/>
      <c r="S53" s="747"/>
      <c r="T53" s="747"/>
      <c r="U53" s="747"/>
      <c r="V53" s="747"/>
      <c r="W53" s="747"/>
      <c r="X53" s="747"/>
      <c r="Y53" s="747"/>
      <c r="Z53" s="747"/>
      <c r="AA53" s="747"/>
      <c r="AB53" s="747"/>
      <c r="AC53" s="791"/>
    </row>
    <row r="54" spans="1:29" s="35" customFormat="1" ht="15.95" customHeight="1" x14ac:dyDescent="0.25">
      <c r="A54" s="802"/>
      <c r="B54" s="285"/>
      <c r="C54" s="795" t="s">
        <v>701</v>
      </c>
      <c r="D54" s="1132" t="s">
        <v>773</v>
      </c>
      <c r="E54" s="1132"/>
      <c r="F54" s="1132"/>
      <c r="G54" s="1132"/>
      <c r="H54" s="739"/>
      <c r="I54" s="738"/>
      <c r="J54" s="740"/>
      <c r="K54" s="738"/>
      <c r="L54" s="738"/>
      <c r="M54" s="741"/>
      <c r="N54" s="741"/>
      <c r="O54" s="740"/>
      <c r="P54" s="742"/>
      <c r="Q54" s="741"/>
      <c r="R54" s="741"/>
      <c r="S54" s="741"/>
      <c r="T54" s="741"/>
      <c r="U54" s="741"/>
      <c r="V54" s="741"/>
      <c r="W54" s="741"/>
      <c r="X54" s="741"/>
      <c r="Y54" s="741"/>
      <c r="Z54" s="741"/>
      <c r="AA54" s="741"/>
      <c r="AB54" s="741"/>
      <c r="AC54" s="792"/>
    </row>
    <row r="55" spans="1:29" s="35" customFormat="1" ht="5.0999999999999996" customHeight="1" x14ac:dyDescent="0.25">
      <c r="A55" s="802"/>
      <c r="B55" s="285"/>
      <c r="C55" s="794"/>
      <c r="D55" s="837"/>
      <c r="E55" s="556"/>
      <c r="F55" s="556"/>
      <c r="G55" s="556"/>
      <c r="H55" s="739"/>
      <c r="I55" s="738"/>
      <c r="J55" s="740"/>
      <c r="K55" s="738"/>
      <c r="L55" s="738"/>
      <c r="M55" s="741"/>
      <c r="N55" s="741"/>
      <c r="O55" s="740"/>
      <c r="P55" s="742"/>
      <c r="Q55" s="741"/>
      <c r="R55" s="741"/>
      <c r="S55" s="741"/>
      <c r="T55" s="741"/>
      <c r="U55" s="741"/>
      <c r="V55" s="741"/>
      <c r="W55" s="741"/>
      <c r="X55" s="741"/>
      <c r="Y55" s="741"/>
      <c r="Z55" s="741"/>
      <c r="AA55" s="741"/>
      <c r="AB55" s="741"/>
      <c r="AC55" s="792"/>
    </row>
    <row r="56" spans="1:29" s="35" customFormat="1" ht="15" customHeight="1" x14ac:dyDescent="0.25">
      <c r="A56" s="802"/>
      <c r="B56" s="285"/>
      <c r="C56" s="796" t="s">
        <v>184</v>
      </c>
      <c r="D56" s="1133">
        <v>41883</v>
      </c>
      <c r="E56" s="1133"/>
      <c r="F56" s="1133"/>
      <c r="G56" s="738"/>
      <c r="H56" s="739"/>
      <c r="I56" s="738"/>
      <c r="J56" s="740"/>
      <c r="K56" s="738"/>
      <c r="L56" s="738"/>
      <c r="M56" s="741"/>
      <c r="N56" s="741"/>
      <c r="O56" s="740"/>
      <c r="P56" s="742"/>
      <c r="Q56" s="741"/>
      <c r="R56" s="741"/>
      <c r="S56" s="741"/>
      <c r="T56" s="741"/>
      <c r="U56" s="741"/>
      <c r="V56" s="741"/>
      <c r="W56" s="741"/>
      <c r="X56" s="741"/>
      <c r="Y56" s="741"/>
      <c r="Z56" s="741"/>
      <c r="AA56" s="741"/>
      <c r="AB56" s="741"/>
      <c r="AC56" s="792"/>
    </row>
    <row r="57" spans="1:29" s="35" customFormat="1" ht="6" customHeight="1" x14ac:dyDescent="0.25">
      <c r="A57" s="1"/>
      <c r="B57" s="285"/>
      <c r="C57" s="534"/>
      <c r="D57" s="535"/>
      <c r="E57" s="535"/>
      <c r="F57" s="535"/>
      <c r="G57" s="535"/>
      <c r="H57" s="535"/>
      <c r="I57" s="535"/>
      <c r="J57" s="540"/>
      <c r="K57" s="541"/>
      <c r="L57" s="541"/>
      <c r="M57" s="541"/>
      <c r="N57" s="535"/>
      <c r="O57" s="540"/>
      <c r="P57" s="541"/>
      <c r="Q57" s="541"/>
      <c r="R57" s="541"/>
      <c r="S57" s="541"/>
      <c r="T57" s="541"/>
      <c r="U57" s="541"/>
      <c r="V57" s="541"/>
      <c r="W57" s="541"/>
      <c r="X57" s="541"/>
      <c r="Y57" s="541"/>
      <c r="Z57" s="541"/>
      <c r="AA57" s="541"/>
      <c r="AB57" s="541"/>
      <c r="AC57" s="793"/>
    </row>
    <row r="58" spans="1:29" s="35" customFormat="1" ht="17.25" customHeight="1" x14ac:dyDescent="0.25">
      <c r="A58" s="803"/>
      <c r="B58" s="285"/>
      <c r="C58" s="55"/>
      <c r="D58" s="55"/>
      <c r="E58" s="55"/>
      <c r="G58" s="55"/>
      <c r="H58" s="55"/>
      <c r="I58" s="55"/>
      <c r="L58" s="383"/>
      <c r="O58" s="55"/>
      <c r="Q58" s="55"/>
    </row>
    <row r="59" spans="1:29" s="35" customFormat="1" ht="10.5" customHeight="1" x14ac:dyDescent="0.25">
      <c r="B59" s="285"/>
      <c r="C59" s="35" t="s">
        <v>59</v>
      </c>
      <c r="H59" s="55"/>
      <c r="I59" s="55"/>
      <c r="J59" s="55"/>
      <c r="K59" s="55"/>
      <c r="L59" s="55"/>
      <c r="M59" s="55"/>
      <c r="N59" s="55"/>
      <c r="O59" s="55"/>
      <c r="P59" s="55"/>
      <c r="Q59" s="55"/>
    </row>
    <row r="60" spans="1:29" s="35" customFormat="1" ht="10.5" customHeight="1" x14ac:dyDescent="0.25">
      <c r="B60" s="285"/>
      <c r="H60" s="55"/>
      <c r="I60" s="55"/>
      <c r="J60" s="55"/>
      <c r="K60" s="55"/>
      <c r="L60" s="55"/>
      <c r="M60" s="55"/>
      <c r="N60" s="55"/>
      <c r="O60" s="55"/>
      <c r="P60" s="55"/>
      <c r="Q60" s="55"/>
    </row>
    <row r="61" spans="1:29" s="35" customFormat="1" ht="10.5" customHeight="1" x14ac:dyDescent="0.25">
      <c r="B61" s="285"/>
      <c r="H61" s="55"/>
      <c r="I61" s="55"/>
      <c r="J61" s="55"/>
      <c r="K61" s="55"/>
      <c r="L61" s="55"/>
      <c r="M61" s="55"/>
      <c r="N61" s="55"/>
      <c r="O61" s="55"/>
      <c r="P61" s="55"/>
      <c r="Q61" s="55"/>
    </row>
    <row r="62" spans="1:29" s="35" customFormat="1" ht="10.5" customHeight="1" x14ac:dyDescent="0.25">
      <c r="B62" s="285"/>
      <c r="C62" s="384"/>
      <c r="D62" s="101"/>
      <c r="E62" s="101"/>
      <c r="F62" s="55"/>
      <c r="H62" s="55"/>
      <c r="I62" s="55"/>
      <c r="J62" s="55"/>
      <c r="K62" s="55"/>
      <c r="L62" s="55"/>
      <c r="M62" s="55"/>
      <c r="N62" s="55"/>
      <c r="O62" s="55"/>
      <c r="P62" s="55"/>
      <c r="Q62" s="55"/>
    </row>
    <row r="63" spans="1:29" s="35" customFormat="1" ht="10.5" customHeight="1" x14ac:dyDescent="0.25">
      <c r="B63" s="285"/>
      <c r="C63" s="385"/>
      <c r="D63" s="55"/>
      <c r="E63" s="55"/>
      <c r="F63" s="55"/>
      <c r="G63" s="386"/>
      <c r="H63" s="55"/>
      <c r="I63" s="55"/>
      <c r="J63" s="55"/>
      <c r="K63" s="55"/>
      <c r="L63" s="55"/>
      <c r="M63" s="55"/>
      <c r="N63" s="55"/>
      <c r="O63" s="55"/>
      <c r="P63" s="55"/>
      <c r="Q63" s="55"/>
    </row>
    <row r="64" spans="1:29" s="35" customFormat="1" ht="14.1" hidden="1" customHeight="1" x14ac:dyDescent="0.25">
      <c r="A64" s="35" t="s">
        <v>316</v>
      </c>
      <c r="B64" s="563">
        <v>1.22</v>
      </c>
      <c r="C64" s="425" t="s">
        <v>920</v>
      </c>
      <c r="D64" s="425">
        <v>1.1100000000000001</v>
      </c>
      <c r="E64" s="425">
        <v>3.67</v>
      </c>
      <c r="F64" s="425">
        <v>8.2200000000000006</v>
      </c>
      <c r="G64" s="416"/>
      <c r="H64" s="417"/>
      <c r="I64" s="417"/>
      <c r="J64" s="418"/>
      <c r="K64" s="417"/>
      <c r="L64" s="419"/>
      <c r="M64" s="418"/>
      <c r="N64" s="420"/>
      <c r="O64" s="420"/>
      <c r="P64" s="417"/>
      <c r="Q64" s="419"/>
    </row>
    <row r="65" spans="1:35" s="35" customFormat="1" ht="14.1" customHeight="1" x14ac:dyDescent="0.25">
      <c r="A65" s="562" t="s">
        <v>329</v>
      </c>
      <c r="B65" s="285"/>
      <c r="C65" s="385"/>
      <c r="D65" s="55"/>
      <c r="E65" s="55"/>
      <c r="G65" s="387"/>
      <c r="H65" s="388"/>
      <c r="I65" s="387"/>
      <c r="J65" s="387"/>
      <c r="K65" s="388"/>
      <c r="L65" s="387"/>
      <c r="M65" s="387"/>
      <c r="N65" s="389"/>
      <c r="O65" s="389"/>
      <c r="P65" s="388"/>
      <c r="Q65" s="387"/>
    </row>
    <row r="66" spans="1:35" s="35" customFormat="1" ht="14.1" customHeight="1" x14ac:dyDescent="0.25">
      <c r="A66" s="559" t="s">
        <v>3</v>
      </c>
      <c r="B66" s="285"/>
      <c r="C66" s="385"/>
      <c r="D66" s="55"/>
      <c r="E66" s="55"/>
      <c r="G66" s="390"/>
      <c r="H66" s="390"/>
      <c r="I66" s="390"/>
      <c r="J66" s="390"/>
      <c r="K66" s="390"/>
      <c r="L66" s="390"/>
      <c r="M66" s="503"/>
      <c r="N66" s="390"/>
      <c r="O66" s="391"/>
      <c r="P66" s="392"/>
      <c r="Q66" s="390"/>
    </row>
    <row r="67" spans="1:35" s="35" customFormat="1" ht="14.1" customHeight="1" x14ac:dyDescent="0.25">
      <c r="A67" s="560" t="s">
        <v>245</v>
      </c>
      <c r="B67" s="285"/>
      <c r="C67" s="393"/>
      <c r="D67" s="394"/>
      <c r="E67" s="394"/>
      <c r="F67" s="394"/>
      <c r="G67" s="395"/>
      <c r="H67" s="390"/>
      <c r="I67" s="390"/>
      <c r="J67" s="390"/>
      <c r="K67" s="390"/>
      <c r="L67" s="390"/>
      <c r="M67" s="390"/>
      <c r="N67" s="390"/>
      <c r="O67" s="390"/>
      <c r="P67" s="392"/>
      <c r="Q67" s="390"/>
    </row>
    <row r="68" spans="1:35" s="35" customFormat="1" ht="14.1" hidden="1" customHeight="1" x14ac:dyDescent="0.25">
      <c r="A68" s="561" t="s">
        <v>246</v>
      </c>
      <c r="B68" s="405"/>
      <c r="D68" s="396"/>
      <c r="E68" s="396"/>
      <c r="F68" s="396"/>
      <c r="G68" s="397" t="s">
        <v>317</v>
      </c>
      <c r="H68" s="399"/>
      <c r="I68" s="399"/>
      <c r="J68" s="399"/>
      <c r="K68" s="399"/>
      <c r="L68" s="399"/>
      <c r="M68" s="399"/>
      <c r="N68" s="399"/>
      <c r="O68" s="399"/>
      <c r="P68" s="399"/>
      <c r="Q68" s="399"/>
      <c r="R68" s="399"/>
      <c r="S68" s="399"/>
      <c r="T68" s="399"/>
      <c r="U68" s="399"/>
      <c r="V68" s="399"/>
      <c r="W68" s="399"/>
      <c r="X68" s="399"/>
      <c r="Y68" s="399"/>
      <c r="Z68" s="399"/>
      <c r="AA68" s="399"/>
      <c r="AB68" s="399"/>
      <c r="AC68" s="399"/>
      <c r="AD68" s="487"/>
      <c r="AE68" s="1"/>
      <c r="AF68" s="1"/>
      <c r="AG68" s="1"/>
      <c r="AH68" s="1"/>
      <c r="AI68" s="1"/>
    </row>
    <row r="69" spans="1:35" s="35" customFormat="1" ht="36" hidden="1" customHeight="1" x14ac:dyDescent="0.25">
      <c r="A69" s="498" t="s">
        <v>318</v>
      </c>
      <c r="B69" s="405"/>
      <c r="C69" s="495" t="s">
        <v>83</v>
      </c>
      <c r="D69" s="496" t="s">
        <v>84</v>
      </c>
      <c r="E69" s="428"/>
      <c r="F69" s="497"/>
      <c r="G69" s="484" t="s">
        <v>320</v>
      </c>
      <c r="H69" s="460" t="s">
        <v>321</v>
      </c>
      <c r="I69" s="460" t="s">
        <v>319</v>
      </c>
      <c r="J69" s="458" t="s">
        <v>174</v>
      </c>
      <c r="K69" s="458" t="s">
        <v>300</v>
      </c>
      <c r="L69" s="460" t="s">
        <v>310</v>
      </c>
      <c r="M69" s="460" t="s">
        <v>311</v>
      </c>
      <c r="N69" s="460" t="s">
        <v>301</v>
      </c>
      <c r="O69" s="460" t="s">
        <v>350</v>
      </c>
      <c r="P69" s="460" t="s">
        <v>678</v>
      </c>
      <c r="Q69" s="460" t="s">
        <v>325</v>
      </c>
      <c r="R69" s="460" t="s">
        <v>309</v>
      </c>
      <c r="S69" s="460" t="s">
        <v>308</v>
      </c>
      <c r="T69" s="460" t="s">
        <v>307</v>
      </c>
      <c r="U69" s="460" t="s">
        <v>304</v>
      </c>
      <c r="V69" s="460" t="s">
        <v>303</v>
      </c>
      <c r="W69" s="460" t="s">
        <v>323</v>
      </c>
      <c r="X69" s="460" t="s">
        <v>767</v>
      </c>
      <c r="Y69" s="460" t="s">
        <v>324</v>
      </c>
      <c r="Z69" s="460" t="s">
        <v>306</v>
      </c>
      <c r="AA69" s="460" t="s">
        <v>500</v>
      </c>
      <c r="AB69" s="460" t="s">
        <v>305</v>
      </c>
      <c r="AC69" s="460" t="s">
        <v>349</v>
      </c>
      <c r="AD69" s="488"/>
      <c r="AE69" s="485"/>
      <c r="AF69" s="486"/>
      <c r="AG69" s="486"/>
      <c r="AH69" s="486"/>
      <c r="AI69" s="486"/>
    </row>
    <row r="70" spans="1:35" s="35" customFormat="1" ht="14.1" hidden="1" customHeight="1" x14ac:dyDescent="0.25">
      <c r="A70" s="499" t="s">
        <v>2</v>
      </c>
      <c r="B70" s="668">
        <v>1</v>
      </c>
      <c r="C70" s="490" t="s">
        <v>2</v>
      </c>
      <c r="D70" s="491">
        <v>0.17</v>
      </c>
      <c r="E70" s="492">
        <v>0.3</v>
      </c>
      <c r="F70" s="481"/>
      <c r="G70" s="704">
        <f>GREnergyTarget</f>
        <v>2100</v>
      </c>
      <c r="H70" s="705">
        <f>52.5*(G70/2100)</f>
        <v>52.5</v>
      </c>
      <c r="I70" s="705">
        <f>40*(G70/2100)</f>
        <v>40</v>
      </c>
      <c r="J70" s="723">
        <f>989*(G70/2100)</f>
        <v>989</v>
      </c>
      <c r="K70" s="706">
        <f>1.1*(G70/2100)</f>
        <v>1.1000000000000001</v>
      </c>
      <c r="L70" s="705">
        <f>138*(G70/2100)</f>
        <v>138</v>
      </c>
      <c r="M70" s="705">
        <f>32*(G70/2100)</f>
        <v>32</v>
      </c>
      <c r="N70" s="707">
        <f>201*(G70/2100)</f>
        <v>201</v>
      </c>
      <c r="O70" s="706">
        <f>27.6*(G70/2100)</f>
        <v>27.6</v>
      </c>
      <c r="P70" s="706">
        <f>12.4*(G70/2100)</f>
        <v>12.4</v>
      </c>
      <c r="Q70" s="866">
        <f>550*(G70/2100)</f>
        <v>550</v>
      </c>
      <c r="R70" s="867">
        <f>1.1*(G70/2100)</f>
        <v>1.1000000000000001</v>
      </c>
      <c r="S70" s="867">
        <f>1.1*(G70/2100)</f>
        <v>1.1000000000000001</v>
      </c>
      <c r="T70" s="868">
        <f>13.8*(G70/2100)</f>
        <v>13.8</v>
      </c>
      <c r="U70" s="706">
        <f>4.6*(G70/2100)</f>
        <v>4.5999999999999996</v>
      </c>
      <c r="V70" s="706">
        <f>1.2*(G70/2100)</f>
        <v>1.2</v>
      </c>
      <c r="W70" s="707">
        <f>363*(G70/2100)</f>
        <v>363</v>
      </c>
      <c r="X70" s="707"/>
      <c r="Y70" s="706">
        <f>2.2*(G70/2100)</f>
        <v>2.2000000000000002</v>
      </c>
      <c r="Z70" s="868">
        <f>41.6*(G70/2100)</f>
        <v>41.6</v>
      </c>
      <c r="AA70" s="869">
        <f>6.1*(G70/2100)</f>
        <v>6.1</v>
      </c>
      <c r="AB70" s="869">
        <f>8*(G70/2100)</f>
        <v>8</v>
      </c>
      <c r="AC70" s="869">
        <f>48.2*(G70/2100)</f>
        <v>48.2</v>
      </c>
      <c r="AD70" s="373"/>
      <c r="AE70" s="473"/>
      <c r="AF70" s="473"/>
      <c r="AG70" s="473"/>
      <c r="AH70" s="473"/>
      <c r="AI70" s="1"/>
    </row>
    <row r="71" spans="1:35" s="35" customFormat="1" ht="14.1" hidden="1" customHeight="1" x14ac:dyDescent="0.25">
      <c r="A71" s="500" t="s">
        <v>611</v>
      </c>
      <c r="B71" s="406"/>
      <c r="C71" s="439"/>
      <c r="D71" s="412"/>
      <c r="E71" s="438"/>
      <c r="F71" s="481"/>
      <c r="G71" s="727"/>
      <c r="H71" s="730"/>
      <c r="I71" s="730"/>
      <c r="J71" s="935">
        <v>2000</v>
      </c>
      <c r="K71" s="936">
        <v>10</v>
      </c>
      <c r="L71" s="937">
        <v>600</v>
      </c>
      <c r="M71" s="938">
        <v>45</v>
      </c>
      <c r="N71" s="939">
        <v>5000</v>
      </c>
      <c r="O71" s="939">
        <v>400</v>
      </c>
      <c r="P71" s="940">
        <v>34</v>
      </c>
      <c r="Q71" s="865">
        <f>1171*(GREnergyTarget/2100)</f>
        <v>1171</v>
      </c>
      <c r="R71" s="870">
        <v>5000</v>
      </c>
      <c r="S71" s="870">
        <v>5000</v>
      </c>
      <c r="T71" s="871">
        <f>263.1*(GREnergyTarget/2100)</f>
        <v>263.10000000000002</v>
      </c>
      <c r="U71" s="734">
        <v>5000</v>
      </c>
      <c r="V71" s="864">
        <f>8.768*(GREnergyTarget/2100)</f>
        <v>8.7680000000000007</v>
      </c>
      <c r="W71" s="930"/>
      <c r="X71" s="735">
        <f>512*(GREnergyTarget/2100)</f>
        <v>512</v>
      </c>
      <c r="Y71" s="708">
        <v>5000</v>
      </c>
      <c r="Z71" s="872">
        <f>701*(GREnergyTarget/2100)</f>
        <v>701</v>
      </c>
      <c r="AA71" s="872">
        <f>72*(GREnergyTarget/2100)</f>
        <v>72</v>
      </c>
      <c r="AB71" s="872">
        <f>139.7*(GREnergyTarget/2100)</f>
        <v>139.69999999999999</v>
      </c>
      <c r="AC71" s="872">
        <f>1000*(GREnergyTarget/2100)</f>
        <v>1000</v>
      </c>
      <c r="AD71" s="373"/>
      <c r="AE71" s="473"/>
      <c r="AF71" s="473"/>
      <c r="AG71" s="473"/>
      <c r="AH71" s="473"/>
      <c r="AI71" s="1"/>
    </row>
    <row r="72" spans="1:35" s="35" customFormat="1" ht="14.1" hidden="1" customHeight="1" x14ac:dyDescent="0.2">
      <c r="A72" s="500" t="s">
        <v>612</v>
      </c>
      <c r="B72" s="668">
        <v>2</v>
      </c>
      <c r="C72" s="493" t="s">
        <v>611</v>
      </c>
      <c r="D72" s="491">
        <v>0.3</v>
      </c>
      <c r="E72" s="492">
        <v>0.4</v>
      </c>
      <c r="F72" s="481"/>
      <c r="G72" s="709">
        <v>833.77777777777783</v>
      </c>
      <c r="H72" s="710">
        <v>20.844444444444449</v>
      </c>
      <c r="I72" s="710">
        <v>27.792592592592591</v>
      </c>
      <c r="J72" s="724">
        <v>472.22222222222217</v>
      </c>
      <c r="K72" s="712">
        <v>0.57111111111111112</v>
      </c>
      <c r="L72" s="711">
        <v>90</v>
      </c>
      <c r="M72" s="710">
        <v>13.944444444444443</v>
      </c>
      <c r="N72" s="713">
        <v>58.333333333333336</v>
      </c>
      <c r="O72" s="712">
        <v>15.055555555555557</v>
      </c>
      <c r="P72" s="712">
        <v>8.3277777777777775</v>
      </c>
      <c r="Q72" s="873">
        <v>400</v>
      </c>
      <c r="R72" s="874">
        <v>0.44444444444444442</v>
      </c>
      <c r="S72" s="874">
        <v>0.47222222222222221</v>
      </c>
      <c r="T72" s="875">
        <v>5.4444444444444446</v>
      </c>
      <c r="U72" s="712">
        <v>1.9444444444444444</v>
      </c>
      <c r="V72" s="712">
        <v>0.44444444444444442</v>
      </c>
      <c r="W72" s="713">
        <v>130.55555555555554</v>
      </c>
      <c r="X72" s="713"/>
      <c r="Y72" s="712">
        <v>0.84444444444444444</v>
      </c>
      <c r="Z72" s="877">
        <v>30</v>
      </c>
      <c r="AA72" s="876">
        <v>5</v>
      </c>
      <c r="AB72" s="876">
        <v>4.3611111111111107</v>
      </c>
      <c r="AC72" s="876">
        <v>13.611111111111111</v>
      </c>
      <c r="AD72" s="374"/>
      <c r="AE72" s="1"/>
      <c r="AF72" s="1"/>
      <c r="AG72" s="1"/>
      <c r="AH72" s="1"/>
      <c r="AI72" s="1"/>
    </row>
    <row r="73" spans="1:35" s="35" customFormat="1" ht="14.1" hidden="1" customHeight="1" x14ac:dyDescent="0.2">
      <c r="A73" s="500" t="s">
        <v>613</v>
      </c>
      <c r="B73" s="406"/>
      <c r="C73" s="439"/>
      <c r="D73" s="412"/>
      <c r="E73" s="438"/>
      <c r="F73" s="481"/>
      <c r="G73" s="728"/>
      <c r="H73" s="731"/>
      <c r="I73" s="731"/>
      <c r="J73" s="725">
        <v>1500</v>
      </c>
      <c r="K73" s="942">
        <v>1.5</v>
      </c>
      <c r="L73" s="715">
        <v>200</v>
      </c>
      <c r="M73" s="714">
        <v>40</v>
      </c>
      <c r="N73" s="934">
        <v>5000</v>
      </c>
      <c r="O73" s="720">
        <v>60</v>
      </c>
      <c r="P73" s="720">
        <v>5</v>
      </c>
      <c r="Q73" s="878">
        <v>600</v>
      </c>
      <c r="R73" s="879">
        <v>5000</v>
      </c>
      <c r="S73" s="879">
        <v>5000</v>
      </c>
      <c r="T73" s="880">
        <v>150</v>
      </c>
      <c r="U73" s="708">
        <v>5000</v>
      </c>
      <c r="V73" s="720">
        <v>5</v>
      </c>
      <c r="X73" s="721">
        <v>300</v>
      </c>
      <c r="Y73" s="708">
        <v>5000</v>
      </c>
      <c r="Z73" s="888">
        <v>400</v>
      </c>
      <c r="AA73" s="881">
        <v>38</v>
      </c>
      <c r="AB73" s="881">
        <v>100</v>
      </c>
      <c r="AC73" s="872">
        <v>1000</v>
      </c>
      <c r="AD73" s="374"/>
      <c r="AE73" s="1"/>
      <c r="AF73" s="1"/>
      <c r="AG73" s="1"/>
      <c r="AH73" s="1"/>
      <c r="AI73" s="1"/>
    </row>
    <row r="74" spans="1:35" s="35" customFormat="1" ht="14.1" hidden="1" customHeight="1" x14ac:dyDescent="0.2">
      <c r="A74" s="500" t="s">
        <v>617</v>
      </c>
      <c r="B74" s="668">
        <v>3</v>
      </c>
      <c r="C74" s="493" t="s">
        <v>612</v>
      </c>
      <c r="D74" s="491">
        <v>0.3</v>
      </c>
      <c r="E74" s="492">
        <v>0.4</v>
      </c>
      <c r="F74" s="481"/>
      <c r="G74" s="709">
        <v>1197.5</v>
      </c>
      <c r="H74" s="710">
        <v>29.9375</v>
      </c>
      <c r="I74" s="710">
        <v>39.9</v>
      </c>
      <c r="J74" s="724">
        <v>563.88888888888891</v>
      </c>
      <c r="K74" s="712">
        <v>0.56638888888888883</v>
      </c>
      <c r="L74" s="711">
        <v>90</v>
      </c>
      <c r="M74" s="710">
        <v>12.638888888888889</v>
      </c>
      <c r="N74" s="713">
        <v>70.222222222222229</v>
      </c>
      <c r="O74" s="712">
        <v>20.194444444444443</v>
      </c>
      <c r="P74" s="712">
        <v>9.1305555555555546</v>
      </c>
      <c r="Q74" s="873">
        <v>431.94444444444446</v>
      </c>
      <c r="R74" s="874">
        <v>0.56388888888888888</v>
      </c>
      <c r="S74" s="874">
        <v>0.56388888888888888</v>
      </c>
      <c r="T74" s="875">
        <v>7.2777777777777768</v>
      </c>
      <c r="U74" s="712">
        <v>2.6388888888888888</v>
      </c>
      <c r="V74" s="712">
        <v>0.56388888888888888</v>
      </c>
      <c r="W74" s="713">
        <v>181.94444444444443</v>
      </c>
      <c r="X74" s="713"/>
      <c r="Y74" s="712">
        <v>1.0916666666666666</v>
      </c>
      <c r="Z74" s="877">
        <v>30</v>
      </c>
      <c r="AA74" s="876">
        <v>5</v>
      </c>
      <c r="AB74" s="876">
        <v>5</v>
      </c>
      <c r="AC74" s="876">
        <v>18.194444444444446</v>
      </c>
      <c r="AD74" s="374"/>
      <c r="AE74" s="1"/>
      <c r="AF74" s="1"/>
      <c r="AG74" s="1"/>
      <c r="AH74" s="1"/>
      <c r="AI74" s="1"/>
    </row>
    <row r="75" spans="1:35" s="35" customFormat="1" ht="14.1" hidden="1" customHeight="1" x14ac:dyDescent="0.2">
      <c r="A75" s="500" t="s">
        <v>614</v>
      </c>
      <c r="B75" s="406"/>
      <c r="C75" s="439"/>
      <c r="D75" s="412"/>
      <c r="E75" s="438"/>
      <c r="F75" s="481"/>
      <c r="G75" s="727"/>
      <c r="H75" s="732"/>
      <c r="I75" s="732"/>
      <c r="J75" s="725">
        <v>1500</v>
      </c>
      <c r="K75" s="942">
        <v>1.5</v>
      </c>
      <c r="L75" s="715">
        <v>200</v>
      </c>
      <c r="M75" s="714">
        <v>40</v>
      </c>
      <c r="N75" s="934">
        <v>5000</v>
      </c>
      <c r="O75" s="720">
        <v>90</v>
      </c>
      <c r="P75" s="720">
        <v>7</v>
      </c>
      <c r="Q75" s="878">
        <v>800</v>
      </c>
      <c r="R75" s="879">
        <v>5000</v>
      </c>
      <c r="S75" s="879">
        <v>5000</v>
      </c>
      <c r="T75" s="880">
        <v>150</v>
      </c>
      <c r="U75" s="708">
        <v>5000</v>
      </c>
      <c r="V75" s="720">
        <v>5</v>
      </c>
      <c r="X75" s="721">
        <v>300</v>
      </c>
      <c r="Y75" s="708">
        <v>5000</v>
      </c>
      <c r="Z75" s="888">
        <v>400</v>
      </c>
      <c r="AA75" s="881">
        <v>38</v>
      </c>
      <c r="AB75" s="881">
        <v>100</v>
      </c>
      <c r="AC75" s="872">
        <v>1000</v>
      </c>
      <c r="AD75" s="374"/>
      <c r="AE75" s="1"/>
      <c r="AF75" s="1"/>
      <c r="AG75" s="1"/>
      <c r="AH75" s="1"/>
      <c r="AI75" s="1"/>
    </row>
    <row r="76" spans="1:35" s="35" customFormat="1" ht="14.1" hidden="1" customHeight="1" x14ac:dyDescent="0.2">
      <c r="A76" s="500" t="s">
        <v>615</v>
      </c>
      <c r="B76" s="668">
        <v>4</v>
      </c>
      <c r="C76" s="493" t="s">
        <v>613</v>
      </c>
      <c r="D76" s="491">
        <v>0.3</v>
      </c>
      <c r="E76" s="492">
        <v>0.4</v>
      </c>
      <c r="F76" s="481"/>
      <c r="G76" s="709">
        <v>1076.2592592592591</v>
      </c>
      <c r="H76" s="710">
        <v>26.906481481481478</v>
      </c>
      <c r="I76" s="710">
        <v>35.9</v>
      </c>
      <c r="J76" s="724">
        <v>525.92592592592587</v>
      </c>
      <c r="K76" s="712">
        <v>0.55777777777777782</v>
      </c>
      <c r="L76" s="711">
        <v>88.333333333333343</v>
      </c>
      <c r="M76" s="710">
        <v>12.87037037037037</v>
      </c>
      <c r="N76" s="713">
        <v>65.444444444444443</v>
      </c>
      <c r="O76" s="712">
        <v>18.25925925925926</v>
      </c>
      <c r="P76" s="712">
        <v>8.7333333333333343</v>
      </c>
      <c r="Q76" s="873">
        <v>414.81481481481478</v>
      </c>
      <c r="R76" s="874">
        <v>0.51666666666666661</v>
      </c>
      <c r="S76" s="874">
        <v>0.52592592592592591</v>
      </c>
      <c r="T76" s="875">
        <v>6.5925925925925917</v>
      </c>
      <c r="U76" s="712">
        <v>2.3888888888888888</v>
      </c>
      <c r="V76" s="712">
        <v>0.51666666666666661</v>
      </c>
      <c r="W76" s="713">
        <v>162.96296296296296</v>
      </c>
      <c r="X76" s="713"/>
      <c r="Y76" s="712">
        <v>0.99814814814814823</v>
      </c>
      <c r="Z76" s="877">
        <v>29.444444444444443</v>
      </c>
      <c r="AA76" s="876">
        <v>4.9074074074074074</v>
      </c>
      <c r="AB76" s="876">
        <v>4.6944444444444446</v>
      </c>
      <c r="AC76" s="876">
        <v>16.481481481481481</v>
      </c>
      <c r="AD76" s="374"/>
      <c r="AE76" s="1"/>
      <c r="AF76" s="1"/>
      <c r="AG76" s="1"/>
      <c r="AH76" s="1"/>
      <c r="AI76" s="1"/>
    </row>
    <row r="77" spans="1:35" s="35" customFormat="1" ht="14.1" hidden="1" customHeight="1" x14ac:dyDescent="0.2">
      <c r="A77" s="500" t="s">
        <v>822</v>
      </c>
      <c r="B77" s="406"/>
      <c r="C77" s="439"/>
      <c r="D77" s="412"/>
      <c r="E77" s="438"/>
      <c r="F77" s="481"/>
      <c r="G77" s="727"/>
      <c r="H77" s="732"/>
      <c r="I77" s="732"/>
      <c r="J77" s="725">
        <v>1500</v>
      </c>
      <c r="K77" s="942">
        <v>1.5</v>
      </c>
      <c r="L77" s="715">
        <v>200</v>
      </c>
      <c r="M77" s="714">
        <v>40</v>
      </c>
      <c r="N77" s="934">
        <v>5000</v>
      </c>
      <c r="O77" s="720">
        <v>60</v>
      </c>
      <c r="P77" s="720">
        <v>5</v>
      </c>
      <c r="Q77" s="878">
        <v>600</v>
      </c>
      <c r="R77" s="879">
        <v>5000</v>
      </c>
      <c r="S77" s="879">
        <v>5000</v>
      </c>
      <c r="T77" s="880">
        <v>150</v>
      </c>
      <c r="U77" s="708">
        <v>5000</v>
      </c>
      <c r="V77" s="720">
        <v>5</v>
      </c>
      <c r="X77" s="721">
        <v>300</v>
      </c>
      <c r="Y77" s="708">
        <v>5000</v>
      </c>
      <c r="Z77" s="888">
        <v>400</v>
      </c>
      <c r="AA77" s="881">
        <v>38</v>
      </c>
      <c r="AB77" s="881">
        <v>100</v>
      </c>
      <c r="AC77" s="872">
        <v>1000</v>
      </c>
      <c r="AD77" s="374"/>
      <c r="AE77" s="1"/>
      <c r="AF77" s="1"/>
      <c r="AG77" s="1"/>
      <c r="AH77" s="1"/>
      <c r="AI77" s="1"/>
    </row>
    <row r="78" spans="1:35" s="35" customFormat="1" ht="14.1" hidden="1" customHeight="1" x14ac:dyDescent="0.2">
      <c r="A78" s="500" t="s">
        <v>823</v>
      </c>
      <c r="B78" s="668">
        <v>5</v>
      </c>
      <c r="C78" s="493" t="s">
        <v>617</v>
      </c>
      <c r="D78" s="491">
        <v>0.17</v>
      </c>
      <c r="E78" s="492">
        <v>0.3</v>
      </c>
      <c r="F78" s="481"/>
      <c r="G78" s="709">
        <v>1640.4</v>
      </c>
      <c r="H78" s="710">
        <v>41.010000000000005</v>
      </c>
      <c r="I78" s="710">
        <v>30.98533333333334</v>
      </c>
      <c r="J78" s="724">
        <v>660</v>
      </c>
      <c r="K78" s="712">
        <v>0.67799999999999994</v>
      </c>
      <c r="L78" s="711">
        <v>108</v>
      </c>
      <c r="M78" s="710">
        <v>16</v>
      </c>
      <c r="N78" s="713">
        <v>90.4</v>
      </c>
      <c r="O78" s="712">
        <v>21.4</v>
      </c>
      <c r="P78" s="712">
        <v>10.559999999999999</v>
      </c>
      <c r="Q78" s="873">
        <v>480</v>
      </c>
      <c r="R78" s="874">
        <v>0.78</v>
      </c>
      <c r="S78" s="874">
        <v>0.78</v>
      </c>
      <c r="T78" s="875">
        <v>10.4</v>
      </c>
      <c r="U78" s="712">
        <v>3.5999999999999996</v>
      </c>
      <c r="V78" s="712">
        <v>0.84</v>
      </c>
      <c r="W78" s="713">
        <v>260</v>
      </c>
      <c r="X78" s="713"/>
      <c r="Y78" s="712">
        <v>1.56</v>
      </c>
      <c r="Z78" s="877">
        <v>33</v>
      </c>
      <c r="AA78" s="876">
        <v>5</v>
      </c>
      <c r="AB78" s="876">
        <v>6.2</v>
      </c>
      <c r="AC78" s="876">
        <v>23</v>
      </c>
      <c r="AD78" s="374"/>
      <c r="AE78" s="1"/>
      <c r="AF78" s="1"/>
      <c r="AG78" s="1"/>
      <c r="AH78" s="1"/>
      <c r="AI78" s="1"/>
    </row>
    <row r="79" spans="1:35" s="35" customFormat="1" ht="14.1" hidden="1" customHeight="1" x14ac:dyDescent="0.2">
      <c r="A79" s="500" t="s">
        <v>824</v>
      </c>
      <c r="B79" s="406"/>
      <c r="C79" s="439"/>
      <c r="D79" s="412"/>
      <c r="E79" s="438"/>
      <c r="F79" s="481"/>
      <c r="G79" s="727"/>
      <c r="H79" s="732"/>
      <c r="I79" s="732"/>
      <c r="J79" s="725">
        <v>2500</v>
      </c>
      <c r="K79" s="942">
        <v>3</v>
      </c>
      <c r="L79" s="715">
        <v>250</v>
      </c>
      <c r="M79" s="714">
        <v>40</v>
      </c>
      <c r="N79" s="934">
        <v>5000</v>
      </c>
      <c r="O79" s="720">
        <v>150</v>
      </c>
      <c r="P79" s="720">
        <v>12</v>
      </c>
      <c r="Q79" s="878">
        <v>1100</v>
      </c>
      <c r="R79" s="879">
        <v>5000</v>
      </c>
      <c r="S79" s="879">
        <v>5000</v>
      </c>
      <c r="T79" s="880">
        <v>220</v>
      </c>
      <c r="U79" s="708">
        <v>5000</v>
      </c>
      <c r="V79" s="720">
        <v>7</v>
      </c>
      <c r="X79" s="721">
        <v>400</v>
      </c>
      <c r="Y79" s="708">
        <v>5000</v>
      </c>
      <c r="Z79" s="888">
        <v>650</v>
      </c>
      <c r="AA79" s="881">
        <v>75</v>
      </c>
      <c r="AB79" s="881">
        <v>120</v>
      </c>
      <c r="AC79" s="872">
        <v>1000</v>
      </c>
      <c r="AD79" s="374"/>
      <c r="AE79" s="1"/>
      <c r="AF79" s="1"/>
      <c r="AG79" s="1"/>
      <c r="AH79" s="1"/>
      <c r="AI79" s="1"/>
    </row>
    <row r="80" spans="1:35" s="35" customFormat="1" ht="14.1" hidden="1" customHeight="1" x14ac:dyDescent="0.2">
      <c r="A80" s="500" t="s">
        <v>616</v>
      </c>
      <c r="B80" s="668">
        <v>6</v>
      </c>
      <c r="C80" s="493" t="s">
        <v>614</v>
      </c>
      <c r="D80" s="491">
        <v>0.17</v>
      </c>
      <c r="E80" s="492">
        <v>0.3</v>
      </c>
      <c r="F80" s="481"/>
      <c r="G80" s="709">
        <v>2405.8000000000002</v>
      </c>
      <c r="H80" s="710">
        <v>60.14500000000001</v>
      </c>
      <c r="I80" s="710">
        <v>45.442888888888895</v>
      </c>
      <c r="J80" s="724">
        <v>1300</v>
      </c>
      <c r="K80" s="712">
        <v>0.99666666666666659</v>
      </c>
      <c r="L80" s="711">
        <v>140</v>
      </c>
      <c r="M80" s="710">
        <v>40.049999999999997</v>
      </c>
      <c r="N80" s="713">
        <v>225</v>
      </c>
      <c r="O80" s="712">
        <v>29</v>
      </c>
      <c r="P80" s="712">
        <v>15.75</v>
      </c>
      <c r="Q80" s="873">
        <v>600</v>
      </c>
      <c r="R80" s="874">
        <v>1.1499999999999999</v>
      </c>
      <c r="S80" s="874">
        <v>1.1499999999999999</v>
      </c>
      <c r="T80" s="875">
        <v>16</v>
      </c>
      <c r="U80" s="712">
        <v>5</v>
      </c>
      <c r="V80" s="712">
        <v>1.25</v>
      </c>
      <c r="W80" s="713">
        <v>400</v>
      </c>
      <c r="X80" s="713"/>
      <c r="Y80" s="712">
        <v>2.4</v>
      </c>
      <c r="Z80" s="877">
        <v>40</v>
      </c>
      <c r="AA80" s="876">
        <v>5</v>
      </c>
      <c r="AB80" s="876">
        <v>8.75</v>
      </c>
      <c r="AC80" s="876">
        <v>45</v>
      </c>
      <c r="AD80" s="374"/>
      <c r="AE80" s="1"/>
      <c r="AF80" s="1"/>
      <c r="AG80" s="1"/>
      <c r="AH80" s="1"/>
      <c r="AI80" s="1"/>
    </row>
    <row r="81" spans="1:35" s="35" customFormat="1" ht="14.1" hidden="1" customHeight="1" x14ac:dyDescent="0.2">
      <c r="A81" s="500" t="s">
        <v>5</v>
      </c>
      <c r="B81" s="406"/>
      <c r="C81" s="439"/>
      <c r="D81" s="412"/>
      <c r="E81" s="438"/>
      <c r="F81" s="481"/>
      <c r="G81" s="727"/>
      <c r="H81" s="732"/>
      <c r="I81" s="732"/>
      <c r="J81" s="725">
        <v>3000</v>
      </c>
      <c r="K81" s="942">
        <v>6</v>
      </c>
      <c r="L81" s="715">
        <v>450</v>
      </c>
      <c r="M81" s="714">
        <v>40</v>
      </c>
      <c r="N81" s="934">
        <v>5000</v>
      </c>
      <c r="O81" s="720">
        <v>280</v>
      </c>
      <c r="P81" s="720">
        <v>23</v>
      </c>
      <c r="Q81" s="878">
        <v>1500</v>
      </c>
      <c r="R81" s="879">
        <v>5000</v>
      </c>
      <c r="S81" s="879">
        <v>5000</v>
      </c>
      <c r="T81" s="880">
        <v>350</v>
      </c>
      <c r="U81" s="708">
        <v>5000</v>
      </c>
      <c r="V81" s="721">
        <v>10</v>
      </c>
      <c r="X81" s="721">
        <v>600</v>
      </c>
      <c r="Y81" s="708">
        <v>5000</v>
      </c>
      <c r="Z81" s="888">
        <v>1200</v>
      </c>
      <c r="AA81" s="881">
        <v>100</v>
      </c>
      <c r="AB81" s="881">
        <v>160</v>
      </c>
      <c r="AC81" s="872">
        <v>1000</v>
      </c>
      <c r="AD81" s="374"/>
      <c r="AE81" s="1"/>
      <c r="AF81" s="1"/>
      <c r="AG81" s="1"/>
      <c r="AH81" s="1"/>
      <c r="AI81" s="1"/>
    </row>
    <row r="82" spans="1:35" s="35" customFormat="1" ht="14.1" hidden="1" customHeight="1" x14ac:dyDescent="0.2">
      <c r="A82" s="500" t="s">
        <v>4</v>
      </c>
      <c r="B82" s="668">
        <v>7</v>
      </c>
      <c r="C82" s="493" t="s">
        <v>615</v>
      </c>
      <c r="D82" s="491">
        <v>0.17</v>
      </c>
      <c r="E82" s="492">
        <v>0.3</v>
      </c>
      <c r="F82" s="481"/>
      <c r="G82" s="709">
        <v>2901.1666666666665</v>
      </c>
      <c r="H82" s="710">
        <v>72.529166666666669</v>
      </c>
      <c r="I82" s="710">
        <v>54.799814814814816</v>
      </c>
      <c r="J82" s="724">
        <v>1300</v>
      </c>
      <c r="K82" s="712">
        <v>0.99666666666666659</v>
      </c>
      <c r="L82" s="711">
        <v>140</v>
      </c>
      <c r="M82" s="710">
        <v>40.049999999999997</v>
      </c>
      <c r="N82" s="713">
        <v>225</v>
      </c>
      <c r="O82" s="712">
        <v>29</v>
      </c>
      <c r="P82" s="712">
        <v>15.75</v>
      </c>
      <c r="Q82" s="873">
        <v>600</v>
      </c>
      <c r="R82" s="874">
        <v>1.1499999999999999</v>
      </c>
      <c r="S82" s="874">
        <v>1.1499999999999999</v>
      </c>
      <c r="T82" s="875">
        <v>16</v>
      </c>
      <c r="U82" s="712">
        <v>5</v>
      </c>
      <c r="V82" s="712">
        <v>1.25</v>
      </c>
      <c r="W82" s="713">
        <v>400</v>
      </c>
      <c r="X82" s="713"/>
      <c r="Y82" s="712">
        <v>2.4</v>
      </c>
      <c r="Z82" s="877">
        <v>40</v>
      </c>
      <c r="AA82" s="876">
        <v>5</v>
      </c>
      <c r="AB82" s="876">
        <v>8.75</v>
      </c>
      <c r="AC82" s="876">
        <v>45</v>
      </c>
      <c r="AD82" s="374"/>
      <c r="AE82" s="1"/>
      <c r="AF82" s="1"/>
      <c r="AG82" s="1"/>
      <c r="AH82" s="1"/>
      <c r="AI82" s="1"/>
    </row>
    <row r="83" spans="1:35" s="35" customFormat="1" ht="14.1" hidden="1" customHeight="1" x14ac:dyDescent="0.2">
      <c r="A83" s="501" t="s">
        <v>76</v>
      </c>
      <c r="B83" s="406"/>
      <c r="C83" s="439"/>
      <c r="D83" s="412"/>
      <c r="E83" s="438"/>
      <c r="F83" s="481"/>
      <c r="G83" s="727"/>
      <c r="H83" s="732"/>
      <c r="I83" s="732"/>
      <c r="J83" s="725">
        <v>3000</v>
      </c>
      <c r="K83" s="942">
        <v>10</v>
      </c>
      <c r="L83" s="715">
        <v>500</v>
      </c>
      <c r="M83" s="714">
        <v>45</v>
      </c>
      <c r="N83" s="934">
        <v>5000</v>
      </c>
      <c r="O83" s="720">
        <v>400</v>
      </c>
      <c r="P83" s="720">
        <v>34</v>
      </c>
      <c r="Q83" s="878">
        <v>2600</v>
      </c>
      <c r="R83" s="879">
        <v>5000</v>
      </c>
      <c r="S83" s="879">
        <v>5000</v>
      </c>
      <c r="T83" s="883">
        <v>700</v>
      </c>
      <c r="U83" s="708">
        <v>5000</v>
      </c>
      <c r="V83" s="721">
        <v>20</v>
      </c>
      <c r="X83" s="721">
        <v>800</v>
      </c>
      <c r="Y83" s="708">
        <v>5000</v>
      </c>
      <c r="Z83" s="980">
        <v>1800</v>
      </c>
      <c r="AA83" s="881">
        <v>100</v>
      </c>
      <c r="AB83" s="881">
        <v>260</v>
      </c>
      <c r="AC83" s="872">
        <v>1000</v>
      </c>
      <c r="AD83" s="374"/>
      <c r="AE83" s="1"/>
      <c r="AF83" s="1"/>
      <c r="AG83" s="1"/>
      <c r="AH83" s="1"/>
      <c r="AI83" s="1"/>
    </row>
    <row r="84" spans="1:35" s="35" customFormat="1" ht="14.1" hidden="1" customHeight="1" x14ac:dyDescent="0.2">
      <c r="A84" s="502" t="s">
        <v>75</v>
      </c>
      <c r="B84" s="668">
        <v>8</v>
      </c>
      <c r="C84" s="981" t="s">
        <v>822</v>
      </c>
      <c r="D84" s="491">
        <v>0.17</v>
      </c>
      <c r="E84" s="492">
        <v>0.3</v>
      </c>
      <c r="F84" s="481"/>
      <c r="G84" s="972">
        <v>2510.7142857142858</v>
      </c>
      <c r="H84" s="973">
        <v>62.767857142857146</v>
      </c>
      <c r="I84" s="973">
        <v>47.424603174603178</v>
      </c>
      <c r="J84" s="724">
        <v>1039.2857142857142</v>
      </c>
      <c r="K84" s="712">
        <v>1.2439682539682537</v>
      </c>
      <c r="L84" s="711">
        <v>150</v>
      </c>
      <c r="M84" s="710">
        <v>39.07261904761905</v>
      </c>
      <c r="N84" s="713">
        <v>240</v>
      </c>
      <c r="O84" s="712">
        <v>30</v>
      </c>
      <c r="P84" s="712">
        <v>12</v>
      </c>
      <c r="Q84" s="873">
        <v>551</v>
      </c>
      <c r="R84" s="874">
        <v>1.1499999999999999</v>
      </c>
      <c r="S84" s="874">
        <v>1.2</v>
      </c>
      <c r="T84" s="875">
        <v>15</v>
      </c>
      <c r="U84" s="712">
        <v>5</v>
      </c>
      <c r="V84" s="712">
        <v>5</v>
      </c>
      <c r="W84" s="733">
        <v>400</v>
      </c>
      <c r="X84" s="733"/>
      <c r="Y84" s="712">
        <v>2.4</v>
      </c>
      <c r="Z84" s="877">
        <v>44.9</v>
      </c>
      <c r="AA84" s="876">
        <v>6</v>
      </c>
      <c r="AB84" s="876">
        <v>8.8000000000000007</v>
      </c>
      <c r="AC84" s="876">
        <v>59.6</v>
      </c>
      <c r="AD84" s="374"/>
      <c r="AE84" s="1"/>
      <c r="AF84" s="1"/>
      <c r="AG84" s="1"/>
      <c r="AH84" s="1"/>
      <c r="AI84" s="1"/>
    </row>
    <row r="85" spans="1:35" s="35" customFormat="1" ht="14.1" hidden="1" customHeight="1" x14ac:dyDescent="0.2">
      <c r="B85" s="406"/>
      <c r="C85" s="971"/>
      <c r="D85" s="412"/>
      <c r="E85" s="438"/>
      <c r="F85" s="481"/>
      <c r="G85" s="974"/>
      <c r="H85" s="975"/>
      <c r="I85" s="975"/>
      <c r="J85" s="725">
        <v>2500</v>
      </c>
      <c r="K85" s="942">
        <v>10</v>
      </c>
      <c r="L85" s="715">
        <v>600</v>
      </c>
      <c r="M85" s="714">
        <v>45</v>
      </c>
      <c r="N85" s="934">
        <v>5000</v>
      </c>
      <c r="O85" s="720">
        <v>400</v>
      </c>
      <c r="P85" s="720">
        <v>34</v>
      </c>
      <c r="Q85" s="878">
        <v>3000</v>
      </c>
      <c r="R85" s="879">
        <v>5000</v>
      </c>
      <c r="S85" s="879">
        <v>5000</v>
      </c>
      <c r="T85" s="883">
        <v>900</v>
      </c>
      <c r="U85" s="708">
        <v>5000</v>
      </c>
      <c r="V85" s="721">
        <v>20</v>
      </c>
      <c r="X85" s="721">
        <v>1000</v>
      </c>
      <c r="Y85" s="708">
        <v>5000</v>
      </c>
      <c r="Z85" s="980">
        <v>2000</v>
      </c>
      <c r="AA85" s="881">
        <v>100</v>
      </c>
      <c r="AB85" s="881">
        <v>300</v>
      </c>
      <c r="AC85" s="872">
        <v>1000</v>
      </c>
      <c r="AD85" s="374"/>
      <c r="AE85" s="1"/>
      <c r="AF85" s="1"/>
      <c r="AG85" s="1"/>
      <c r="AH85" s="1"/>
      <c r="AI85" s="1"/>
    </row>
    <row r="86" spans="1:35" s="35" customFormat="1" ht="14.1" hidden="1" customHeight="1" x14ac:dyDescent="0.2">
      <c r="B86" s="668">
        <v>9</v>
      </c>
      <c r="C86" s="981" t="s">
        <v>823</v>
      </c>
      <c r="D86" s="491">
        <v>0.17</v>
      </c>
      <c r="E86" s="492">
        <v>0.3</v>
      </c>
      <c r="F86" s="481"/>
      <c r="G86" s="972">
        <v>2792.8571428571427</v>
      </c>
      <c r="H86" s="973">
        <v>69.821428571428569</v>
      </c>
      <c r="I86" s="973">
        <v>52.753968253968253</v>
      </c>
      <c r="J86" s="724">
        <v>1007.1428571428571</v>
      </c>
      <c r="K86" s="712">
        <v>1.3421428571428571</v>
      </c>
      <c r="L86" s="711">
        <v>150</v>
      </c>
      <c r="M86" s="710">
        <v>27.152380952380952</v>
      </c>
      <c r="N86" s="713">
        <v>259</v>
      </c>
      <c r="O86" s="712">
        <v>34</v>
      </c>
      <c r="P86" s="712">
        <v>14.1</v>
      </c>
      <c r="Q86" s="873">
        <v>600</v>
      </c>
      <c r="R86" s="874">
        <v>1.2</v>
      </c>
      <c r="S86" s="874">
        <v>1.3</v>
      </c>
      <c r="T86" s="875">
        <v>16</v>
      </c>
      <c r="U86" s="712">
        <v>5</v>
      </c>
      <c r="V86" s="712">
        <v>5</v>
      </c>
      <c r="W86" s="713">
        <v>400</v>
      </c>
      <c r="X86" s="713"/>
      <c r="Y86" s="712">
        <v>2.4</v>
      </c>
      <c r="Z86" s="877">
        <v>44.9</v>
      </c>
      <c r="AA86" s="876">
        <v>7</v>
      </c>
      <c r="AB86" s="876">
        <v>10</v>
      </c>
      <c r="AC86" s="876">
        <v>64.5</v>
      </c>
      <c r="AD86" s="374"/>
      <c r="AE86" s="1"/>
      <c r="AF86" s="1"/>
      <c r="AG86" s="1"/>
      <c r="AH86" s="1"/>
      <c r="AI86" s="1"/>
    </row>
    <row r="87" spans="1:35" s="35" customFormat="1" ht="14.1" hidden="1" customHeight="1" x14ac:dyDescent="0.2">
      <c r="B87" s="406"/>
      <c r="C87" s="971"/>
      <c r="D87" s="412"/>
      <c r="E87" s="438"/>
      <c r="F87" s="481"/>
      <c r="G87" s="969"/>
      <c r="H87" s="970"/>
      <c r="I87" s="970"/>
      <c r="J87" s="725">
        <v>2000</v>
      </c>
      <c r="K87" s="942">
        <v>10</v>
      </c>
      <c r="L87" s="715">
        <v>600</v>
      </c>
      <c r="M87" s="714">
        <v>45</v>
      </c>
      <c r="N87" s="934">
        <v>5000</v>
      </c>
      <c r="O87" s="720">
        <v>400</v>
      </c>
      <c r="P87" s="720">
        <v>34</v>
      </c>
      <c r="Q87" s="878">
        <v>3000</v>
      </c>
      <c r="R87" s="879">
        <v>5000</v>
      </c>
      <c r="S87" s="879">
        <v>5000</v>
      </c>
      <c r="T87" s="883">
        <v>900</v>
      </c>
      <c r="U87" s="708">
        <v>5000</v>
      </c>
      <c r="V87" s="721">
        <v>20</v>
      </c>
      <c r="X87" s="721">
        <v>1000</v>
      </c>
      <c r="Y87" s="708">
        <v>5000</v>
      </c>
      <c r="Z87" s="980">
        <v>2000</v>
      </c>
      <c r="AA87" s="881">
        <v>100</v>
      </c>
      <c r="AB87" s="881">
        <v>300</v>
      </c>
      <c r="AC87" s="872">
        <v>1000</v>
      </c>
      <c r="AD87" s="374"/>
      <c r="AE87" s="1"/>
      <c r="AF87" s="1"/>
      <c r="AG87" s="1"/>
      <c r="AH87" s="1"/>
      <c r="AI87" s="1"/>
    </row>
    <row r="88" spans="1:35" s="35" customFormat="1" ht="14.1" hidden="1" customHeight="1" x14ac:dyDescent="0.2">
      <c r="B88" s="950">
        <v>10</v>
      </c>
      <c r="C88" s="981" t="s">
        <v>824</v>
      </c>
      <c r="D88" s="491">
        <v>0.17</v>
      </c>
      <c r="E88" s="952">
        <v>0.3</v>
      </c>
      <c r="F88" s="953"/>
      <c r="G88" s="972">
        <v>2228.5714285714284</v>
      </c>
      <c r="H88" s="973">
        <v>55.714285714285715</v>
      </c>
      <c r="I88" s="973">
        <v>42.095238095238102</v>
      </c>
      <c r="J88" s="724">
        <v>1071.4285714285716</v>
      </c>
      <c r="K88" s="712">
        <v>1.1457936507936506</v>
      </c>
      <c r="L88" s="711">
        <v>150</v>
      </c>
      <c r="M88" s="710">
        <v>50.99285714285714</v>
      </c>
      <c r="N88" s="713">
        <v>220</v>
      </c>
      <c r="O88" s="712">
        <v>26</v>
      </c>
      <c r="P88" s="712">
        <v>9.9</v>
      </c>
      <c r="Q88" s="873">
        <v>502</v>
      </c>
      <c r="R88" s="979">
        <v>1.1000000000000001</v>
      </c>
      <c r="S88" s="979">
        <v>1.1000000000000001</v>
      </c>
      <c r="T88" s="978">
        <v>14</v>
      </c>
      <c r="U88" s="712">
        <v>5</v>
      </c>
      <c r="V88" s="712">
        <v>5</v>
      </c>
      <c r="W88" s="713">
        <v>400</v>
      </c>
      <c r="X88" s="976"/>
      <c r="Y88" s="712">
        <v>2.4</v>
      </c>
      <c r="Z88" s="877">
        <v>44.9</v>
      </c>
      <c r="AA88" s="877">
        <v>6</v>
      </c>
      <c r="AB88" s="877">
        <v>7.5</v>
      </c>
      <c r="AC88" s="877">
        <v>54.8</v>
      </c>
      <c r="AD88" s="374"/>
      <c r="AE88" s="1"/>
      <c r="AF88" s="1"/>
      <c r="AG88" s="1"/>
      <c r="AH88" s="1"/>
      <c r="AI88" s="1"/>
    </row>
    <row r="89" spans="1:35" s="35" customFormat="1" ht="14.1" hidden="1" customHeight="1" x14ac:dyDescent="0.2">
      <c r="B89" s="951"/>
      <c r="C89" s="982"/>
      <c r="F89" s="953"/>
      <c r="J89" s="725">
        <v>2000</v>
      </c>
      <c r="K89" s="942">
        <v>10</v>
      </c>
      <c r="L89" s="715">
        <v>600</v>
      </c>
      <c r="M89" s="714">
        <v>45</v>
      </c>
      <c r="N89" s="934">
        <v>5000</v>
      </c>
      <c r="O89" s="720">
        <v>400</v>
      </c>
      <c r="P89" s="720">
        <v>34</v>
      </c>
      <c r="Q89" s="878">
        <v>3000</v>
      </c>
      <c r="R89" s="879">
        <v>5000</v>
      </c>
      <c r="S89" s="879">
        <v>5000</v>
      </c>
      <c r="T89" s="977">
        <v>900</v>
      </c>
      <c r="U89" s="708">
        <v>5000</v>
      </c>
      <c r="V89" s="721">
        <v>20</v>
      </c>
      <c r="X89" s="721">
        <v>1000</v>
      </c>
      <c r="Y89" s="708">
        <v>5000</v>
      </c>
      <c r="Z89" s="980">
        <v>2000</v>
      </c>
      <c r="AA89" s="881">
        <v>100</v>
      </c>
      <c r="AB89" s="881">
        <v>300</v>
      </c>
      <c r="AC89" s="977">
        <v>1000</v>
      </c>
      <c r="AD89" s="374"/>
      <c r="AE89" s="1"/>
      <c r="AF89" s="1"/>
      <c r="AG89" s="1"/>
      <c r="AH89" s="1"/>
      <c r="AI89" s="1"/>
    </row>
    <row r="90" spans="1:35" s="35" customFormat="1" ht="14.1" hidden="1" customHeight="1" x14ac:dyDescent="0.2">
      <c r="B90" s="668">
        <v>11</v>
      </c>
      <c r="C90" s="493" t="s">
        <v>616</v>
      </c>
      <c r="D90" s="491">
        <v>0.17</v>
      </c>
      <c r="E90" s="492">
        <v>0.3</v>
      </c>
      <c r="F90" s="481"/>
      <c r="G90" s="709">
        <v>2175</v>
      </c>
      <c r="H90" s="710">
        <v>54.375</v>
      </c>
      <c r="I90" s="710">
        <v>41.083333333333336</v>
      </c>
      <c r="J90" s="724">
        <v>1300</v>
      </c>
      <c r="K90" s="712">
        <v>1.25</v>
      </c>
      <c r="L90" s="711">
        <v>150</v>
      </c>
      <c r="M90" s="710">
        <v>25</v>
      </c>
      <c r="N90" s="713">
        <v>207</v>
      </c>
      <c r="O90" s="712">
        <v>29</v>
      </c>
      <c r="P90" s="712">
        <v>11.9</v>
      </c>
      <c r="Q90" s="873">
        <v>600</v>
      </c>
      <c r="R90" s="874">
        <v>1.1499999999999999</v>
      </c>
      <c r="S90" s="874">
        <v>1.2000000000000002</v>
      </c>
      <c r="T90" s="875">
        <v>15</v>
      </c>
      <c r="U90" s="712">
        <v>5</v>
      </c>
      <c r="V90" s="712">
        <v>1.6</v>
      </c>
      <c r="W90" s="713">
        <v>400</v>
      </c>
      <c r="X90" s="713"/>
      <c r="Y90" s="712">
        <v>2.4</v>
      </c>
      <c r="Z90" s="877">
        <v>45</v>
      </c>
      <c r="AA90" s="876">
        <v>15</v>
      </c>
      <c r="AB90" s="876">
        <v>8.75</v>
      </c>
      <c r="AC90" s="876">
        <v>60</v>
      </c>
      <c r="AD90" s="374"/>
      <c r="AE90" s="1"/>
      <c r="AF90" s="1"/>
      <c r="AG90" s="1"/>
      <c r="AH90" s="1"/>
      <c r="AI90" s="1"/>
    </row>
    <row r="91" spans="1:35" s="35" customFormat="1" ht="14.1" hidden="1" customHeight="1" x14ac:dyDescent="0.2">
      <c r="B91" s="406"/>
      <c r="C91" s="439"/>
      <c r="D91" s="412"/>
      <c r="E91" s="438"/>
      <c r="F91" s="481"/>
      <c r="G91" s="727"/>
      <c r="H91" s="732"/>
      <c r="I91" s="732"/>
      <c r="J91" s="725">
        <v>2000</v>
      </c>
      <c r="K91" s="942">
        <v>10</v>
      </c>
      <c r="L91" s="715">
        <v>600</v>
      </c>
      <c r="M91" s="714">
        <v>45</v>
      </c>
      <c r="N91" s="934">
        <v>5000</v>
      </c>
      <c r="O91" s="720">
        <v>400</v>
      </c>
      <c r="P91" s="720">
        <v>40</v>
      </c>
      <c r="Q91" s="878">
        <v>3000</v>
      </c>
      <c r="R91" s="879">
        <v>5000</v>
      </c>
      <c r="S91" s="879">
        <v>5000</v>
      </c>
      <c r="T91" s="880">
        <v>900</v>
      </c>
      <c r="U91" s="708">
        <v>5000</v>
      </c>
      <c r="V91" s="721">
        <v>25</v>
      </c>
      <c r="X91" s="721">
        <v>1000</v>
      </c>
      <c r="Y91" s="708">
        <v>5000</v>
      </c>
      <c r="Z91" s="980">
        <v>2000</v>
      </c>
      <c r="AA91" s="881">
        <v>100</v>
      </c>
      <c r="AB91" s="881">
        <v>300</v>
      </c>
      <c r="AC91" s="872">
        <v>1000</v>
      </c>
      <c r="AD91" s="374"/>
      <c r="AE91" s="1"/>
      <c r="AF91" s="1"/>
      <c r="AG91" s="1"/>
      <c r="AH91" s="1"/>
      <c r="AI91" s="1"/>
    </row>
    <row r="92" spans="1:35" s="35" customFormat="1" ht="14.1" hidden="1" customHeight="1" x14ac:dyDescent="0.2">
      <c r="B92" s="669">
        <v>12</v>
      </c>
      <c r="C92" s="493" t="s">
        <v>5</v>
      </c>
      <c r="D92" s="491">
        <v>0.2</v>
      </c>
      <c r="E92" s="492">
        <v>0.3</v>
      </c>
      <c r="F92" s="481"/>
      <c r="G92" s="709">
        <v>2717.5</v>
      </c>
      <c r="H92" s="710">
        <v>67.9375</v>
      </c>
      <c r="I92" s="710">
        <v>60.388888888888886</v>
      </c>
      <c r="J92" s="724">
        <v>1066.6666666666667</v>
      </c>
      <c r="K92" s="712">
        <v>1.1499999999999999</v>
      </c>
      <c r="L92" s="711">
        <v>200</v>
      </c>
      <c r="M92" s="710">
        <v>30</v>
      </c>
      <c r="N92" s="713">
        <v>220</v>
      </c>
      <c r="O92" s="712">
        <v>28</v>
      </c>
      <c r="P92" s="712">
        <v>15</v>
      </c>
      <c r="Q92" s="873">
        <v>800</v>
      </c>
      <c r="R92" s="874">
        <v>1.4</v>
      </c>
      <c r="S92" s="874">
        <v>1.4</v>
      </c>
      <c r="T92" s="875">
        <v>18</v>
      </c>
      <c r="U92" s="712">
        <v>6</v>
      </c>
      <c r="V92" s="712">
        <v>1.9</v>
      </c>
      <c r="W92" s="713">
        <v>600</v>
      </c>
      <c r="X92" s="713"/>
      <c r="Y92" s="712">
        <v>2.6</v>
      </c>
      <c r="Z92" s="877">
        <v>55</v>
      </c>
      <c r="AA92" s="876">
        <v>5</v>
      </c>
      <c r="AB92" s="876">
        <v>7.5</v>
      </c>
      <c r="AC92" s="876">
        <v>55</v>
      </c>
      <c r="AD92" s="374"/>
      <c r="AE92" s="1"/>
      <c r="AF92" s="1"/>
      <c r="AG92" s="1"/>
      <c r="AH92" s="1"/>
      <c r="AI92" s="1"/>
    </row>
    <row r="93" spans="1:35" s="35" customFormat="1" ht="14.1" hidden="1" customHeight="1" x14ac:dyDescent="0.2">
      <c r="B93" s="406"/>
      <c r="C93" s="439"/>
      <c r="D93" s="412"/>
      <c r="E93" s="438"/>
      <c r="F93" s="481"/>
      <c r="G93" s="727"/>
      <c r="H93" s="732"/>
      <c r="I93" s="732"/>
      <c r="J93" s="725">
        <v>2500</v>
      </c>
      <c r="K93" s="942">
        <v>10</v>
      </c>
      <c r="L93" s="715">
        <v>600</v>
      </c>
      <c r="M93" s="708">
        <v>1000</v>
      </c>
      <c r="N93" s="934">
        <v>5000</v>
      </c>
      <c r="O93" s="720">
        <v>400</v>
      </c>
      <c r="P93" s="720">
        <v>40</v>
      </c>
      <c r="Q93" s="878">
        <v>3000</v>
      </c>
      <c r="R93" s="879">
        <v>5000</v>
      </c>
      <c r="S93" s="879">
        <v>5000</v>
      </c>
      <c r="T93" s="879">
        <v>5000</v>
      </c>
      <c r="U93" s="708">
        <v>5000</v>
      </c>
      <c r="V93" s="721">
        <v>25</v>
      </c>
      <c r="X93" s="721">
        <v>1000</v>
      </c>
      <c r="Y93" s="708">
        <v>5000</v>
      </c>
      <c r="Z93" s="980">
        <v>2000</v>
      </c>
      <c r="AA93" s="881">
        <v>100</v>
      </c>
      <c r="AB93" s="881">
        <v>300</v>
      </c>
      <c r="AC93" s="872">
        <v>1000</v>
      </c>
      <c r="AD93" s="374"/>
      <c r="AE93" s="1"/>
      <c r="AF93" s="1"/>
      <c r="AG93" s="1"/>
      <c r="AH93" s="1"/>
      <c r="AI93" s="1"/>
    </row>
    <row r="94" spans="1:35" s="57" customFormat="1" ht="14.1" hidden="1" customHeight="1" x14ac:dyDescent="0.25">
      <c r="A94" s="703"/>
      <c r="B94" s="669">
        <v>13</v>
      </c>
      <c r="C94" s="493" t="s">
        <v>4</v>
      </c>
      <c r="D94" s="491">
        <v>0.2</v>
      </c>
      <c r="E94" s="492">
        <v>0.3</v>
      </c>
      <c r="F94" s="481"/>
      <c r="G94" s="709">
        <v>2900</v>
      </c>
      <c r="H94" s="710">
        <v>72.5</v>
      </c>
      <c r="I94" s="710">
        <v>64.444444444444443</v>
      </c>
      <c r="J94" s="724">
        <v>1000</v>
      </c>
      <c r="K94" s="712">
        <v>1.25</v>
      </c>
      <c r="L94" s="711">
        <v>200</v>
      </c>
      <c r="M94" s="710">
        <v>30</v>
      </c>
      <c r="N94" s="713">
        <v>270</v>
      </c>
      <c r="O94" s="712">
        <v>38.5</v>
      </c>
      <c r="P94" s="712">
        <v>21.074999999999999</v>
      </c>
      <c r="Q94" s="873">
        <v>850</v>
      </c>
      <c r="R94" s="874">
        <v>1.5</v>
      </c>
      <c r="S94" s="874">
        <v>1.6</v>
      </c>
      <c r="T94" s="875">
        <v>17</v>
      </c>
      <c r="U94" s="712">
        <v>7</v>
      </c>
      <c r="V94" s="712">
        <v>2</v>
      </c>
      <c r="W94" s="713">
        <v>500</v>
      </c>
      <c r="X94" s="713"/>
      <c r="Y94" s="712">
        <v>2.8</v>
      </c>
      <c r="Z94" s="877">
        <v>70</v>
      </c>
      <c r="AA94" s="876">
        <v>5</v>
      </c>
      <c r="AB94" s="876">
        <v>7.5</v>
      </c>
      <c r="AC94" s="876">
        <v>55</v>
      </c>
      <c r="AD94" s="373"/>
      <c r="AE94" s="378"/>
      <c r="AF94" s="378"/>
      <c r="AG94" s="378"/>
      <c r="AH94" s="378"/>
      <c r="AI94" s="378"/>
    </row>
    <row r="95" spans="1:35" s="57" customFormat="1" ht="14.1" hidden="1" customHeight="1" x14ac:dyDescent="0.25">
      <c r="B95" s="406"/>
      <c r="C95" s="439"/>
      <c r="D95" s="412"/>
      <c r="E95" s="438"/>
      <c r="F95" s="481"/>
      <c r="G95" s="727"/>
      <c r="H95" s="732"/>
      <c r="I95" s="732"/>
      <c r="J95" s="725">
        <v>2500</v>
      </c>
      <c r="K95" s="942">
        <v>10</v>
      </c>
      <c r="L95" s="715">
        <v>600</v>
      </c>
      <c r="M95" s="708">
        <v>1000</v>
      </c>
      <c r="N95" s="934">
        <v>5000</v>
      </c>
      <c r="O95" s="720">
        <v>400</v>
      </c>
      <c r="P95" s="720">
        <v>40</v>
      </c>
      <c r="Q95" s="878">
        <v>3000</v>
      </c>
      <c r="R95" s="879">
        <v>5000</v>
      </c>
      <c r="S95" s="879">
        <v>5000</v>
      </c>
      <c r="T95" s="879">
        <v>5000</v>
      </c>
      <c r="U95" s="708">
        <v>5000</v>
      </c>
      <c r="V95" s="721">
        <v>25</v>
      </c>
      <c r="W95" s="35"/>
      <c r="X95" s="721">
        <v>1000</v>
      </c>
      <c r="Y95" s="708">
        <v>5000</v>
      </c>
      <c r="Z95" s="980">
        <v>2000</v>
      </c>
      <c r="AA95" s="881">
        <v>100</v>
      </c>
      <c r="AB95" s="881">
        <v>300</v>
      </c>
      <c r="AC95" s="872">
        <v>1000</v>
      </c>
      <c r="AD95" s="373"/>
      <c r="AE95" s="378"/>
      <c r="AF95" s="378"/>
      <c r="AG95" s="378"/>
      <c r="AH95" s="378"/>
      <c r="AI95" s="378"/>
    </row>
    <row r="96" spans="1:35" s="35" customFormat="1" ht="14.1" hidden="1" customHeight="1" x14ac:dyDescent="0.25">
      <c r="B96" s="669">
        <v>14</v>
      </c>
      <c r="C96" s="494" t="s">
        <v>76</v>
      </c>
      <c r="D96" s="491">
        <v>0.17</v>
      </c>
      <c r="E96" s="492">
        <v>0.3</v>
      </c>
      <c r="F96" s="483"/>
      <c r="G96" s="709">
        <f>2230*1.3</f>
        <v>2899</v>
      </c>
      <c r="H96" s="710">
        <v>49.6</v>
      </c>
      <c r="I96" s="710">
        <v>42.5</v>
      </c>
      <c r="J96" s="724">
        <v>400</v>
      </c>
      <c r="K96" s="726"/>
      <c r="L96" s="710">
        <v>150</v>
      </c>
      <c r="M96" s="710">
        <v>24</v>
      </c>
      <c r="N96" s="716"/>
      <c r="O96" s="717"/>
      <c r="P96" s="717"/>
      <c r="Q96" s="873">
        <v>570</v>
      </c>
      <c r="R96" s="874">
        <v>0.9</v>
      </c>
      <c r="S96" s="874">
        <v>1.55</v>
      </c>
      <c r="T96" s="875">
        <v>14.7</v>
      </c>
      <c r="U96" s="885"/>
      <c r="V96" s="885"/>
      <c r="W96" s="885"/>
      <c r="X96" s="885"/>
      <c r="Y96" s="885"/>
      <c r="Z96" s="877">
        <v>30</v>
      </c>
      <c r="AA96" s="882"/>
      <c r="AB96" s="882"/>
      <c r="AC96" s="882"/>
      <c r="AD96" s="373"/>
      <c r="AE96" s="1"/>
      <c r="AF96" s="1"/>
      <c r="AG96" s="1"/>
      <c r="AH96" s="1"/>
      <c r="AI96" s="1"/>
    </row>
    <row r="97" spans="2:35" s="35" customFormat="1" ht="14.1" hidden="1" customHeight="1" x14ac:dyDescent="0.25">
      <c r="B97" s="406"/>
      <c r="C97" s="440"/>
      <c r="D97" s="412"/>
      <c r="E97" s="438"/>
      <c r="F97" s="483"/>
      <c r="G97" s="727"/>
      <c r="H97" s="732"/>
      <c r="I97" s="732"/>
      <c r="J97" s="725">
        <v>2000</v>
      </c>
      <c r="K97" s="941">
        <v>10</v>
      </c>
      <c r="L97" s="714">
        <v>600</v>
      </c>
      <c r="M97" s="714">
        <v>45</v>
      </c>
      <c r="N97" s="934">
        <v>5000</v>
      </c>
      <c r="O97" s="714">
        <v>400</v>
      </c>
      <c r="P97" s="714">
        <v>40</v>
      </c>
      <c r="Q97" s="878">
        <v>3000</v>
      </c>
      <c r="R97" s="879">
        <v>5000</v>
      </c>
      <c r="S97" s="879">
        <v>5000</v>
      </c>
      <c r="T97" s="880">
        <v>900</v>
      </c>
      <c r="U97" s="708">
        <v>5000</v>
      </c>
      <c r="V97" s="715">
        <v>25</v>
      </c>
      <c r="W97" s="378"/>
      <c r="X97" s="715">
        <v>1000</v>
      </c>
      <c r="Y97" s="708">
        <v>5000</v>
      </c>
      <c r="Z97" s="883">
        <v>2000</v>
      </c>
      <c r="AA97" s="883">
        <v>100</v>
      </c>
      <c r="AB97" s="883">
        <v>300</v>
      </c>
      <c r="AC97" s="949">
        <v>1000</v>
      </c>
      <c r="AD97" s="473"/>
      <c r="AE97" s="1"/>
      <c r="AF97" s="1"/>
      <c r="AG97" s="1"/>
      <c r="AH97" s="1"/>
      <c r="AI97" s="1"/>
    </row>
    <row r="98" spans="2:35" s="35" customFormat="1" ht="14.1" hidden="1" customHeight="1" x14ac:dyDescent="0.25">
      <c r="B98" s="669">
        <v>15</v>
      </c>
      <c r="C98" s="504" t="s">
        <v>75</v>
      </c>
      <c r="D98" s="491">
        <v>0.17</v>
      </c>
      <c r="E98" s="492">
        <v>0.3</v>
      </c>
      <c r="F98" s="482"/>
      <c r="G98" s="709">
        <v>1850</v>
      </c>
      <c r="H98" s="710">
        <v>46</v>
      </c>
      <c r="I98" s="710">
        <v>35</v>
      </c>
      <c r="J98" s="724"/>
      <c r="K98" s="712"/>
      <c r="L98" s="710">
        <v>120</v>
      </c>
      <c r="M98" s="710">
        <v>19</v>
      </c>
      <c r="N98" s="718"/>
      <c r="O98" s="719"/>
      <c r="P98" s="719"/>
      <c r="Q98" s="873">
        <v>500</v>
      </c>
      <c r="R98" s="874">
        <v>0.9</v>
      </c>
      <c r="S98" s="874">
        <v>0.9</v>
      </c>
      <c r="T98" s="875">
        <v>12</v>
      </c>
      <c r="U98" s="886"/>
      <c r="V98" s="886"/>
      <c r="W98" s="886"/>
      <c r="X98" s="886"/>
      <c r="Y98" s="886"/>
      <c r="Z98" s="877">
        <v>35</v>
      </c>
      <c r="AA98" s="884"/>
      <c r="AB98" s="884"/>
      <c r="AC98" s="954"/>
      <c r="AD98" s="473"/>
      <c r="AE98" s="1"/>
      <c r="AF98" s="1"/>
      <c r="AG98" s="1"/>
      <c r="AH98" s="1"/>
      <c r="AI98" s="1"/>
    </row>
    <row r="99" spans="2:35" ht="14.1" hidden="1" customHeight="1" x14ac:dyDescent="0.25">
      <c r="B99" s="405"/>
      <c r="C99" s="441"/>
      <c r="D99" s="442"/>
      <c r="E99" s="443"/>
      <c r="F99" s="955"/>
      <c r="G99" s="729"/>
      <c r="H99" s="956"/>
      <c r="I99" s="956"/>
      <c r="J99" s="957">
        <v>2500</v>
      </c>
      <c r="K99" s="958">
        <v>3</v>
      </c>
      <c r="L99" s="959">
        <v>250</v>
      </c>
      <c r="M99" s="959">
        <v>40</v>
      </c>
      <c r="N99" s="960">
        <v>5000</v>
      </c>
      <c r="O99" s="958">
        <v>150</v>
      </c>
      <c r="P99" s="958">
        <v>12</v>
      </c>
      <c r="Q99" s="961">
        <v>1100</v>
      </c>
      <c r="R99" s="962">
        <v>5000</v>
      </c>
      <c r="S99" s="962">
        <v>5000</v>
      </c>
      <c r="T99" s="963">
        <v>220</v>
      </c>
      <c r="U99" s="964">
        <v>5000</v>
      </c>
      <c r="V99" s="958">
        <v>7</v>
      </c>
      <c r="W99" s="965"/>
      <c r="X99" s="966">
        <v>400</v>
      </c>
      <c r="Y99" s="964">
        <v>5000</v>
      </c>
      <c r="Z99" s="967">
        <v>650</v>
      </c>
      <c r="AA99" s="968">
        <v>75</v>
      </c>
      <c r="AB99" s="968">
        <v>120</v>
      </c>
      <c r="AC99" s="887">
        <v>1000</v>
      </c>
    </row>
    <row r="100" spans="2:35" s="35" customFormat="1" ht="14.1" hidden="1" customHeight="1" x14ac:dyDescent="0.25">
      <c r="B100" s="406"/>
      <c r="F100" s="35">
        <v>1</v>
      </c>
      <c r="G100" s="101"/>
      <c r="H100" s="285"/>
      <c r="I100" s="285"/>
      <c r="J100" s="285"/>
      <c r="K100" s="285"/>
      <c r="L100" s="285"/>
      <c r="M100" s="285"/>
      <c r="N100" s="285"/>
      <c r="O100" s="285"/>
      <c r="P100" s="285"/>
      <c r="Q100" s="285"/>
      <c r="R100" s="285"/>
    </row>
    <row r="101" spans="2:35" s="35" customFormat="1" ht="14.1" hidden="1" customHeight="1" x14ac:dyDescent="0.25">
      <c r="B101" s="406"/>
      <c r="C101" s="400" t="s">
        <v>315</v>
      </c>
      <c r="D101" s="399"/>
      <c r="E101" s="426"/>
      <c r="F101" s="409">
        <v>1</v>
      </c>
      <c r="G101" s="101"/>
      <c r="H101" s="285"/>
      <c r="I101" s="285"/>
      <c r="J101" s="408"/>
      <c r="K101" s="285"/>
      <c r="L101" s="285"/>
      <c r="M101" s="285"/>
      <c r="N101" s="285"/>
      <c r="O101" s="285"/>
      <c r="P101" s="285"/>
      <c r="Q101" s="285"/>
      <c r="R101" s="285"/>
    </row>
    <row r="102" spans="2:35" s="35" customFormat="1" ht="14.1" hidden="1" customHeight="1" x14ac:dyDescent="0.25">
      <c r="B102" s="406"/>
      <c r="C102" s="398" t="s">
        <v>82</v>
      </c>
      <c r="D102" s="376"/>
      <c r="E102" s="376"/>
      <c r="F102" s="401">
        <v>2100</v>
      </c>
      <c r="G102" s="285"/>
      <c r="H102" s="285"/>
      <c r="I102" s="285"/>
      <c r="J102" s="410"/>
      <c r="K102" s="285"/>
      <c r="L102" s="285"/>
      <c r="M102" s="285"/>
      <c r="N102" s="285"/>
      <c r="O102" s="285"/>
      <c r="P102" s="285"/>
      <c r="Q102" s="285"/>
      <c r="R102" s="285"/>
    </row>
    <row r="103" spans="2:35" s="35" customFormat="1" ht="14.1" hidden="1" customHeight="1" x14ac:dyDescent="0.25">
      <c r="B103" s="406"/>
      <c r="C103" s="402" t="s">
        <v>86</v>
      </c>
      <c r="D103" s="377"/>
      <c r="E103" s="377"/>
      <c r="F103" s="554">
        <f>VLOOKUP(GroupSelection,Req_EnergyPercents,3)</f>
        <v>0.17</v>
      </c>
      <c r="G103" s="412"/>
      <c r="H103" s="407"/>
      <c r="I103" s="407"/>
      <c r="J103" s="411"/>
      <c r="K103" s="285"/>
      <c r="L103" s="285"/>
      <c r="M103" s="285"/>
      <c r="N103" s="285"/>
      <c r="O103" s="285"/>
      <c r="P103" s="285"/>
      <c r="Q103" s="285"/>
      <c r="R103" s="285"/>
    </row>
    <row r="104" spans="2:35" s="35" customFormat="1" ht="14.1" hidden="1" customHeight="1" x14ac:dyDescent="0.25">
      <c r="B104" s="406"/>
      <c r="C104" s="402" t="s">
        <v>87</v>
      </c>
      <c r="D104" s="375"/>
      <c r="E104" s="375"/>
      <c r="F104" s="554">
        <f>VLOOKUP(GroupSelection,Req_EnergyPercents,4)</f>
        <v>0.3</v>
      </c>
      <c r="G104" s="412"/>
      <c r="H104" s="285"/>
      <c r="I104" s="285"/>
      <c r="J104" s="285"/>
      <c r="K104" s="285"/>
      <c r="L104" s="285"/>
      <c r="M104" s="285"/>
      <c r="N104" s="285"/>
      <c r="O104" s="285"/>
      <c r="P104" s="285"/>
      <c r="Q104" s="285"/>
      <c r="R104" s="285"/>
    </row>
    <row r="105" spans="2:35" s="35" customFormat="1" ht="15.75" hidden="1" x14ac:dyDescent="0.25">
      <c r="B105" s="405"/>
      <c r="C105" s="285"/>
      <c r="D105" s="285"/>
      <c r="E105" s="285"/>
      <c r="G105" s="285"/>
      <c r="H105" s="285"/>
      <c r="I105" s="285"/>
      <c r="J105" s="285"/>
      <c r="K105" s="285"/>
      <c r="L105" s="285"/>
      <c r="M105" s="285"/>
      <c r="N105" s="285"/>
      <c r="O105" s="285"/>
      <c r="P105" s="285"/>
      <c r="Q105" s="285"/>
      <c r="R105" s="285"/>
    </row>
    <row r="106" spans="2:35" s="35" customFormat="1" ht="15.75" hidden="1" x14ac:dyDescent="0.25">
      <c r="B106" s="405"/>
      <c r="C106" s="285"/>
      <c r="D106" s="285"/>
      <c r="E106" s="285"/>
      <c r="F106" s="404"/>
      <c r="G106" s="285"/>
      <c r="H106" s="285"/>
      <c r="I106" s="285"/>
      <c r="J106" s="285"/>
      <c r="K106" s="285"/>
      <c r="L106" s="285"/>
      <c r="M106" s="285"/>
      <c r="N106" s="285"/>
      <c r="O106" s="285"/>
      <c r="P106" s="285"/>
      <c r="Q106" s="285"/>
      <c r="R106" s="285"/>
    </row>
    <row r="107" spans="2:35" s="35" customFormat="1" ht="27.75" hidden="1" customHeight="1" x14ac:dyDescent="0.25">
      <c r="B107" s="405"/>
      <c r="C107" s="643" t="s">
        <v>586</v>
      </c>
      <c r="D107" s="644">
        <f>COUNTA(F110:F347)</f>
        <v>188</v>
      </c>
      <c r="E107" s="642"/>
      <c r="F107" s="463"/>
      <c r="G107" s="413"/>
      <c r="H107" s="414"/>
      <c r="I107" s="462" t="s">
        <v>116</v>
      </c>
      <c r="J107" s="461"/>
      <c r="K107" s="461"/>
      <c r="L107" s="461"/>
      <c r="M107" s="461"/>
      <c r="N107" s="461"/>
      <c r="O107" s="461"/>
      <c r="P107" s="461"/>
      <c r="Q107" s="415"/>
      <c r="R107" s="414"/>
      <c r="S107" s="413"/>
      <c r="T107" s="463"/>
      <c r="U107" s="463"/>
      <c r="V107" s="463"/>
      <c r="W107" s="463"/>
      <c r="X107" s="463"/>
      <c r="Y107" s="463"/>
      <c r="Z107" s="463"/>
      <c r="AA107" s="463"/>
      <c r="AB107" s="463"/>
      <c r="AC107" s="370"/>
    </row>
    <row r="108" spans="2:35" s="35" customFormat="1" ht="15.75" hidden="1" customHeight="1" x14ac:dyDescent="0.25">
      <c r="B108" s="405"/>
      <c r="C108" s="695"/>
      <c r="D108" s="696"/>
      <c r="E108" s="1"/>
      <c r="F108" s="1"/>
      <c r="G108" s="697" t="s">
        <v>330</v>
      </c>
      <c r="H108" s="698" t="s">
        <v>245</v>
      </c>
      <c r="I108" s="698" t="s">
        <v>246</v>
      </c>
      <c r="J108" s="701" t="s">
        <v>119</v>
      </c>
      <c r="K108" s="699" t="s">
        <v>641</v>
      </c>
      <c r="L108" s="699" t="s">
        <v>643</v>
      </c>
      <c r="M108" s="699" t="s">
        <v>645</v>
      </c>
      <c r="N108" s="699" t="s">
        <v>646</v>
      </c>
      <c r="O108" s="699" t="s">
        <v>648</v>
      </c>
      <c r="P108" s="1001" t="s">
        <v>649</v>
      </c>
      <c r="Q108" s="700" t="s">
        <v>281</v>
      </c>
      <c r="R108" s="698" t="s">
        <v>331</v>
      </c>
      <c r="S108" s="698" t="s">
        <v>332</v>
      </c>
      <c r="T108" s="698" t="s">
        <v>333</v>
      </c>
      <c r="U108" s="698" t="s">
        <v>334</v>
      </c>
      <c r="V108" s="698" t="s">
        <v>335</v>
      </c>
      <c r="W108" s="698" t="s">
        <v>336</v>
      </c>
      <c r="X108" s="701"/>
      <c r="Y108" s="698" t="s">
        <v>337</v>
      </c>
      <c r="Z108" s="698" t="s">
        <v>338</v>
      </c>
      <c r="AA108" s="698" t="s">
        <v>653</v>
      </c>
      <c r="AB108" s="698" t="s">
        <v>340</v>
      </c>
      <c r="AC108" s="702" t="s">
        <v>654</v>
      </c>
    </row>
    <row r="109" spans="2:35" s="35" customFormat="1" ht="21.75" hidden="1" customHeight="1" x14ac:dyDescent="0.25">
      <c r="B109" s="405"/>
      <c r="C109" s="427" t="s">
        <v>51</v>
      </c>
      <c r="D109" s="372" t="s">
        <v>104</v>
      </c>
      <c r="E109" s="459" t="s">
        <v>181</v>
      </c>
      <c r="F109" s="459" t="s">
        <v>585</v>
      </c>
      <c r="G109" s="458" t="s">
        <v>637</v>
      </c>
      <c r="H109" s="460" t="s">
        <v>638</v>
      </c>
      <c r="I109" s="460" t="s">
        <v>639</v>
      </c>
      <c r="J109" s="458" t="s">
        <v>640</v>
      </c>
      <c r="K109" s="458" t="s">
        <v>640</v>
      </c>
      <c r="L109" s="460" t="s">
        <v>642</v>
      </c>
      <c r="M109" s="460" t="s">
        <v>644</v>
      </c>
      <c r="N109" s="460" t="s">
        <v>640</v>
      </c>
      <c r="O109" s="460" t="s">
        <v>647</v>
      </c>
      <c r="P109" s="460" t="s">
        <v>640</v>
      </c>
      <c r="Q109" s="460" t="s">
        <v>650</v>
      </c>
      <c r="R109" s="460" t="s">
        <v>309</v>
      </c>
      <c r="S109" s="460" t="s">
        <v>308</v>
      </c>
      <c r="T109" s="460" t="s">
        <v>307</v>
      </c>
      <c r="U109" s="460" t="s">
        <v>304</v>
      </c>
      <c r="V109" s="460" t="s">
        <v>303</v>
      </c>
      <c r="W109" s="460" t="s">
        <v>651</v>
      </c>
      <c r="X109" s="460" t="s">
        <v>769</v>
      </c>
      <c r="Y109" s="460" t="s">
        <v>302</v>
      </c>
      <c r="Z109" s="460" t="s">
        <v>640</v>
      </c>
      <c r="AA109" s="460" t="s">
        <v>652</v>
      </c>
      <c r="AB109" s="460" t="s">
        <v>640</v>
      </c>
      <c r="AC109" s="464" t="s">
        <v>652</v>
      </c>
    </row>
    <row r="110" spans="2:35" s="35" customFormat="1" ht="14.1" hidden="1" customHeight="1" x14ac:dyDescent="0.25">
      <c r="B110" s="405"/>
      <c r="C110" s="588" t="s">
        <v>501</v>
      </c>
      <c r="D110" s="587" t="s">
        <v>449</v>
      </c>
      <c r="E110" s="586" t="s">
        <v>172</v>
      </c>
      <c r="F110" s="624" t="s">
        <v>11</v>
      </c>
      <c r="G110" s="591">
        <v>897</v>
      </c>
      <c r="H110" s="591">
        <v>0</v>
      </c>
      <c r="I110" s="591">
        <v>99.5</v>
      </c>
      <c r="J110" s="591">
        <v>0</v>
      </c>
      <c r="K110" s="591">
        <v>0</v>
      </c>
      <c r="L110" s="591"/>
      <c r="M110" s="591">
        <v>0</v>
      </c>
      <c r="N110" s="591">
        <v>0</v>
      </c>
      <c r="O110" s="591">
        <v>0</v>
      </c>
      <c r="P110" s="591">
        <v>0.11</v>
      </c>
      <c r="Q110" s="591">
        <v>0</v>
      </c>
      <c r="R110" s="1055">
        <v>0</v>
      </c>
      <c r="S110" s="1055">
        <v>0</v>
      </c>
      <c r="T110" s="591">
        <v>0</v>
      </c>
      <c r="U110" s="591">
        <v>0</v>
      </c>
      <c r="V110" s="591">
        <v>0</v>
      </c>
      <c r="W110" s="1002">
        <v>0</v>
      </c>
      <c r="X110" s="1029">
        <v>0</v>
      </c>
      <c r="Y110" s="1016">
        <v>0</v>
      </c>
      <c r="Z110" s="591">
        <v>0</v>
      </c>
      <c r="AA110" s="591">
        <v>2.5</v>
      </c>
      <c r="AB110" s="591">
        <v>0.6</v>
      </c>
      <c r="AC110" s="591">
        <v>0</v>
      </c>
    </row>
    <row r="111" spans="2:35" s="35" customFormat="1" ht="14.1" hidden="1" customHeight="1" x14ac:dyDescent="0.25">
      <c r="B111" s="405"/>
      <c r="C111" s="588" t="s">
        <v>562</v>
      </c>
      <c r="D111" s="570" t="s">
        <v>557</v>
      </c>
      <c r="E111" s="589" t="s">
        <v>248</v>
      </c>
      <c r="F111" s="595" t="s">
        <v>563</v>
      </c>
      <c r="G111" s="590">
        <v>46</v>
      </c>
      <c r="H111" s="590">
        <v>0.1</v>
      </c>
      <c r="I111" s="590">
        <v>0.13</v>
      </c>
      <c r="J111" s="590">
        <v>8</v>
      </c>
      <c r="K111" s="590">
        <v>1.2E-2</v>
      </c>
      <c r="L111" s="590"/>
      <c r="M111" s="590">
        <v>0.12</v>
      </c>
      <c r="N111" s="590">
        <v>5</v>
      </c>
      <c r="O111" s="590">
        <v>0.1</v>
      </c>
      <c r="P111" s="590">
        <v>0.02</v>
      </c>
      <c r="Q111" s="590">
        <v>0</v>
      </c>
      <c r="R111" s="1056">
        <v>2.1000000000000001E-2</v>
      </c>
      <c r="S111" s="1056">
        <v>1.7000000000000001E-2</v>
      </c>
      <c r="T111" s="590">
        <v>7.2999999999999995E-2</v>
      </c>
      <c r="U111" s="590">
        <v>4.9000000000000002E-2</v>
      </c>
      <c r="V111" s="590">
        <v>1.7999999999999999E-2</v>
      </c>
      <c r="W111" s="1003">
        <v>0</v>
      </c>
      <c r="X111" s="1030">
        <v>0</v>
      </c>
      <c r="Y111" s="1017">
        <v>0</v>
      </c>
      <c r="Z111" s="590">
        <v>0.9</v>
      </c>
      <c r="AA111" s="590">
        <v>0</v>
      </c>
      <c r="AB111" s="590">
        <v>0.01</v>
      </c>
      <c r="AC111" s="590">
        <v>0</v>
      </c>
    </row>
    <row r="112" spans="2:35" s="35" customFormat="1" ht="14.1" hidden="1" customHeight="1" x14ac:dyDescent="0.25">
      <c r="B112" s="405"/>
      <c r="C112" s="588" t="s">
        <v>545</v>
      </c>
      <c r="D112" s="570" t="s">
        <v>488</v>
      </c>
      <c r="E112" s="589" t="s">
        <v>248</v>
      </c>
      <c r="F112" s="595" t="s">
        <v>544</v>
      </c>
      <c r="G112" s="590">
        <v>52</v>
      </c>
      <c r="H112" s="590">
        <v>0.26</v>
      </c>
      <c r="I112" s="590">
        <v>0.17</v>
      </c>
      <c r="J112" s="590">
        <v>6</v>
      </c>
      <c r="K112" s="590">
        <v>2.7E-2</v>
      </c>
      <c r="L112" s="590"/>
      <c r="M112" s="590">
        <v>0.12</v>
      </c>
      <c r="N112" s="590">
        <v>5</v>
      </c>
      <c r="O112" s="590">
        <v>0</v>
      </c>
      <c r="P112" s="590">
        <v>0.04</v>
      </c>
      <c r="Q112" s="590">
        <v>3</v>
      </c>
      <c r="R112" s="1056">
        <v>1.7000000000000001E-2</v>
      </c>
      <c r="S112" s="1056">
        <v>2.5999999999999999E-2</v>
      </c>
      <c r="T112" s="590">
        <v>9.0999999999999998E-2</v>
      </c>
      <c r="U112" s="590">
        <v>6.0999999999999999E-2</v>
      </c>
      <c r="V112" s="590">
        <v>4.1000000000000002E-2</v>
      </c>
      <c r="W112" s="1003">
        <v>3</v>
      </c>
      <c r="X112" s="1030">
        <v>0</v>
      </c>
      <c r="Y112" s="1017">
        <v>0</v>
      </c>
      <c r="Z112" s="590">
        <v>4.5999999999999996</v>
      </c>
      <c r="AA112" s="590">
        <v>0</v>
      </c>
      <c r="AB112" s="590">
        <v>0.18</v>
      </c>
      <c r="AC112" s="590">
        <v>2.2000000000000002</v>
      </c>
    </row>
    <row r="113" spans="2:29" s="35" customFormat="1" ht="14.1" hidden="1" customHeight="1" x14ac:dyDescent="0.25">
      <c r="B113" s="405"/>
      <c r="C113" s="588" t="s">
        <v>358</v>
      </c>
      <c r="D113" s="570" t="s">
        <v>356</v>
      </c>
      <c r="E113" s="589" t="s">
        <v>248</v>
      </c>
      <c r="F113" s="595" t="s">
        <v>12</v>
      </c>
      <c r="G113" s="749">
        <v>320</v>
      </c>
      <c r="H113" s="749">
        <v>4.9000000000000004</v>
      </c>
      <c r="I113" s="749">
        <v>0.62</v>
      </c>
      <c r="J113" s="749">
        <v>61</v>
      </c>
      <c r="K113" s="749">
        <v>0.57599999999999996</v>
      </c>
      <c r="L113" s="749"/>
      <c r="M113" s="749">
        <v>6.31</v>
      </c>
      <c r="N113" s="749">
        <v>63</v>
      </c>
      <c r="O113" s="749"/>
      <c r="P113" s="749">
        <v>1</v>
      </c>
      <c r="Q113" s="749">
        <v>633</v>
      </c>
      <c r="R113" s="785">
        <v>4.2999999999999997E-2</v>
      </c>
      <c r="S113" s="785">
        <v>0.14799999999999999</v>
      </c>
      <c r="T113" s="749">
        <v>3.58</v>
      </c>
      <c r="U113" s="592">
        <v>1.0669999999999999</v>
      </c>
      <c r="V113" s="592">
        <v>0.52</v>
      </c>
      <c r="W113" s="1004">
        <v>4</v>
      </c>
      <c r="X113" s="1031">
        <v>0</v>
      </c>
      <c r="Y113" s="1018">
        <v>0</v>
      </c>
      <c r="Z113" s="749">
        <v>9.5</v>
      </c>
      <c r="AA113" s="592">
        <v>0</v>
      </c>
      <c r="AB113" s="592"/>
      <c r="AC113" s="592"/>
    </row>
    <row r="114" spans="2:29" s="35" customFormat="1" ht="14.1" hidden="1" customHeight="1" x14ac:dyDescent="0.25">
      <c r="B114" s="405"/>
      <c r="C114" s="588" t="s">
        <v>357</v>
      </c>
      <c r="D114" s="570" t="s">
        <v>356</v>
      </c>
      <c r="E114" s="589" t="s">
        <v>248</v>
      </c>
      <c r="F114" s="595" t="s">
        <v>13</v>
      </c>
      <c r="G114" s="749">
        <v>160</v>
      </c>
      <c r="H114" s="749">
        <v>2</v>
      </c>
      <c r="I114" s="749">
        <v>14.66</v>
      </c>
      <c r="J114" s="749">
        <v>12</v>
      </c>
      <c r="K114" s="749">
        <v>0.19</v>
      </c>
      <c r="L114" s="749"/>
      <c r="M114" s="749">
        <v>0.55000000000000004</v>
      </c>
      <c r="N114" s="749">
        <v>29</v>
      </c>
      <c r="O114" s="749">
        <v>0.4</v>
      </c>
      <c r="P114" s="749">
        <v>0.64</v>
      </c>
      <c r="Q114" s="749">
        <v>7</v>
      </c>
      <c r="R114" s="785">
        <v>6.7000000000000004E-2</v>
      </c>
      <c r="S114" s="785">
        <v>0.13</v>
      </c>
      <c r="T114" s="749">
        <v>1.738</v>
      </c>
      <c r="U114" s="592">
        <v>1.389</v>
      </c>
      <c r="V114" s="592">
        <v>0.25700000000000001</v>
      </c>
      <c r="W114" s="1004">
        <v>81</v>
      </c>
      <c r="X114" s="1031">
        <v>0</v>
      </c>
      <c r="Y114" s="1018">
        <v>0</v>
      </c>
      <c r="Z114" s="749">
        <v>10</v>
      </c>
      <c r="AA114" s="592">
        <v>0</v>
      </c>
      <c r="AB114" s="592">
        <v>2.0699999999999998</v>
      </c>
      <c r="AC114" s="592">
        <v>21</v>
      </c>
    </row>
    <row r="115" spans="2:29" s="35" customFormat="1" ht="14.1" hidden="1" customHeight="1" x14ac:dyDescent="0.25">
      <c r="B115" s="405"/>
      <c r="C115" s="588" t="s">
        <v>359</v>
      </c>
      <c r="D115" s="570" t="s">
        <v>356</v>
      </c>
      <c r="E115" s="589" t="s">
        <v>248</v>
      </c>
      <c r="F115" s="595" t="s">
        <v>14</v>
      </c>
      <c r="G115" s="749">
        <v>89</v>
      </c>
      <c r="H115" s="749">
        <v>1.0900000000000001</v>
      </c>
      <c r="I115" s="749">
        <v>0.33</v>
      </c>
      <c r="J115" s="749">
        <v>5</v>
      </c>
      <c r="K115" s="749">
        <v>7.8E-2</v>
      </c>
      <c r="L115" s="749"/>
      <c r="M115" s="749">
        <v>0.26</v>
      </c>
      <c r="N115" s="749">
        <v>27</v>
      </c>
      <c r="O115" s="749">
        <v>1</v>
      </c>
      <c r="P115" s="749">
        <v>0.15</v>
      </c>
      <c r="Q115" s="749">
        <v>3</v>
      </c>
      <c r="R115" s="785">
        <v>3.1E-2</v>
      </c>
      <c r="S115" s="785">
        <v>7.2999999999999995E-2</v>
      </c>
      <c r="T115" s="749">
        <v>0.66500000000000004</v>
      </c>
      <c r="U115" s="592">
        <v>0.33400000000000002</v>
      </c>
      <c r="V115" s="592">
        <v>0.36699999999999999</v>
      </c>
      <c r="W115" s="1004">
        <v>20</v>
      </c>
      <c r="X115" s="1031">
        <v>0</v>
      </c>
      <c r="Y115" s="1018">
        <v>0</v>
      </c>
      <c r="Z115" s="749">
        <v>8.6999999999999993</v>
      </c>
      <c r="AA115" s="592">
        <v>0</v>
      </c>
      <c r="AB115" s="592">
        <v>0.1</v>
      </c>
      <c r="AC115" s="592">
        <v>0.5</v>
      </c>
    </row>
    <row r="116" spans="2:29" s="35" customFormat="1" ht="14.1" hidden="1" customHeight="1" x14ac:dyDescent="0.25">
      <c r="B116" s="405"/>
      <c r="C116" s="588" t="s">
        <v>354</v>
      </c>
      <c r="D116" s="570" t="s">
        <v>355</v>
      </c>
      <c r="E116" s="589" t="s">
        <v>175</v>
      </c>
      <c r="F116" s="595" t="str">
        <f>"BARLEY, DEHULLED"</f>
        <v>BARLEY, DEHULLED</v>
      </c>
      <c r="G116" s="590">
        <v>354</v>
      </c>
      <c r="H116" s="590">
        <v>12.48</v>
      </c>
      <c r="I116" s="590">
        <v>2.2999999999999998</v>
      </c>
      <c r="J116" s="590">
        <v>33</v>
      </c>
      <c r="K116" s="590">
        <v>0.498</v>
      </c>
      <c r="L116" s="590"/>
      <c r="M116" s="590">
        <v>3.6</v>
      </c>
      <c r="N116" s="590">
        <v>133</v>
      </c>
      <c r="O116" s="590">
        <v>37.700000000000003</v>
      </c>
      <c r="P116" s="590">
        <v>2.77</v>
      </c>
      <c r="Q116" s="590">
        <v>1</v>
      </c>
      <c r="R116" s="1056">
        <v>0.64600000000000002</v>
      </c>
      <c r="S116" s="1056">
        <v>0.28499999999999998</v>
      </c>
      <c r="T116" s="590">
        <v>4.6040000000000001</v>
      </c>
      <c r="U116" s="590">
        <v>0.28199999999999997</v>
      </c>
      <c r="V116" s="590">
        <v>0.318</v>
      </c>
      <c r="W116" s="1003">
        <v>19</v>
      </c>
      <c r="X116" s="1030">
        <v>0</v>
      </c>
      <c r="Y116" s="1017">
        <v>0</v>
      </c>
      <c r="Z116" s="590">
        <v>0</v>
      </c>
      <c r="AA116" s="590">
        <v>0</v>
      </c>
      <c r="AB116" s="590">
        <v>0.56999999999999995</v>
      </c>
      <c r="AC116" s="590">
        <v>2.2000000000000002</v>
      </c>
    </row>
    <row r="117" spans="2:29" s="35" customFormat="1" ht="14.1" hidden="1" customHeight="1" x14ac:dyDescent="0.25">
      <c r="B117" s="405"/>
      <c r="C117" s="588" t="s">
        <v>620</v>
      </c>
      <c r="D117" s="570" t="s">
        <v>619</v>
      </c>
      <c r="E117" s="571" t="s">
        <v>173</v>
      </c>
      <c r="F117" s="595" t="s">
        <v>940</v>
      </c>
      <c r="G117" s="749">
        <v>233</v>
      </c>
      <c r="H117" s="749">
        <v>22.98</v>
      </c>
      <c r="I117" s="749">
        <v>4.07</v>
      </c>
      <c r="J117" s="749">
        <v>2240</v>
      </c>
      <c r="K117" s="749">
        <v>2.1</v>
      </c>
      <c r="L117" s="749"/>
      <c r="M117" s="749">
        <v>89.8</v>
      </c>
      <c r="N117" s="749">
        <v>711</v>
      </c>
      <c r="O117" s="749">
        <v>3</v>
      </c>
      <c r="P117" s="749">
        <v>7.1</v>
      </c>
      <c r="Q117" s="749">
        <v>37</v>
      </c>
      <c r="R117" s="785">
        <v>0.08</v>
      </c>
      <c r="S117" s="785">
        <v>1.2</v>
      </c>
      <c r="T117" s="749">
        <v>4.9000000000000004</v>
      </c>
      <c r="U117" s="592">
        <v>0.83799999999999997</v>
      </c>
      <c r="V117" s="592">
        <v>1.34</v>
      </c>
      <c r="W117" s="1004">
        <v>310</v>
      </c>
      <c r="X117" s="1031">
        <v>0</v>
      </c>
      <c r="Y117" s="1018">
        <v>0</v>
      </c>
      <c r="Z117" s="749">
        <v>0.8</v>
      </c>
      <c r="AA117" s="592">
        <v>0</v>
      </c>
      <c r="AB117" s="592">
        <v>10.7</v>
      </c>
      <c r="AC117" s="592">
        <v>1714.5</v>
      </c>
    </row>
    <row r="118" spans="2:29" s="35" customFormat="1" ht="14.1" hidden="1" customHeight="1" x14ac:dyDescent="0.25">
      <c r="B118" s="405"/>
      <c r="C118" s="588" t="s">
        <v>354</v>
      </c>
      <c r="D118" s="570" t="s">
        <v>356</v>
      </c>
      <c r="E118" s="589" t="s">
        <v>179</v>
      </c>
      <c r="F118" s="595" t="s">
        <v>564</v>
      </c>
      <c r="G118" s="749">
        <v>341</v>
      </c>
      <c r="H118" s="749">
        <v>21.6</v>
      </c>
      <c r="I118" s="749">
        <v>1.42</v>
      </c>
      <c r="J118" s="749">
        <v>123</v>
      </c>
      <c r="K118" s="749">
        <v>0.84099999999999997</v>
      </c>
      <c r="L118" s="749"/>
      <c r="M118" s="749">
        <v>5.0199999999999996</v>
      </c>
      <c r="N118" s="749">
        <v>171</v>
      </c>
      <c r="O118" s="749">
        <v>3.2</v>
      </c>
      <c r="P118" s="749">
        <v>3.65</v>
      </c>
      <c r="Q118" s="749">
        <v>0</v>
      </c>
      <c r="R118" s="785">
        <v>0.9</v>
      </c>
      <c r="S118" s="785">
        <v>0.193</v>
      </c>
      <c r="T118" s="749">
        <v>1.9550000000000001</v>
      </c>
      <c r="U118" s="592">
        <v>0.89900000000000002</v>
      </c>
      <c r="V118" s="592">
        <v>0.28599999999999998</v>
      </c>
      <c r="W118" s="1004">
        <v>444</v>
      </c>
      <c r="X118" s="1031">
        <v>0</v>
      </c>
      <c r="Y118" s="1018">
        <v>0</v>
      </c>
      <c r="Z118" s="749">
        <v>0</v>
      </c>
      <c r="AA118" s="592">
        <v>0</v>
      </c>
      <c r="AB118" s="592">
        <v>0.21</v>
      </c>
      <c r="AC118" s="592">
        <v>5.6</v>
      </c>
    </row>
    <row r="119" spans="2:29" s="35" customFormat="1" ht="14.1" hidden="1" customHeight="1" x14ac:dyDescent="0.25">
      <c r="B119" s="405"/>
      <c r="C119" s="569" t="s">
        <v>366</v>
      </c>
      <c r="D119" s="570" t="s">
        <v>356</v>
      </c>
      <c r="E119" s="593" t="s">
        <v>179</v>
      </c>
      <c r="F119" s="594" t="s">
        <v>9</v>
      </c>
      <c r="G119" s="782">
        <v>339.8</v>
      </c>
      <c r="H119" s="592">
        <v>22.029999999999998</v>
      </c>
      <c r="I119" s="592">
        <v>1.1659999999999999</v>
      </c>
      <c r="J119" s="592">
        <v>141.6</v>
      </c>
      <c r="K119" s="592">
        <v>0.86639999999999995</v>
      </c>
      <c r="L119" s="592"/>
      <c r="M119" s="592">
        <v>6.1999999999999993</v>
      </c>
      <c r="N119" s="592">
        <v>172.4</v>
      </c>
      <c r="O119" s="592">
        <v>13.6</v>
      </c>
      <c r="P119" s="592">
        <v>2.7160000000000002</v>
      </c>
      <c r="Q119" s="592">
        <v>0</v>
      </c>
      <c r="R119" s="1057">
        <v>0.68840000000000001</v>
      </c>
      <c r="S119" s="1057">
        <v>0.20480000000000001</v>
      </c>
      <c r="T119" s="592">
        <v>1.8538000000000001</v>
      </c>
      <c r="U119" s="592">
        <v>0.88080000000000003</v>
      </c>
      <c r="V119" s="592">
        <v>0.45459999999999995</v>
      </c>
      <c r="W119" s="1004">
        <v>445.6</v>
      </c>
      <c r="X119" s="1031">
        <v>0</v>
      </c>
      <c r="Y119" s="1018">
        <v>0</v>
      </c>
      <c r="Z119" s="750">
        <v>4.0250000000000004</v>
      </c>
      <c r="AA119" s="592">
        <v>0</v>
      </c>
      <c r="AB119" s="592">
        <v>0.17599999999999999</v>
      </c>
      <c r="AC119" s="592">
        <v>7.7600000000000007</v>
      </c>
    </row>
    <row r="120" spans="2:29" s="35" customFormat="1" ht="14.1" hidden="1" customHeight="1" x14ac:dyDescent="0.25">
      <c r="B120" s="405"/>
      <c r="C120" s="588" t="s">
        <v>360</v>
      </c>
      <c r="D120" s="570" t="s">
        <v>356</v>
      </c>
      <c r="E120" s="571" t="s">
        <v>179</v>
      </c>
      <c r="F120" s="572" t="s">
        <v>565</v>
      </c>
      <c r="G120" s="749">
        <v>339</v>
      </c>
      <c r="H120" s="749">
        <v>21.86</v>
      </c>
      <c r="I120" s="749">
        <v>1.1399999999999999</v>
      </c>
      <c r="J120" s="749">
        <v>175</v>
      </c>
      <c r="K120" s="749">
        <v>0.83699999999999997</v>
      </c>
      <c r="L120" s="749"/>
      <c r="M120" s="749">
        <v>5.47</v>
      </c>
      <c r="N120" s="749">
        <v>189</v>
      </c>
      <c r="O120" s="749">
        <v>12.9</v>
      </c>
      <c r="P120" s="749">
        <v>2.31</v>
      </c>
      <c r="Q120" s="749">
        <v>0</v>
      </c>
      <c r="R120" s="785">
        <v>0.65300000000000002</v>
      </c>
      <c r="S120" s="785">
        <v>0.23699999999999999</v>
      </c>
      <c r="T120" s="749">
        <v>1.9550000000000001</v>
      </c>
      <c r="U120" s="592">
        <v>1.0980000000000001</v>
      </c>
      <c r="V120" s="592">
        <v>0.44700000000000001</v>
      </c>
      <c r="W120" s="1004">
        <v>482</v>
      </c>
      <c r="X120" s="1031">
        <v>0</v>
      </c>
      <c r="Y120" s="1018">
        <v>0</v>
      </c>
      <c r="Z120" s="749">
        <v>5.3</v>
      </c>
      <c r="AA120" s="592">
        <v>0</v>
      </c>
      <c r="AB120" s="592">
        <v>0.22</v>
      </c>
      <c r="AC120" s="592">
        <v>6</v>
      </c>
    </row>
    <row r="121" spans="2:29" s="35" customFormat="1" ht="14.1" hidden="1" customHeight="1" x14ac:dyDescent="0.25">
      <c r="B121" s="405"/>
      <c r="C121" s="588" t="s">
        <v>362</v>
      </c>
      <c r="D121" s="570" t="s">
        <v>356</v>
      </c>
      <c r="E121" s="571" t="s">
        <v>179</v>
      </c>
      <c r="F121" s="572" t="s">
        <v>566</v>
      </c>
      <c r="G121" s="749">
        <v>333</v>
      </c>
      <c r="H121" s="749">
        <v>23.58</v>
      </c>
      <c r="I121" s="749">
        <v>0.83</v>
      </c>
      <c r="J121" s="749">
        <v>143</v>
      </c>
      <c r="K121" s="749">
        <v>0.95799999999999996</v>
      </c>
      <c r="L121" s="749"/>
      <c r="M121" s="749">
        <v>8.1999999999999993</v>
      </c>
      <c r="N121" s="749">
        <v>140</v>
      </c>
      <c r="O121" s="749">
        <v>3.2</v>
      </c>
      <c r="P121" s="749">
        <v>2.79</v>
      </c>
      <c r="Q121" s="749">
        <v>0</v>
      </c>
      <c r="R121" s="785">
        <v>0.52900000000000003</v>
      </c>
      <c r="S121" s="785">
        <v>0.219</v>
      </c>
      <c r="T121" s="749">
        <v>2.06</v>
      </c>
      <c r="U121" s="592">
        <v>0.78</v>
      </c>
      <c r="V121" s="592">
        <v>0.39700000000000002</v>
      </c>
      <c r="W121" s="1004">
        <v>394</v>
      </c>
      <c r="X121" s="1031">
        <v>0</v>
      </c>
      <c r="Y121" s="1018">
        <v>0</v>
      </c>
      <c r="Z121" s="749">
        <v>4.5</v>
      </c>
      <c r="AA121" s="592">
        <v>0</v>
      </c>
      <c r="AB121" s="592">
        <v>0.22</v>
      </c>
      <c r="AC121" s="592">
        <v>19</v>
      </c>
    </row>
    <row r="122" spans="2:29" s="35" customFormat="1" ht="14.1" hidden="1" customHeight="1" x14ac:dyDescent="0.25">
      <c r="B122" s="405"/>
      <c r="C122" s="588" t="s">
        <v>363</v>
      </c>
      <c r="D122" s="570" t="s">
        <v>356</v>
      </c>
      <c r="E122" s="571" t="s">
        <v>179</v>
      </c>
      <c r="F122" s="572" t="s">
        <v>569</v>
      </c>
      <c r="G122" s="749">
        <v>337</v>
      </c>
      <c r="H122" s="749">
        <v>22.33</v>
      </c>
      <c r="I122" s="749">
        <v>1.5</v>
      </c>
      <c r="J122" s="749">
        <v>147</v>
      </c>
      <c r="K122" s="749">
        <v>0.83399999999999996</v>
      </c>
      <c r="L122" s="749"/>
      <c r="M122" s="749">
        <v>5.49</v>
      </c>
      <c r="N122" s="749">
        <v>175</v>
      </c>
      <c r="O122" s="749">
        <v>11</v>
      </c>
      <c r="P122" s="749">
        <v>3.65</v>
      </c>
      <c r="Q122" s="749">
        <v>0</v>
      </c>
      <c r="R122" s="785">
        <v>0.77500000000000002</v>
      </c>
      <c r="S122" s="785">
        <v>0.16400000000000001</v>
      </c>
      <c r="T122" s="749">
        <v>2.1880000000000002</v>
      </c>
      <c r="U122" s="592">
        <v>0.74399999999999999</v>
      </c>
      <c r="V122" s="592">
        <v>0.42799999999999999</v>
      </c>
      <c r="W122" s="1004">
        <v>364</v>
      </c>
      <c r="X122" s="1031">
        <v>0</v>
      </c>
      <c r="Y122" s="1018">
        <v>0</v>
      </c>
      <c r="Z122" s="749"/>
      <c r="AA122" s="592">
        <v>0</v>
      </c>
      <c r="AB122" s="592">
        <v>0.02</v>
      </c>
      <c r="AC122" s="592">
        <v>2.5</v>
      </c>
    </row>
    <row r="123" spans="2:29" s="35" customFormat="1" ht="14.1" hidden="1" customHeight="1" x14ac:dyDescent="0.25">
      <c r="B123" s="405"/>
      <c r="C123" s="588" t="s">
        <v>364</v>
      </c>
      <c r="D123" s="570" t="s">
        <v>356</v>
      </c>
      <c r="E123" s="571" t="s">
        <v>179</v>
      </c>
      <c r="F123" s="572" t="s">
        <v>567</v>
      </c>
      <c r="G123" s="749">
        <v>343</v>
      </c>
      <c r="H123" s="749">
        <v>20.96</v>
      </c>
      <c r="I123" s="749">
        <v>1.1299999999999999</v>
      </c>
      <c r="J123" s="749">
        <v>130</v>
      </c>
      <c r="K123" s="749">
        <v>0.81</v>
      </c>
      <c r="L123" s="749"/>
      <c r="M123" s="749">
        <v>6.77</v>
      </c>
      <c r="N123" s="749">
        <v>182</v>
      </c>
      <c r="O123" s="749">
        <v>13</v>
      </c>
      <c r="P123" s="749">
        <v>2.5499999999999998</v>
      </c>
      <c r="Q123" s="749">
        <v>0</v>
      </c>
      <c r="R123" s="785">
        <v>0.77200000000000002</v>
      </c>
      <c r="S123" s="785">
        <v>0.192</v>
      </c>
      <c r="T123" s="749">
        <v>1.8919999999999999</v>
      </c>
      <c r="U123" s="592">
        <v>0.997</v>
      </c>
      <c r="V123" s="592">
        <v>0.52700000000000002</v>
      </c>
      <c r="W123" s="1004">
        <v>463</v>
      </c>
      <c r="X123" s="1031">
        <v>0</v>
      </c>
      <c r="Y123" s="1018">
        <v>0</v>
      </c>
      <c r="Z123" s="749">
        <v>0</v>
      </c>
      <c r="AA123" s="592">
        <v>0</v>
      </c>
      <c r="AB123" s="592">
        <v>0.21</v>
      </c>
      <c r="AC123" s="592">
        <v>5.7</v>
      </c>
    </row>
    <row r="124" spans="2:29" s="35" customFormat="1" ht="14.1" hidden="1" customHeight="1" x14ac:dyDescent="0.25">
      <c r="B124" s="405"/>
      <c r="C124" s="588" t="s">
        <v>365</v>
      </c>
      <c r="D124" s="570" t="s">
        <v>356</v>
      </c>
      <c r="E124" s="571" t="s">
        <v>179</v>
      </c>
      <c r="F124" s="572" t="s">
        <v>568</v>
      </c>
      <c r="G124" s="749">
        <v>347</v>
      </c>
      <c r="H124" s="749">
        <v>21.42</v>
      </c>
      <c r="I124" s="749">
        <v>1.23</v>
      </c>
      <c r="J124" s="749">
        <v>113</v>
      </c>
      <c r="K124" s="749">
        <v>0.89300000000000002</v>
      </c>
      <c r="L124" s="749"/>
      <c r="M124" s="749">
        <v>5.07</v>
      </c>
      <c r="N124" s="749">
        <v>176</v>
      </c>
      <c r="O124" s="749">
        <v>27.9</v>
      </c>
      <c r="P124" s="749">
        <v>2.2799999999999998</v>
      </c>
      <c r="Q124" s="749">
        <v>0</v>
      </c>
      <c r="R124" s="785">
        <v>0.71299999999999997</v>
      </c>
      <c r="S124" s="785">
        <v>0.21199999999999999</v>
      </c>
      <c r="T124" s="749">
        <v>1.1739999999999999</v>
      </c>
      <c r="U124" s="592">
        <v>0.78500000000000003</v>
      </c>
      <c r="V124" s="592">
        <v>0.47399999999999998</v>
      </c>
      <c r="W124" s="1004">
        <v>525</v>
      </c>
      <c r="X124" s="1031">
        <v>0</v>
      </c>
      <c r="Y124" s="1018">
        <v>0</v>
      </c>
      <c r="Z124" s="749">
        <v>6.3</v>
      </c>
      <c r="AA124" s="592">
        <v>0</v>
      </c>
      <c r="AB124" s="592">
        <v>0.21</v>
      </c>
      <c r="AC124" s="592">
        <v>5.6</v>
      </c>
    </row>
    <row r="125" spans="2:29" s="35" customFormat="1" ht="14.1" hidden="1" customHeight="1" x14ac:dyDescent="0.25">
      <c r="B125" s="405"/>
      <c r="C125" s="588" t="s">
        <v>361</v>
      </c>
      <c r="D125" s="570" t="s">
        <v>356</v>
      </c>
      <c r="E125" s="571" t="s">
        <v>179</v>
      </c>
      <c r="F125" s="572" t="s">
        <v>6</v>
      </c>
      <c r="G125" s="749">
        <v>446</v>
      </c>
      <c r="H125" s="749">
        <v>36.49</v>
      </c>
      <c r="I125" s="749">
        <v>19.940000000000001</v>
      </c>
      <c r="J125" s="749">
        <v>277</v>
      </c>
      <c r="K125" s="749">
        <v>1.6579999999999999</v>
      </c>
      <c r="L125" s="749"/>
      <c r="M125" s="749">
        <v>15.7</v>
      </c>
      <c r="N125" s="749">
        <v>280</v>
      </c>
      <c r="O125" s="749">
        <v>17.8</v>
      </c>
      <c r="P125" s="749">
        <v>4.8899999999999997</v>
      </c>
      <c r="Q125" s="749">
        <v>1</v>
      </c>
      <c r="R125" s="785">
        <v>0.874</v>
      </c>
      <c r="S125" s="785">
        <v>0.87</v>
      </c>
      <c r="T125" s="749">
        <v>1.623</v>
      </c>
      <c r="U125" s="592">
        <v>0.79300000000000004</v>
      </c>
      <c r="V125" s="592">
        <v>0.377</v>
      </c>
      <c r="W125" s="1004">
        <v>375</v>
      </c>
      <c r="X125" s="1031">
        <v>0</v>
      </c>
      <c r="Y125" s="1018">
        <v>0</v>
      </c>
      <c r="Z125" s="749">
        <v>6</v>
      </c>
      <c r="AA125" s="592">
        <v>0</v>
      </c>
      <c r="AB125" s="592">
        <v>0.85</v>
      </c>
      <c r="AC125" s="592">
        <v>47</v>
      </c>
    </row>
    <row r="126" spans="2:29" s="35" customFormat="1" ht="14.1" hidden="1" customHeight="1" x14ac:dyDescent="0.25">
      <c r="B126" s="405"/>
      <c r="C126" s="588" t="s">
        <v>418</v>
      </c>
      <c r="D126" s="570" t="s">
        <v>368</v>
      </c>
      <c r="E126" s="571" t="s">
        <v>250</v>
      </c>
      <c r="F126" s="572" t="s">
        <v>417</v>
      </c>
      <c r="G126" s="749">
        <v>135</v>
      </c>
      <c r="H126" s="749">
        <v>20.36</v>
      </c>
      <c r="I126" s="749">
        <v>3.63</v>
      </c>
      <c r="J126" s="749">
        <v>5</v>
      </c>
      <c r="K126" s="749">
        <v>9.7550000000000008</v>
      </c>
      <c r="L126" s="749"/>
      <c r="M126" s="749">
        <v>4.9000000000000004</v>
      </c>
      <c r="N126" s="749">
        <v>18</v>
      </c>
      <c r="O126" s="749">
        <v>39.700000000000003</v>
      </c>
      <c r="P126" s="749">
        <v>4</v>
      </c>
      <c r="Q126" s="749">
        <v>4968</v>
      </c>
      <c r="R126" s="785">
        <v>0.189</v>
      </c>
      <c r="S126" s="785">
        <v>2.7549999999999999</v>
      </c>
      <c r="T126" s="749">
        <v>13.175000000000001</v>
      </c>
      <c r="U126" s="592">
        <v>7.173</v>
      </c>
      <c r="V126" s="592">
        <v>1.083</v>
      </c>
      <c r="W126" s="1004">
        <v>290</v>
      </c>
      <c r="X126" s="1031">
        <v>0</v>
      </c>
      <c r="Y126" s="1018">
        <v>59.3</v>
      </c>
      <c r="Z126" s="749">
        <v>1.3</v>
      </c>
      <c r="AA126" s="592">
        <v>1.2</v>
      </c>
      <c r="AB126" s="592">
        <v>0.38</v>
      </c>
      <c r="AC126" s="592">
        <v>3.1</v>
      </c>
    </row>
    <row r="127" spans="2:29" s="35" customFormat="1" ht="14.1" hidden="1" customHeight="1" x14ac:dyDescent="0.25">
      <c r="B127" s="405"/>
      <c r="C127" s="569" t="s">
        <v>367</v>
      </c>
      <c r="D127" s="570" t="s">
        <v>368</v>
      </c>
      <c r="E127" s="593" t="s">
        <v>250</v>
      </c>
      <c r="F127" s="594" t="s">
        <v>15</v>
      </c>
      <c r="G127" s="750">
        <v>234</v>
      </c>
      <c r="H127" s="750">
        <v>18.68</v>
      </c>
      <c r="I127" s="750">
        <v>17.149999999999999</v>
      </c>
      <c r="J127" s="750">
        <v>7</v>
      </c>
      <c r="K127" s="750">
        <v>7.0999999999999994E-2</v>
      </c>
      <c r="L127" s="750"/>
      <c r="M127" s="750">
        <v>1.91</v>
      </c>
      <c r="N127" s="750">
        <v>19</v>
      </c>
      <c r="O127" s="750">
        <v>14</v>
      </c>
      <c r="P127" s="750">
        <v>3.75</v>
      </c>
      <c r="Q127" s="750">
        <v>0</v>
      </c>
      <c r="R127" s="1058">
        <v>0.1</v>
      </c>
      <c r="S127" s="1058">
        <v>0.16</v>
      </c>
      <c r="T127" s="750">
        <v>3.23</v>
      </c>
      <c r="U127" s="592">
        <v>0.32</v>
      </c>
      <c r="V127" s="592">
        <v>0.39</v>
      </c>
      <c r="W127" s="1004">
        <v>6</v>
      </c>
      <c r="X127" s="1031">
        <v>0</v>
      </c>
      <c r="Y127" s="1018">
        <v>2.95</v>
      </c>
      <c r="Z127" s="750">
        <v>0</v>
      </c>
      <c r="AA127" s="592"/>
      <c r="AB127" s="592"/>
      <c r="AC127" s="592"/>
    </row>
    <row r="128" spans="2:29" s="35" customFormat="1" ht="14.1" hidden="1" customHeight="1" x14ac:dyDescent="0.25">
      <c r="B128" s="405"/>
      <c r="C128" s="776" t="s">
        <v>91</v>
      </c>
      <c r="D128" s="599" t="s">
        <v>557</v>
      </c>
      <c r="E128" s="618" t="s">
        <v>954</v>
      </c>
      <c r="F128" s="781" t="s">
        <v>88</v>
      </c>
      <c r="G128" s="751">
        <v>458</v>
      </c>
      <c r="H128" s="751">
        <v>14.7</v>
      </c>
      <c r="I128" s="751">
        <v>17</v>
      </c>
      <c r="J128" s="751">
        <v>600</v>
      </c>
      <c r="K128" s="751">
        <v>1</v>
      </c>
      <c r="L128" s="751">
        <v>100</v>
      </c>
      <c r="M128" s="751">
        <v>10</v>
      </c>
      <c r="N128" s="751">
        <v>120</v>
      </c>
      <c r="O128" s="751">
        <v>25</v>
      </c>
      <c r="P128" s="751">
        <v>10</v>
      </c>
      <c r="Q128" s="751">
        <v>470.1</v>
      </c>
      <c r="R128" s="1059">
        <v>0.52</v>
      </c>
      <c r="S128" s="1059">
        <v>0.8</v>
      </c>
      <c r="T128" s="751">
        <v>8</v>
      </c>
      <c r="U128" s="752">
        <v>3</v>
      </c>
      <c r="V128" s="752">
        <v>0.87</v>
      </c>
      <c r="W128" s="1005">
        <f>X128*1.7</f>
        <v>221</v>
      </c>
      <c r="X128" s="1032">
        <v>130</v>
      </c>
      <c r="Y128" s="1019">
        <v>1.3</v>
      </c>
      <c r="Z128" s="751">
        <v>40</v>
      </c>
      <c r="AA128" s="752">
        <v>4.3</v>
      </c>
      <c r="AB128" s="752">
        <v>7</v>
      </c>
      <c r="AC128" s="752"/>
    </row>
    <row r="129" spans="2:29" s="35" customFormat="1" ht="14.1" hidden="1" customHeight="1" x14ac:dyDescent="0.25">
      <c r="B129" s="405"/>
      <c r="C129" s="588" t="s">
        <v>369</v>
      </c>
      <c r="D129" s="570" t="s">
        <v>368</v>
      </c>
      <c r="E129" s="571" t="s">
        <v>173</v>
      </c>
      <c r="F129" s="595" t="s">
        <v>570</v>
      </c>
      <c r="G129" s="749">
        <v>270</v>
      </c>
      <c r="H129" s="749">
        <v>10.37</v>
      </c>
      <c r="I129" s="749">
        <v>3.44</v>
      </c>
      <c r="J129" s="749">
        <v>138</v>
      </c>
      <c r="K129" s="749">
        <v>0.161</v>
      </c>
      <c r="L129" s="749"/>
      <c r="M129" s="749">
        <v>3.52</v>
      </c>
      <c r="N129" s="749">
        <v>46</v>
      </c>
      <c r="O129" s="749">
        <v>28.8</v>
      </c>
      <c r="P129" s="749">
        <v>1.18</v>
      </c>
      <c r="Q129" s="749">
        <v>0</v>
      </c>
      <c r="R129" s="785">
        <v>0.47099999999999997</v>
      </c>
      <c r="S129" s="785">
        <v>0.27</v>
      </c>
      <c r="T129" s="749">
        <v>5.9329999999999998</v>
      </c>
      <c r="U129" s="592">
        <v>0.82</v>
      </c>
      <c r="V129" s="592">
        <v>0.107</v>
      </c>
      <c r="W129" s="1004">
        <v>99</v>
      </c>
      <c r="X129" s="1031">
        <v>20</v>
      </c>
      <c r="Y129" s="1018">
        <v>0</v>
      </c>
      <c r="Z129" s="749">
        <v>0.2</v>
      </c>
      <c r="AA129" s="592">
        <v>0</v>
      </c>
      <c r="AB129" s="592">
        <v>0.19</v>
      </c>
      <c r="AC129" s="592">
        <v>4.9000000000000004</v>
      </c>
    </row>
    <row r="130" spans="2:29" s="35" customFormat="1" ht="14.1" hidden="1" customHeight="1" x14ac:dyDescent="0.25">
      <c r="B130" s="405"/>
      <c r="C130" s="588" t="s">
        <v>436</v>
      </c>
      <c r="D130" s="570" t="s">
        <v>376</v>
      </c>
      <c r="E130" s="571" t="s">
        <v>178</v>
      </c>
      <c r="F130" s="572" t="s">
        <v>866</v>
      </c>
      <c r="G130" s="749">
        <v>70</v>
      </c>
      <c r="H130" s="749">
        <v>1.03</v>
      </c>
      <c r="I130" s="749">
        <v>4.38</v>
      </c>
      <c r="J130" s="749">
        <v>32</v>
      </c>
      <c r="K130" s="749">
        <v>5.1999999999999998E-2</v>
      </c>
      <c r="L130" s="749"/>
      <c r="M130" s="749">
        <v>0.03</v>
      </c>
      <c r="N130" s="749">
        <v>3</v>
      </c>
      <c r="O130" s="749">
        <v>1.8</v>
      </c>
      <c r="P130" s="749">
        <v>0.17</v>
      </c>
      <c r="Q130" s="749">
        <v>61</v>
      </c>
      <c r="R130" s="785">
        <v>1.4E-2</v>
      </c>
      <c r="S130" s="785">
        <v>3.5999999999999997E-2</v>
      </c>
      <c r="T130" s="749">
        <v>0.17699999999999999</v>
      </c>
      <c r="U130" s="592">
        <v>0.223</v>
      </c>
      <c r="V130" s="592">
        <v>1.0999999999999999E-2</v>
      </c>
      <c r="W130" s="1004">
        <v>5</v>
      </c>
      <c r="X130" s="1031">
        <v>0</v>
      </c>
      <c r="Y130" s="1018">
        <v>0.05</v>
      </c>
      <c r="Z130" s="749">
        <v>5</v>
      </c>
      <c r="AA130" s="592">
        <v>0.1</v>
      </c>
      <c r="AB130" s="592">
        <v>0.08</v>
      </c>
      <c r="AC130" s="592">
        <v>0.3</v>
      </c>
    </row>
    <row r="131" spans="2:29" s="35" customFormat="1" ht="14.1" hidden="1" customHeight="1" x14ac:dyDescent="0.25">
      <c r="B131" s="405"/>
      <c r="C131" s="569" t="s">
        <v>872</v>
      </c>
      <c r="D131" s="570" t="s">
        <v>869</v>
      </c>
      <c r="E131" s="589" t="s">
        <v>175</v>
      </c>
      <c r="F131" s="572" t="s">
        <v>871</v>
      </c>
      <c r="G131" s="749">
        <v>335</v>
      </c>
      <c r="H131" s="749">
        <v>12.62</v>
      </c>
      <c r="I131" s="749">
        <v>3.1</v>
      </c>
      <c r="J131" s="749">
        <v>41</v>
      </c>
      <c r="K131" s="749">
        <v>0.51500000000000001</v>
      </c>
      <c r="L131" s="749"/>
      <c r="M131" s="749">
        <v>4.0599999999999996</v>
      </c>
      <c r="N131" s="749">
        <v>251</v>
      </c>
      <c r="O131" s="749">
        <v>5.7</v>
      </c>
      <c r="P131" s="749">
        <v>3.12</v>
      </c>
      <c r="Q131" s="749">
        <v>0</v>
      </c>
      <c r="R131" s="785">
        <v>0.41699999999999998</v>
      </c>
      <c r="S131" s="785">
        <v>0.19</v>
      </c>
      <c r="T131" s="749">
        <v>6.15</v>
      </c>
      <c r="U131" s="592">
        <v>0.44</v>
      </c>
      <c r="V131" s="592">
        <v>0.58199999999999996</v>
      </c>
      <c r="W131" s="1004">
        <v>54</v>
      </c>
      <c r="X131" s="1031">
        <v>0</v>
      </c>
      <c r="Y131" s="1018">
        <v>0</v>
      </c>
      <c r="Z131" s="749">
        <v>0</v>
      </c>
      <c r="AA131" s="592">
        <v>0</v>
      </c>
      <c r="AB131" s="592">
        <v>0.32</v>
      </c>
      <c r="AC131" s="592">
        <v>7</v>
      </c>
    </row>
    <row r="132" spans="2:29" s="35" customFormat="1" ht="14.1" hidden="1" customHeight="1" x14ac:dyDescent="0.25">
      <c r="B132" s="405"/>
      <c r="C132" s="569" t="s">
        <v>868</v>
      </c>
      <c r="D132" s="570" t="s">
        <v>869</v>
      </c>
      <c r="E132" s="589" t="s">
        <v>175</v>
      </c>
      <c r="F132" s="572" t="s">
        <v>870</v>
      </c>
      <c r="G132" s="749">
        <v>343</v>
      </c>
      <c r="H132" s="749">
        <v>13.25</v>
      </c>
      <c r="I132" s="749">
        <v>3.4</v>
      </c>
      <c r="J132" s="749">
        <v>18</v>
      </c>
      <c r="K132" s="749">
        <v>1.1000000000000001</v>
      </c>
      <c r="L132" s="749"/>
      <c r="M132" s="749">
        <v>2.2000000000000002</v>
      </c>
      <c r="N132" s="749">
        <v>231</v>
      </c>
      <c r="O132" s="749">
        <v>8.3000000000000007</v>
      </c>
      <c r="P132" s="749">
        <v>2.4</v>
      </c>
      <c r="Q132" s="749">
        <v>0</v>
      </c>
      <c r="R132" s="785">
        <v>0.10100000000000001</v>
      </c>
      <c r="S132" s="785">
        <v>0.42499999999999999</v>
      </c>
      <c r="T132" s="749">
        <v>7.02</v>
      </c>
      <c r="U132" s="592">
        <v>1.2330000000000001</v>
      </c>
      <c r="V132" s="592">
        <v>0.21</v>
      </c>
      <c r="W132" s="1004">
        <v>30</v>
      </c>
      <c r="X132" s="1031">
        <v>0</v>
      </c>
      <c r="Y132" s="1018">
        <v>0</v>
      </c>
      <c r="Z132" s="749">
        <v>0</v>
      </c>
      <c r="AA132" s="592">
        <v>0</v>
      </c>
      <c r="AB132" s="592"/>
      <c r="AC132" s="592"/>
    </row>
    <row r="133" spans="2:29" s="35" customFormat="1" ht="14.1" hidden="1" customHeight="1" x14ac:dyDescent="0.25">
      <c r="B133" s="405"/>
      <c r="C133" s="569" t="s">
        <v>370</v>
      </c>
      <c r="D133" s="570" t="s">
        <v>368</v>
      </c>
      <c r="E133" s="571" t="s">
        <v>175</v>
      </c>
      <c r="F133" s="572" t="s">
        <v>16</v>
      </c>
      <c r="G133" s="749">
        <v>342</v>
      </c>
      <c r="H133" s="749">
        <v>12.29</v>
      </c>
      <c r="I133" s="749">
        <v>1.33</v>
      </c>
      <c r="J133" s="749">
        <v>35</v>
      </c>
      <c r="K133" s="749">
        <v>0.33500000000000002</v>
      </c>
      <c r="L133" s="749"/>
      <c r="M133" s="749">
        <v>2.46</v>
      </c>
      <c r="N133" s="749">
        <v>164</v>
      </c>
      <c r="O133" s="749">
        <v>2.2999999999999998</v>
      </c>
      <c r="P133" s="749">
        <v>1.93</v>
      </c>
      <c r="Q133" s="749">
        <v>0</v>
      </c>
      <c r="R133" s="785">
        <v>0.23200000000000001</v>
      </c>
      <c r="S133" s="785">
        <v>0.115</v>
      </c>
      <c r="T133" s="749">
        <v>5.1139999999999999</v>
      </c>
      <c r="U133" s="592">
        <v>1.0449999999999999</v>
      </c>
      <c r="V133" s="592">
        <v>0.34200000000000003</v>
      </c>
      <c r="W133" s="1004">
        <v>27</v>
      </c>
      <c r="X133" s="1031">
        <v>0</v>
      </c>
      <c r="Y133" s="1018">
        <v>0</v>
      </c>
      <c r="Z133" s="749">
        <v>0</v>
      </c>
      <c r="AA133" s="592">
        <v>0</v>
      </c>
      <c r="AB133" s="592">
        <v>0.06</v>
      </c>
      <c r="AC133" s="592">
        <v>1.9</v>
      </c>
    </row>
    <row r="134" spans="2:29" s="35" customFormat="1" ht="14.1" hidden="1" customHeight="1" x14ac:dyDescent="0.25">
      <c r="B134" s="405"/>
      <c r="C134" s="775" t="s">
        <v>502</v>
      </c>
      <c r="D134" s="610" t="s">
        <v>449</v>
      </c>
      <c r="E134" s="611" t="s">
        <v>175</v>
      </c>
      <c r="F134" s="612" t="s">
        <v>510</v>
      </c>
      <c r="G134" s="753">
        <v>342</v>
      </c>
      <c r="H134" s="753">
        <v>12.29</v>
      </c>
      <c r="I134" s="753">
        <v>1.33</v>
      </c>
      <c r="J134" s="753">
        <v>35</v>
      </c>
      <c r="K134" s="753"/>
      <c r="L134" s="753"/>
      <c r="M134" s="753">
        <v>6.46</v>
      </c>
      <c r="N134" s="753">
        <v>164</v>
      </c>
      <c r="O134" s="753"/>
      <c r="P134" s="753">
        <v>4.33</v>
      </c>
      <c r="Q134" s="753">
        <v>110</v>
      </c>
      <c r="R134" s="1060">
        <v>0.63</v>
      </c>
      <c r="S134" s="1060">
        <v>0.52</v>
      </c>
      <c r="T134" s="753">
        <v>9.11</v>
      </c>
      <c r="U134" s="628"/>
      <c r="V134" s="628">
        <v>0.74</v>
      </c>
      <c r="W134" s="1006">
        <v>181</v>
      </c>
      <c r="X134" s="1033">
        <f>154/1.7</f>
        <v>90.588235294117652</v>
      </c>
      <c r="Y134" s="1020">
        <v>11</v>
      </c>
      <c r="Z134" s="753">
        <v>0</v>
      </c>
      <c r="AA134" s="628">
        <v>2</v>
      </c>
      <c r="AB134" s="628">
        <v>0.06</v>
      </c>
      <c r="AC134" s="628">
        <v>1.9</v>
      </c>
    </row>
    <row r="135" spans="2:29" s="35" customFormat="1" ht="14.1" hidden="1" customHeight="1" x14ac:dyDescent="0.25">
      <c r="B135" s="405"/>
      <c r="C135" s="588" t="s">
        <v>372</v>
      </c>
      <c r="D135" s="570" t="s">
        <v>368</v>
      </c>
      <c r="E135" s="571" t="s">
        <v>172</v>
      </c>
      <c r="F135" s="572" t="s">
        <v>371</v>
      </c>
      <c r="G135" s="749">
        <v>717</v>
      </c>
      <c r="H135" s="749">
        <v>0.85</v>
      </c>
      <c r="I135" s="749">
        <v>81.11</v>
      </c>
      <c r="J135" s="749">
        <v>24</v>
      </c>
      <c r="K135" s="749">
        <v>0</v>
      </c>
      <c r="L135" s="749"/>
      <c r="M135" s="749">
        <v>0.02</v>
      </c>
      <c r="N135" s="749">
        <v>2</v>
      </c>
      <c r="O135" s="749">
        <v>1</v>
      </c>
      <c r="P135" s="749">
        <v>0.09</v>
      </c>
      <c r="Q135" s="749">
        <v>684</v>
      </c>
      <c r="R135" s="785">
        <v>5.0000000000000001E-3</v>
      </c>
      <c r="S135" s="785">
        <v>3.4000000000000002E-2</v>
      </c>
      <c r="T135" s="749">
        <v>4.2000000000000003E-2</v>
      </c>
      <c r="U135" s="592">
        <v>0.11</v>
      </c>
      <c r="V135" s="592">
        <v>3.0000000000000001E-3</v>
      </c>
      <c r="W135" s="1004">
        <v>3</v>
      </c>
      <c r="X135" s="1031">
        <v>0</v>
      </c>
      <c r="Y135" s="1018">
        <v>0.17</v>
      </c>
      <c r="Z135" s="749">
        <v>0</v>
      </c>
      <c r="AA135" s="592">
        <v>1.5</v>
      </c>
      <c r="AB135" s="592">
        <v>2.3199999999999998</v>
      </c>
      <c r="AC135" s="592">
        <v>7</v>
      </c>
    </row>
    <row r="136" spans="2:29" s="35" customFormat="1" ht="14.1" hidden="1" customHeight="1" x14ac:dyDescent="0.25">
      <c r="B136" s="405"/>
      <c r="C136" s="588" t="s">
        <v>411</v>
      </c>
      <c r="D136" s="570" t="s">
        <v>488</v>
      </c>
      <c r="E136" s="593" t="s">
        <v>176</v>
      </c>
      <c r="F136" s="572" t="s">
        <v>546</v>
      </c>
      <c r="G136" s="749">
        <v>25</v>
      </c>
      <c r="H136" s="749">
        <v>1.28</v>
      </c>
      <c r="I136" s="749">
        <v>0.1</v>
      </c>
      <c r="J136" s="749">
        <v>40</v>
      </c>
      <c r="K136" s="749">
        <v>1.9E-2</v>
      </c>
      <c r="L136" s="749"/>
      <c r="M136" s="749">
        <v>0.47</v>
      </c>
      <c r="N136" s="749">
        <v>12</v>
      </c>
      <c r="O136" s="749">
        <v>0.3</v>
      </c>
      <c r="P136" s="749">
        <v>0.18</v>
      </c>
      <c r="Q136" s="749">
        <v>5</v>
      </c>
      <c r="R136" s="785">
        <v>6.0999999999999999E-2</v>
      </c>
      <c r="S136" s="785">
        <v>0.04</v>
      </c>
      <c r="T136" s="749">
        <v>0.23400000000000001</v>
      </c>
      <c r="U136" s="592">
        <v>0.21199999999999999</v>
      </c>
      <c r="V136" s="592">
        <v>0.124</v>
      </c>
      <c r="W136" s="1004">
        <v>43</v>
      </c>
      <c r="X136" s="1031">
        <v>0</v>
      </c>
      <c r="Y136" s="1018">
        <v>0</v>
      </c>
      <c r="Z136" s="749">
        <v>36.6</v>
      </c>
      <c r="AA136" s="592">
        <v>0</v>
      </c>
      <c r="AB136" s="592">
        <v>0.15</v>
      </c>
      <c r="AC136" s="592">
        <v>76</v>
      </c>
    </row>
    <row r="137" spans="2:29" s="35" customFormat="1" ht="14.1" hidden="1" customHeight="1" x14ac:dyDescent="0.25">
      <c r="B137" s="405"/>
      <c r="C137" s="569" t="s">
        <v>572</v>
      </c>
      <c r="D137" s="570" t="s">
        <v>557</v>
      </c>
      <c r="E137" s="571" t="s">
        <v>173</v>
      </c>
      <c r="F137" s="572" t="s">
        <v>571</v>
      </c>
      <c r="G137" s="749">
        <v>290</v>
      </c>
      <c r="H137" s="749">
        <v>5.4</v>
      </c>
      <c r="I137" s="749">
        <v>2.7</v>
      </c>
      <c r="J137" s="749">
        <v>70</v>
      </c>
      <c r="K137" s="749">
        <v>6.2E-2</v>
      </c>
      <c r="L137" s="749"/>
      <c r="M137" s="749">
        <v>2.72</v>
      </c>
      <c r="N137" s="749">
        <v>11</v>
      </c>
      <c r="O137" s="749">
        <v>9.1</v>
      </c>
      <c r="P137" s="749">
        <v>0.51</v>
      </c>
      <c r="Q137" s="749">
        <v>44</v>
      </c>
      <c r="R137" s="785">
        <v>0.24299999999999999</v>
      </c>
      <c r="S137" s="785">
        <v>0.26900000000000002</v>
      </c>
      <c r="T137" s="749">
        <v>1.9319999999999999</v>
      </c>
      <c r="U137" s="592">
        <v>0.47799999999999998</v>
      </c>
      <c r="V137" s="592">
        <v>5.1999999999999998E-2</v>
      </c>
      <c r="W137" s="1004">
        <v>71</v>
      </c>
      <c r="X137" s="1031">
        <v>34</v>
      </c>
      <c r="Y137" s="1018">
        <v>0.24</v>
      </c>
      <c r="Z137" s="749">
        <v>0</v>
      </c>
      <c r="AA137" s="592">
        <v>0.2</v>
      </c>
      <c r="AB137" s="592">
        <v>0.24</v>
      </c>
      <c r="AC137" s="592">
        <v>0.2</v>
      </c>
    </row>
    <row r="138" spans="2:29" s="35" customFormat="1" ht="14.1" hidden="1" customHeight="1" x14ac:dyDescent="0.25">
      <c r="B138" s="405"/>
      <c r="C138" s="772" t="s">
        <v>92</v>
      </c>
      <c r="D138" s="632"/>
      <c r="E138" s="630" t="s">
        <v>250</v>
      </c>
      <c r="F138" s="631" t="s">
        <v>17</v>
      </c>
      <c r="G138" s="754">
        <v>220</v>
      </c>
      <c r="H138" s="754">
        <v>21</v>
      </c>
      <c r="I138" s="754">
        <v>15</v>
      </c>
      <c r="J138" s="754">
        <v>14</v>
      </c>
      <c r="K138" s="754"/>
      <c r="L138" s="754"/>
      <c r="M138" s="754">
        <v>4.0999999999999996</v>
      </c>
      <c r="N138" s="754"/>
      <c r="O138" s="754"/>
      <c r="P138" s="754"/>
      <c r="Q138" s="754">
        <v>0</v>
      </c>
      <c r="R138" s="1061">
        <v>0.2</v>
      </c>
      <c r="S138" s="1061">
        <v>0.23</v>
      </c>
      <c r="T138" s="754">
        <v>3.2</v>
      </c>
      <c r="U138" s="755"/>
      <c r="V138" s="755"/>
      <c r="W138" s="1007"/>
      <c r="X138" s="1034">
        <v>0</v>
      </c>
      <c r="Y138" s="1021"/>
      <c r="Z138" s="754">
        <v>0</v>
      </c>
      <c r="AA138" s="755"/>
      <c r="AB138" s="755"/>
      <c r="AC138" s="755"/>
    </row>
    <row r="139" spans="2:29" s="35" customFormat="1" ht="14.1" hidden="1" customHeight="1" x14ac:dyDescent="0.25">
      <c r="B139" s="405"/>
      <c r="C139" s="588" t="s">
        <v>622</v>
      </c>
      <c r="D139" s="570" t="s">
        <v>619</v>
      </c>
      <c r="E139" s="571" t="s">
        <v>173</v>
      </c>
      <c r="F139" s="572" t="s">
        <v>945</v>
      </c>
      <c r="G139" s="749">
        <v>311</v>
      </c>
      <c r="H139" s="749">
        <v>10.76</v>
      </c>
      <c r="I139" s="749">
        <v>6.7</v>
      </c>
      <c r="J139" s="749">
        <v>383</v>
      </c>
      <c r="K139" s="749">
        <v>0.38300000000000001</v>
      </c>
      <c r="L139" s="749"/>
      <c r="M139" s="749">
        <v>13.97</v>
      </c>
      <c r="N139" s="749">
        <v>229</v>
      </c>
      <c r="O139" s="749"/>
      <c r="P139" s="749">
        <v>7.47</v>
      </c>
      <c r="Q139" s="749">
        <v>0</v>
      </c>
      <c r="R139" s="785">
        <v>0.19800000000000001</v>
      </c>
      <c r="S139" s="785">
        <v>0.182</v>
      </c>
      <c r="T139" s="749">
        <v>1.1020000000000001</v>
      </c>
      <c r="U139" s="592"/>
      <c r="V139" s="592">
        <v>0.23</v>
      </c>
      <c r="W139" s="1004"/>
      <c r="X139" s="1031">
        <v>0</v>
      </c>
      <c r="Y139" s="1018">
        <v>0</v>
      </c>
      <c r="Z139" s="749">
        <v>21</v>
      </c>
      <c r="AA139" s="592">
        <v>0</v>
      </c>
      <c r="AB139" s="592"/>
      <c r="AC139" s="592"/>
    </row>
    <row r="140" spans="2:29" s="35" customFormat="1" ht="14.1" hidden="1" customHeight="1" x14ac:dyDescent="0.25">
      <c r="B140" s="405"/>
      <c r="C140" s="588" t="s">
        <v>559</v>
      </c>
      <c r="D140" s="570" t="s">
        <v>488</v>
      </c>
      <c r="E140" s="593" t="s">
        <v>176</v>
      </c>
      <c r="F140" s="572" t="s">
        <v>558</v>
      </c>
      <c r="G140" s="749">
        <v>23</v>
      </c>
      <c r="H140" s="749">
        <v>0.59</v>
      </c>
      <c r="I140" s="749">
        <v>0.14000000000000001</v>
      </c>
      <c r="J140" s="749">
        <v>31</v>
      </c>
      <c r="K140" s="749">
        <v>0.10299999999999999</v>
      </c>
      <c r="L140" s="749"/>
      <c r="M140" s="749">
        <v>0.52</v>
      </c>
      <c r="N140" s="749">
        <v>9</v>
      </c>
      <c r="O140" s="749">
        <v>0.4</v>
      </c>
      <c r="P140" s="749">
        <v>0.28999999999999998</v>
      </c>
      <c r="Q140" s="749">
        <v>558</v>
      </c>
      <c r="R140" s="785">
        <v>1.9E-2</v>
      </c>
      <c r="S140" s="785">
        <v>2.7E-2</v>
      </c>
      <c r="T140" s="749">
        <v>0.42099999999999999</v>
      </c>
      <c r="U140" s="592">
        <v>0.13900000000000001</v>
      </c>
      <c r="V140" s="592">
        <v>0.112</v>
      </c>
      <c r="W140" s="1004">
        <v>8</v>
      </c>
      <c r="X140" s="1031">
        <v>0</v>
      </c>
      <c r="Y140" s="1018">
        <v>0</v>
      </c>
      <c r="Z140" s="749">
        <v>2</v>
      </c>
      <c r="AA140" s="592">
        <v>0</v>
      </c>
      <c r="AB140" s="592">
        <v>0.73</v>
      </c>
      <c r="AC140" s="592">
        <v>9.8000000000000007</v>
      </c>
    </row>
    <row r="141" spans="2:29" s="35" customFormat="1" ht="14.1" hidden="1" customHeight="1" x14ac:dyDescent="0.25">
      <c r="B141" s="405"/>
      <c r="C141" s="569" t="s">
        <v>549</v>
      </c>
      <c r="D141" s="570" t="s">
        <v>488</v>
      </c>
      <c r="E141" s="593" t="s">
        <v>176</v>
      </c>
      <c r="F141" s="572" t="s">
        <v>550</v>
      </c>
      <c r="G141" s="749">
        <v>41</v>
      </c>
      <c r="H141" s="749">
        <v>0.93</v>
      </c>
      <c r="I141" s="749">
        <v>0.24</v>
      </c>
      <c r="J141" s="749">
        <v>33</v>
      </c>
      <c r="K141" s="749">
        <v>4.4999999999999998E-2</v>
      </c>
      <c r="L141" s="749"/>
      <c r="M141" s="749">
        <v>0.3</v>
      </c>
      <c r="N141" s="749">
        <v>12</v>
      </c>
      <c r="O141" s="749">
        <v>0.1</v>
      </c>
      <c r="P141" s="749">
        <v>0.24</v>
      </c>
      <c r="Q141" s="749">
        <v>835</v>
      </c>
      <c r="R141" s="785">
        <v>6.6000000000000003E-2</v>
      </c>
      <c r="S141" s="785">
        <v>5.8000000000000003E-2</v>
      </c>
      <c r="T141" s="749">
        <v>0.98299999999999998</v>
      </c>
      <c r="U141" s="592">
        <v>0.27300000000000002</v>
      </c>
      <c r="V141" s="592">
        <v>0.13800000000000001</v>
      </c>
      <c r="W141" s="1004">
        <v>19</v>
      </c>
      <c r="X141" s="1031">
        <v>0</v>
      </c>
      <c r="Y141" s="1018">
        <v>0</v>
      </c>
      <c r="Z141" s="749">
        <v>5.9</v>
      </c>
      <c r="AA141" s="592">
        <v>0</v>
      </c>
      <c r="AB141" s="592">
        <v>0.66</v>
      </c>
      <c r="AC141" s="592">
        <v>13.2</v>
      </c>
    </row>
    <row r="142" spans="2:29" s="35" customFormat="1" ht="14.1" hidden="1" customHeight="1" x14ac:dyDescent="0.25">
      <c r="B142" s="405"/>
      <c r="C142" s="588" t="s">
        <v>377</v>
      </c>
      <c r="D142" s="570" t="s">
        <v>368</v>
      </c>
      <c r="E142" s="571" t="s">
        <v>179</v>
      </c>
      <c r="F142" s="572" t="s">
        <v>378</v>
      </c>
      <c r="G142" s="749">
        <v>553</v>
      </c>
      <c r="H142" s="749">
        <v>18.22</v>
      </c>
      <c r="I142" s="749">
        <v>43.85</v>
      </c>
      <c r="J142" s="749">
        <v>37</v>
      </c>
      <c r="K142" s="749">
        <v>2.1949999999999998</v>
      </c>
      <c r="L142" s="749"/>
      <c r="M142" s="749">
        <v>6.68</v>
      </c>
      <c r="N142" s="749">
        <v>292</v>
      </c>
      <c r="O142" s="749">
        <v>19.899999999999999</v>
      </c>
      <c r="P142" s="749">
        <v>5.78</v>
      </c>
      <c r="Q142" s="749">
        <v>0</v>
      </c>
      <c r="R142" s="785">
        <v>0.42299999999999999</v>
      </c>
      <c r="S142" s="785">
        <v>5.8000000000000003E-2</v>
      </c>
      <c r="T142" s="749">
        <v>1.0620000000000001</v>
      </c>
      <c r="U142" s="592">
        <v>0.86399999999999999</v>
      </c>
      <c r="V142" s="592">
        <v>0.41699999999999998</v>
      </c>
      <c r="W142" s="1004">
        <v>25</v>
      </c>
      <c r="X142" s="1031">
        <v>0</v>
      </c>
      <c r="Y142" s="1018">
        <v>0</v>
      </c>
      <c r="Z142" s="749">
        <v>0.5</v>
      </c>
      <c r="AA142" s="592">
        <v>0</v>
      </c>
      <c r="AB142" s="592">
        <v>0.9</v>
      </c>
      <c r="AC142" s="592">
        <v>34.1</v>
      </c>
    </row>
    <row r="143" spans="2:29" s="35" customFormat="1" ht="14.1" hidden="1" customHeight="1" x14ac:dyDescent="0.25">
      <c r="B143" s="405"/>
      <c r="C143" s="1080" t="s">
        <v>542</v>
      </c>
      <c r="D143" s="633" t="s">
        <v>488</v>
      </c>
      <c r="E143" s="634" t="s">
        <v>177</v>
      </c>
      <c r="F143" s="635" t="s">
        <v>889</v>
      </c>
      <c r="G143" s="756">
        <v>358</v>
      </c>
      <c r="H143" s="756">
        <v>1.3</v>
      </c>
      <c r="I143" s="756">
        <v>0.5</v>
      </c>
      <c r="J143" s="756">
        <v>37</v>
      </c>
      <c r="K143" s="756">
        <v>1.4</v>
      </c>
      <c r="L143" s="756"/>
      <c r="M143" s="756">
        <v>3.1</v>
      </c>
      <c r="N143" s="756"/>
      <c r="O143" s="756"/>
      <c r="P143" s="756">
        <v>1.5</v>
      </c>
      <c r="Q143" s="756">
        <v>0</v>
      </c>
      <c r="R143" s="1062">
        <v>7.0000000000000007E-2</v>
      </c>
      <c r="S143" s="1062">
        <v>0.03</v>
      </c>
      <c r="T143" s="756">
        <v>1</v>
      </c>
      <c r="U143" s="757"/>
      <c r="V143" s="757"/>
      <c r="W143" s="1008"/>
      <c r="X143" s="1035">
        <v>0</v>
      </c>
      <c r="Y143" s="1022">
        <v>0</v>
      </c>
      <c r="Z143" s="756">
        <v>7</v>
      </c>
      <c r="AA143" s="757">
        <v>0</v>
      </c>
      <c r="AB143" s="757"/>
      <c r="AC143" s="757"/>
    </row>
    <row r="144" spans="2:29" s="35" customFormat="1" ht="14.1" hidden="1" customHeight="1" x14ac:dyDescent="0.25">
      <c r="B144" s="405"/>
      <c r="C144" s="588" t="s">
        <v>379</v>
      </c>
      <c r="D144" s="570" t="s">
        <v>368</v>
      </c>
      <c r="E144" s="571" t="s">
        <v>177</v>
      </c>
      <c r="F144" s="572" t="s">
        <v>380</v>
      </c>
      <c r="G144" s="749">
        <v>160</v>
      </c>
      <c r="H144" s="749">
        <v>1.36</v>
      </c>
      <c r="I144" s="749">
        <v>0.28000000000000003</v>
      </c>
      <c r="J144" s="749">
        <v>16</v>
      </c>
      <c r="K144" s="749">
        <v>0.1</v>
      </c>
      <c r="L144" s="749"/>
      <c r="M144" s="749">
        <v>0.27</v>
      </c>
      <c r="N144" s="749">
        <v>21</v>
      </c>
      <c r="O144" s="749">
        <v>0.7</v>
      </c>
      <c r="P144" s="749">
        <v>0.34</v>
      </c>
      <c r="Q144" s="749">
        <v>1</v>
      </c>
      <c r="R144" s="785">
        <v>8.6999999999999994E-2</v>
      </c>
      <c r="S144" s="785">
        <v>4.8000000000000001E-2</v>
      </c>
      <c r="T144" s="749">
        <v>0.85399999999999998</v>
      </c>
      <c r="U144" s="592">
        <v>0.107</v>
      </c>
      <c r="V144" s="592">
        <v>8.7999999999999995E-2</v>
      </c>
      <c r="W144" s="1004">
        <v>27</v>
      </c>
      <c r="X144" s="1031">
        <v>0</v>
      </c>
      <c r="Y144" s="1018">
        <v>0</v>
      </c>
      <c r="Z144" s="749">
        <v>20.6</v>
      </c>
      <c r="AA144" s="592">
        <v>0</v>
      </c>
      <c r="AB144" s="592">
        <v>0.19</v>
      </c>
      <c r="AC144" s="592">
        <v>1.9</v>
      </c>
    </row>
    <row r="145" spans="2:29" s="35" customFormat="1" ht="14.1" hidden="1" customHeight="1" x14ac:dyDescent="0.25">
      <c r="B145" s="405"/>
      <c r="C145" s="629" t="s">
        <v>92</v>
      </c>
      <c r="D145" s="629"/>
      <c r="E145" s="630" t="s">
        <v>178</v>
      </c>
      <c r="F145" s="631" t="s">
        <v>18</v>
      </c>
      <c r="G145" s="754">
        <v>355</v>
      </c>
      <c r="H145" s="754">
        <v>22.5</v>
      </c>
      <c r="I145" s="754">
        <v>28</v>
      </c>
      <c r="J145" s="754">
        <v>630</v>
      </c>
      <c r="K145" s="754"/>
      <c r="L145" s="754">
        <v>39</v>
      </c>
      <c r="M145" s="754">
        <v>0.2</v>
      </c>
      <c r="N145" s="754"/>
      <c r="O145" s="754"/>
      <c r="P145" s="754"/>
      <c r="Q145" s="754">
        <v>120</v>
      </c>
      <c r="R145" s="1061">
        <v>0.03</v>
      </c>
      <c r="S145" s="1061">
        <v>0.45</v>
      </c>
      <c r="T145" s="754">
        <v>0.2</v>
      </c>
      <c r="U145" s="755"/>
      <c r="V145" s="755"/>
      <c r="W145" s="1007"/>
      <c r="X145" s="1034">
        <v>0</v>
      </c>
      <c r="Y145" s="1021"/>
      <c r="Z145" s="754">
        <v>0</v>
      </c>
      <c r="AA145" s="755"/>
      <c r="AB145" s="755"/>
      <c r="AC145" s="755"/>
    </row>
    <row r="146" spans="2:29" s="35" customFormat="1" ht="14.1" hidden="1" customHeight="1" x14ac:dyDescent="0.25">
      <c r="B146" s="405"/>
      <c r="C146" s="588" t="s">
        <v>515</v>
      </c>
      <c r="D146" s="570" t="s">
        <v>376</v>
      </c>
      <c r="E146" s="571" t="s">
        <v>250</v>
      </c>
      <c r="F146" s="572" t="s">
        <v>517</v>
      </c>
      <c r="G146" s="749">
        <v>215</v>
      </c>
      <c r="H146" s="749">
        <v>18.600000000000001</v>
      </c>
      <c r="I146" s="749">
        <v>15.06</v>
      </c>
      <c r="J146" s="749">
        <v>11</v>
      </c>
      <c r="K146" s="749">
        <v>4.8000000000000001E-2</v>
      </c>
      <c r="L146" s="749"/>
      <c r="M146" s="749">
        <v>0.9</v>
      </c>
      <c r="N146" s="749">
        <v>20</v>
      </c>
      <c r="O146" s="749">
        <v>14.4</v>
      </c>
      <c r="P146" s="749">
        <v>1.31</v>
      </c>
      <c r="Q146" s="749">
        <v>41</v>
      </c>
      <c r="R146" s="785">
        <v>0.06</v>
      </c>
      <c r="S146" s="785">
        <v>0.12</v>
      </c>
      <c r="T146" s="749">
        <v>6.8010000000000002</v>
      </c>
      <c r="U146" s="592">
        <v>0.91</v>
      </c>
      <c r="V146" s="592">
        <v>0.35</v>
      </c>
      <c r="W146" s="1004">
        <v>6</v>
      </c>
      <c r="X146" s="1031">
        <v>0</v>
      </c>
      <c r="Y146" s="1018">
        <v>0.31</v>
      </c>
      <c r="Z146" s="749">
        <v>1.6</v>
      </c>
      <c r="AA146" s="592">
        <v>0.2</v>
      </c>
      <c r="AB146" s="592">
        <v>0.3</v>
      </c>
      <c r="AC146" s="592">
        <v>1.5</v>
      </c>
    </row>
    <row r="147" spans="2:29" s="35" customFormat="1" ht="14.1" hidden="1" customHeight="1" x14ac:dyDescent="0.25">
      <c r="B147" s="405"/>
      <c r="C147" s="588" t="s">
        <v>381</v>
      </c>
      <c r="D147" s="570" t="s">
        <v>368</v>
      </c>
      <c r="E147" s="571" t="s">
        <v>250</v>
      </c>
      <c r="F147" s="572" t="s">
        <v>516</v>
      </c>
      <c r="G147" s="749">
        <v>185</v>
      </c>
      <c r="H147" s="749">
        <v>25.3</v>
      </c>
      <c r="I147" s="749">
        <v>8.1</v>
      </c>
      <c r="J147" s="749">
        <v>14</v>
      </c>
      <c r="K147" s="749">
        <v>0.05</v>
      </c>
      <c r="L147" s="749"/>
      <c r="M147" s="749">
        <v>1.3</v>
      </c>
      <c r="N147" s="749">
        <v>19</v>
      </c>
      <c r="O147" s="749">
        <v>18.399999999999999</v>
      </c>
      <c r="P147" s="749">
        <v>2.5</v>
      </c>
      <c r="Q147" s="749">
        <v>53</v>
      </c>
      <c r="R147" s="785">
        <v>0</v>
      </c>
      <c r="S147" s="785">
        <v>0.1</v>
      </c>
      <c r="T147" s="749">
        <v>2.4</v>
      </c>
      <c r="U147" s="592"/>
      <c r="V147" s="592">
        <v>0.19</v>
      </c>
      <c r="W147" s="1004">
        <v>2</v>
      </c>
      <c r="X147" s="1031">
        <v>0</v>
      </c>
      <c r="Y147" s="1018">
        <v>1</v>
      </c>
      <c r="Z147" s="749">
        <v>0</v>
      </c>
      <c r="AA147" s="592">
        <v>0.1</v>
      </c>
      <c r="AB147" s="592">
        <v>0.32</v>
      </c>
      <c r="AC147" s="592">
        <v>2.2999999999999998</v>
      </c>
    </row>
    <row r="148" spans="2:29" s="35" customFormat="1" ht="14.1" hidden="1" customHeight="1" x14ac:dyDescent="0.25">
      <c r="B148" s="405"/>
      <c r="C148" s="588" t="s">
        <v>382</v>
      </c>
      <c r="D148" s="570" t="s">
        <v>368</v>
      </c>
      <c r="E148" s="571" t="s">
        <v>179</v>
      </c>
      <c r="F148" s="572" t="s">
        <v>498</v>
      </c>
      <c r="G148" s="749">
        <v>364</v>
      </c>
      <c r="H148" s="749">
        <v>19.3</v>
      </c>
      <c r="I148" s="749">
        <v>6.04</v>
      </c>
      <c r="J148" s="749">
        <v>105</v>
      </c>
      <c r="K148" s="749">
        <v>0.84699999999999998</v>
      </c>
      <c r="L148" s="749"/>
      <c r="M148" s="749">
        <v>6.24</v>
      </c>
      <c r="N148" s="749">
        <v>115</v>
      </c>
      <c r="O148" s="749">
        <v>8.1999999999999993</v>
      </c>
      <c r="P148" s="749">
        <v>3.43</v>
      </c>
      <c r="Q148" s="749">
        <v>3</v>
      </c>
      <c r="R148" s="785">
        <v>0.47699999999999998</v>
      </c>
      <c r="S148" s="785">
        <v>0.21199999999999999</v>
      </c>
      <c r="T148" s="749">
        <v>1.5409999999999999</v>
      </c>
      <c r="U148" s="592">
        <v>1.5880000000000001</v>
      </c>
      <c r="V148" s="592">
        <v>0.53500000000000003</v>
      </c>
      <c r="W148" s="1004">
        <v>557</v>
      </c>
      <c r="X148" s="1031">
        <v>0</v>
      </c>
      <c r="Y148" s="1018">
        <v>0</v>
      </c>
      <c r="Z148" s="749">
        <v>4</v>
      </c>
      <c r="AA148" s="592">
        <v>0</v>
      </c>
      <c r="AB148" s="592">
        <v>0.82</v>
      </c>
      <c r="AC148" s="592">
        <v>9</v>
      </c>
    </row>
    <row r="149" spans="2:29" s="35" customFormat="1" ht="14.1" hidden="1" customHeight="1" x14ac:dyDescent="0.25">
      <c r="B149" s="405"/>
      <c r="C149" s="588" t="s">
        <v>384</v>
      </c>
      <c r="D149" s="570" t="s">
        <v>368</v>
      </c>
      <c r="E149" s="571" t="s">
        <v>173</v>
      </c>
      <c r="F149" s="572" t="s">
        <v>383</v>
      </c>
      <c r="G149" s="749">
        <v>228</v>
      </c>
      <c r="H149" s="749">
        <v>19.600000000000001</v>
      </c>
      <c r="I149" s="749">
        <v>13.7</v>
      </c>
      <c r="J149" s="749">
        <v>128</v>
      </c>
      <c r="K149" s="749">
        <v>3.7879999999999998</v>
      </c>
      <c r="L149" s="749"/>
      <c r="M149" s="749">
        <v>13.86</v>
      </c>
      <c r="N149" s="749">
        <v>499</v>
      </c>
      <c r="O149" s="749">
        <v>14.3</v>
      </c>
      <c r="P149" s="749">
        <v>6.81</v>
      </c>
      <c r="Q149" s="749">
        <v>0</v>
      </c>
      <c r="R149" s="785">
        <v>7.8E-2</v>
      </c>
      <c r="S149" s="785">
        <v>0.24099999999999999</v>
      </c>
      <c r="T149" s="749">
        <v>2.1850000000000001</v>
      </c>
      <c r="U149" s="592">
        <v>0.254</v>
      </c>
      <c r="V149" s="592">
        <v>0.11799999999999999</v>
      </c>
      <c r="W149" s="1004">
        <v>32</v>
      </c>
      <c r="X149" s="1031">
        <v>0</v>
      </c>
      <c r="Y149" s="1018">
        <v>0</v>
      </c>
      <c r="Z149" s="749">
        <v>0</v>
      </c>
      <c r="AA149" s="592">
        <v>0</v>
      </c>
      <c r="AB149" s="592">
        <v>0.1</v>
      </c>
      <c r="AC149" s="592">
        <v>2.5</v>
      </c>
    </row>
    <row r="150" spans="2:29" s="35" customFormat="1" ht="14.1" hidden="1" customHeight="1" x14ac:dyDescent="0.25">
      <c r="B150" s="405"/>
      <c r="C150" s="588" t="s">
        <v>385</v>
      </c>
      <c r="D150" s="570" t="s">
        <v>368</v>
      </c>
      <c r="E150" s="571" t="s">
        <v>179</v>
      </c>
      <c r="F150" s="572" t="s">
        <v>19</v>
      </c>
      <c r="G150" s="749">
        <v>354</v>
      </c>
      <c r="H150" s="749">
        <v>3.33</v>
      </c>
      <c r="I150" s="749">
        <v>33.49</v>
      </c>
      <c r="J150" s="749">
        <v>14</v>
      </c>
      <c r="K150" s="749">
        <v>0.435</v>
      </c>
      <c r="L150" s="749"/>
      <c r="M150" s="749">
        <v>2.4300000000000002</v>
      </c>
      <c r="N150" s="749">
        <v>32</v>
      </c>
      <c r="O150" s="749">
        <v>10.1</v>
      </c>
      <c r="P150" s="749">
        <v>1.1000000000000001</v>
      </c>
      <c r="Q150" s="749">
        <v>0</v>
      </c>
      <c r="R150" s="785">
        <v>6.6000000000000003E-2</v>
      </c>
      <c r="S150" s="785">
        <v>0.02</v>
      </c>
      <c r="T150" s="749">
        <v>0.54</v>
      </c>
      <c r="U150" s="592">
        <v>0.3</v>
      </c>
      <c r="V150" s="592">
        <v>5.3999999999999999E-2</v>
      </c>
      <c r="W150" s="1004">
        <v>26</v>
      </c>
      <c r="X150" s="1031">
        <v>0</v>
      </c>
      <c r="Y150" s="1018">
        <v>0</v>
      </c>
      <c r="Z150" s="749">
        <v>3.3</v>
      </c>
      <c r="AA150" s="592">
        <v>0</v>
      </c>
      <c r="AB150" s="592">
        <v>0.24</v>
      </c>
      <c r="AC150" s="592">
        <v>0.2</v>
      </c>
    </row>
    <row r="151" spans="2:29" s="35" customFormat="1" ht="14.1" hidden="1" customHeight="1" x14ac:dyDescent="0.25">
      <c r="B151" s="405"/>
      <c r="C151" s="588" t="s">
        <v>386</v>
      </c>
      <c r="D151" s="570" t="s">
        <v>449</v>
      </c>
      <c r="E151" s="571" t="s">
        <v>173</v>
      </c>
      <c r="F151" s="572" t="s">
        <v>756</v>
      </c>
      <c r="G151" s="749">
        <v>1</v>
      </c>
      <c r="H151" s="749">
        <v>0.12</v>
      </c>
      <c r="I151" s="749">
        <v>0.02</v>
      </c>
      <c r="J151" s="749">
        <v>2</v>
      </c>
      <c r="K151" s="749">
        <v>2E-3</v>
      </c>
      <c r="L151" s="749"/>
      <c r="M151" s="749">
        <v>0.01</v>
      </c>
      <c r="N151" s="749">
        <v>3</v>
      </c>
      <c r="O151" s="749">
        <v>0</v>
      </c>
      <c r="P151" s="749">
        <v>0.02</v>
      </c>
      <c r="Q151" s="749">
        <v>0</v>
      </c>
      <c r="R151" s="785">
        <v>1.4E-2</v>
      </c>
      <c r="S151" s="785">
        <v>7.5999999999999998E-2</v>
      </c>
      <c r="T151" s="749">
        <v>0.191</v>
      </c>
      <c r="U151" s="592">
        <v>0.254</v>
      </c>
      <c r="V151" s="592">
        <v>1E-3</v>
      </c>
      <c r="W151" s="1004">
        <v>2</v>
      </c>
      <c r="X151" s="1031">
        <v>0</v>
      </c>
      <c r="Y151" s="1018">
        <v>0</v>
      </c>
      <c r="Z151" s="749">
        <v>0</v>
      </c>
      <c r="AA151" s="592">
        <v>0</v>
      </c>
      <c r="AB151" s="592">
        <v>0.01</v>
      </c>
      <c r="AC151" s="592">
        <v>0.1</v>
      </c>
    </row>
    <row r="152" spans="2:29" s="35" customFormat="1" ht="14.1" hidden="1" customHeight="1" x14ac:dyDescent="0.25">
      <c r="B152" s="405"/>
      <c r="C152" s="613" t="s">
        <v>543</v>
      </c>
      <c r="D152" s="610" t="s">
        <v>488</v>
      </c>
      <c r="E152" s="611" t="s">
        <v>247</v>
      </c>
      <c r="F152" s="612" t="s">
        <v>514</v>
      </c>
      <c r="G152" s="753">
        <v>380</v>
      </c>
      <c r="H152" s="753">
        <v>13.3</v>
      </c>
      <c r="I152" s="753">
        <v>2.5</v>
      </c>
      <c r="J152" s="753">
        <v>512</v>
      </c>
      <c r="K152" s="753"/>
      <c r="L152" s="753">
        <v>40</v>
      </c>
      <c r="M152" s="753">
        <v>2.5</v>
      </c>
      <c r="N152" s="753"/>
      <c r="O152" s="753"/>
      <c r="P152" s="753">
        <v>7.71</v>
      </c>
      <c r="Q152" s="753">
        <v>1198.56</v>
      </c>
      <c r="R152" s="1060">
        <v>0.68</v>
      </c>
      <c r="S152" s="1060">
        <v>1.73</v>
      </c>
      <c r="T152" s="753">
        <v>11.18</v>
      </c>
      <c r="U152" s="628">
        <v>2.1800000000000002</v>
      </c>
      <c r="V152" s="628">
        <v>1.56</v>
      </c>
      <c r="W152" s="1006">
        <v>200</v>
      </c>
      <c r="X152" s="1033">
        <f>111/1.7</f>
        <v>65.294117647058826</v>
      </c>
      <c r="Y152" s="1020">
        <v>2</v>
      </c>
      <c r="Z152" s="753">
        <v>91.2</v>
      </c>
      <c r="AA152" s="628">
        <f>441.61/40</f>
        <v>11.04025</v>
      </c>
      <c r="AB152" s="628">
        <v>8.85</v>
      </c>
      <c r="AC152" s="628">
        <v>39.6</v>
      </c>
    </row>
    <row r="153" spans="2:29" s="35" customFormat="1" ht="14.1" hidden="1" customHeight="1" x14ac:dyDescent="0.25">
      <c r="B153" s="405"/>
      <c r="C153" s="569" t="s">
        <v>387</v>
      </c>
      <c r="D153" s="570" t="s">
        <v>368</v>
      </c>
      <c r="E153" s="571" t="s">
        <v>250</v>
      </c>
      <c r="F153" s="572" t="s">
        <v>20</v>
      </c>
      <c r="G153" s="749">
        <v>250</v>
      </c>
      <c r="H153" s="749">
        <v>27.1</v>
      </c>
      <c r="I153" s="749">
        <v>14.93</v>
      </c>
      <c r="J153" s="749">
        <v>12</v>
      </c>
      <c r="K153" s="749">
        <v>6.4000000000000001E-2</v>
      </c>
      <c r="L153" s="749"/>
      <c r="M153" s="749">
        <v>2.08</v>
      </c>
      <c r="N153" s="749">
        <v>14</v>
      </c>
      <c r="O153" s="749">
        <v>42.9</v>
      </c>
      <c r="P153" s="749">
        <v>3.57</v>
      </c>
      <c r="Q153" s="749">
        <v>0</v>
      </c>
      <c r="R153" s="785">
        <v>0.02</v>
      </c>
      <c r="S153" s="785">
        <v>0.14699999999999999</v>
      </c>
      <c r="T153" s="749">
        <v>2.4300000000000002</v>
      </c>
      <c r="U153" s="592">
        <v>0.626</v>
      </c>
      <c r="V153" s="592">
        <v>0.13</v>
      </c>
      <c r="W153" s="1004">
        <v>9</v>
      </c>
      <c r="X153" s="1031">
        <v>0</v>
      </c>
      <c r="Y153" s="1018">
        <v>1.62</v>
      </c>
      <c r="Z153" s="749">
        <v>0</v>
      </c>
      <c r="AA153" s="592">
        <v>0.2</v>
      </c>
      <c r="AB153" s="592">
        <v>0.15</v>
      </c>
      <c r="AC153" s="592">
        <v>1.6</v>
      </c>
    </row>
    <row r="154" spans="2:29" s="35" customFormat="1" ht="14.1" hidden="1" customHeight="1" x14ac:dyDescent="0.25">
      <c r="B154" s="405"/>
      <c r="C154" s="569" t="s">
        <v>438</v>
      </c>
      <c r="D154" s="570" t="s">
        <v>376</v>
      </c>
      <c r="E154" s="571" t="s">
        <v>175</v>
      </c>
      <c r="F154" s="572" t="s">
        <v>437</v>
      </c>
      <c r="G154" s="749">
        <v>376</v>
      </c>
      <c r="H154" s="749">
        <v>12.76</v>
      </c>
      <c r="I154" s="749">
        <v>0.64</v>
      </c>
      <c r="J154" s="749">
        <v>24</v>
      </c>
      <c r="K154" s="749">
        <v>0.247</v>
      </c>
      <c r="L154" s="749"/>
      <c r="M154" s="749">
        <v>1.08</v>
      </c>
      <c r="N154" s="749">
        <v>44</v>
      </c>
      <c r="O154" s="749"/>
      <c r="P154" s="749">
        <v>0.83</v>
      </c>
      <c r="Q154" s="749">
        <v>0</v>
      </c>
      <c r="R154" s="785">
        <v>0.16300000000000001</v>
      </c>
      <c r="S154" s="785">
        <v>7.8E-2</v>
      </c>
      <c r="T154" s="749">
        <v>3.49</v>
      </c>
      <c r="U154" s="592">
        <v>1.2430000000000001</v>
      </c>
      <c r="V154" s="592">
        <v>0.11</v>
      </c>
      <c r="W154" s="1004">
        <v>20</v>
      </c>
      <c r="X154" s="1031">
        <v>0</v>
      </c>
      <c r="Y154" s="1018">
        <v>0</v>
      </c>
      <c r="Z154" s="749">
        <v>0</v>
      </c>
      <c r="AA154" s="592">
        <v>0</v>
      </c>
      <c r="AB154" s="592"/>
      <c r="AC154" s="592"/>
    </row>
    <row r="155" spans="2:29" s="35" customFormat="1" ht="14.1" hidden="1" customHeight="1" x14ac:dyDescent="0.25">
      <c r="B155" s="405"/>
      <c r="C155" s="569" t="s">
        <v>388</v>
      </c>
      <c r="D155" s="570" t="s">
        <v>368</v>
      </c>
      <c r="E155" s="571" t="s">
        <v>179</v>
      </c>
      <c r="F155" s="572" t="s">
        <v>254</v>
      </c>
      <c r="G155" s="749">
        <v>336</v>
      </c>
      <c r="H155" s="749">
        <v>23.52</v>
      </c>
      <c r="I155" s="749">
        <v>1.26</v>
      </c>
      <c r="J155" s="749">
        <v>110</v>
      </c>
      <c r="K155" s="749">
        <v>0.84499999999999997</v>
      </c>
      <c r="L155" s="749"/>
      <c r="M155" s="749">
        <v>8.27</v>
      </c>
      <c r="N155" s="749">
        <v>184</v>
      </c>
      <c r="O155" s="749">
        <v>9</v>
      </c>
      <c r="P155" s="749">
        <v>3.37</v>
      </c>
      <c r="Q155" s="749">
        <v>3</v>
      </c>
      <c r="R155" s="785">
        <v>0.85299999999999998</v>
      </c>
      <c r="S155" s="785">
        <v>0.22600000000000001</v>
      </c>
      <c r="T155" s="749">
        <v>2.0750000000000002</v>
      </c>
      <c r="U155" s="592">
        <v>1.496</v>
      </c>
      <c r="V155" s="592">
        <v>0.35699999999999998</v>
      </c>
      <c r="W155" s="1004">
        <v>633</v>
      </c>
      <c r="X155" s="1031">
        <v>0</v>
      </c>
      <c r="Y155" s="1018">
        <v>0</v>
      </c>
      <c r="Z155" s="749">
        <v>1.5</v>
      </c>
      <c r="AA155" s="592">
        <v>0</v>
      </c>
      <c r="AB155" s="592">
        <v>0.39</v>
      </c>
      <c r="AC155" s="592">
        <v>5</v>
      </c>
    </row>
    <row r="156" spans="2:29" s="35" customFormat="1" ht="14.1" hidden="1" customHeight="1" x14ac:dyDescent="0.25">
      <c r="B156" s="405"/>
      <c r="C156" s="596" t="s">
        <v>93</v>
      </c>
      <c r="D156" s="598" t="s">
        <v>770</v>
      </c>
      <c r="E156" s="607" t="s">
        <v>247</v>
      </c>
      <c r="F156" s="639" t="s">
        <v>657</v>
      </c>
      <c r="G156" s="758">
        <v>381.42</v>
      </c>
      <c r="H156" s="758">
        <v>15.55</v>
      </c>
      <c r="I156" s="758">
        <v>8.23</v>
      </c>
      <c r="J156" s="758">
        <v>401.2</v>
      </c>
      <c r="K156" s="758">
        <v>0.46</v>
      </c>
      <c r="L156" s="758">
        <v>40</v>
      </c>
      <c r="M156" s="758">
        <v>9.19</v>
      </c>
      <c r="N156" s="758"/>
      <c r="O156" s="758">
        <v>14.65</v>
      </c>
      <c r="P156" s="758">
        <v>7.56</v>
      </c>
      <c r="Q156" s="758">
        <v>545.9</v>
      </c>
      <c r="R156" s="1063">
        <v>0.55000000000000004</v>
      </c>
      <c r="S156" s="1063">
        <v>0.71</v>
      </c>
      <c r="T156" s="758">
        <v>13.48</v>
      </c>
      <c r="U156" s="645">
        <v>1.99</v>
      </c>
      <c r="V156" s="645">
        <v>1.45</v>
      </c>
      <c r="W156" s="1009">
        <v>163.41</v>
      </c>
      <c r="X156" s="1036">
        <v>60</v>
      </c>
      <c r="Y156" s="1023">
        <v>2</v>
      </c>
      <c r="Z156" s="758">
        <v>101.1</v>
      </c>
      <c r="AA156" s="645">
        <v>6</v>
      </c>
      <c r="AB156" s="645">
        <v>9.7200000000000006</v>
      </c>
      <c r="AC156" s="645"/>
    </row>
    <row r="157" spans="2:29" s="35" customFormat="1" ht="14.1" hidden="1" customHeight="1" x14ac:dyDescent="0.25">
      <c r="B157" s="405"/>
      <c r="C157" s="596" t="s">
        <v>93</v>
      </c>
      <c r="D157" s="598" t="s">
        <v>770</v>
      </c>
      <c r="E157" s="607" t="s">
        <v>247</v>
      </c>
      <c r="F157" s="639" t="s">
        <v>656</v>
      </c>
      <c r="G157" s="758">
        <v>390.72</v>
      </c>
      <c r="H157" s="758">
        <v>15.15</v>
      </c>
      <c r="I157" s="758">
        <v>10.02</v>
      </c>
      <c r="J157" s="758">
        <v>399.79</v>
      </c>
      <c r="K157" s="758">
        <v>0.45</v>
      </c>
      <c r="L157" s="758">
        <v>40</v>
      </c>
      <c r="M157" s="758">
        <v>9.15</v>
      </c>
      <c r="N157" s="758"/>
      <c r="O157" s="758">
        <v>14.45</v>
      </c>
      <c r="P157" s="758">
        <v>7.52</v>
      </c>
      <c r="Q157" s="758">
        <v>545.9</v>
      </c>
      <c r="R157" s="1063">
        <v>0.55000000000000004</v>
      </c>
      <c r="S157" s="1063">
        <v>0.7</v>
      </c>
      <c r="T157" s="758">
        <v>10.57</v>
      </c>
      <c r="U157" s="645">
        <v>1.98</v>
      </c>
      <c r="V157" s="645">
        <v>1.45</v>
      </c>
      <c r="W157" s="1009">
        <v>161.36000000000001</v>
      </c>
      <c r="X157" s="1036">
        <v>60</v>
      </c>
      <c r="Y157" s="1023">
        <v>2</v>
      </c>
      <c r="Z157" s="758">
        <v>101.06</v>
      </c>
      <c r="AA157" s="645">
        <v>6</v>
      </c>
      <c r="AB157" s="645">
        <v>9.86</v>
      </c>
      <c r="AC157" s="645"/>
    </row>
    <row r="158" spans="2:29" s="35" customFormat="1" ht="14.1" hidden="1" customHeight="1" x14ac:dyDescent="0.25">
      <c r="B158" s="405"/>
      <c r="C158" s="596" t="s">
        <v>93</v>
      </c>
      <c r="D158" s="598" t="s">
        <v>770</v>
      </c>
      <c r="E158" s="607" t="s">
        <v>247</v>
      </c>
      <c r="F158" s="639" t="s">
        <v>662</v>
      </c>
      <c r="G158" s="758">
        <v>375.78</v>
      </c>
      <c r="H158" s="758">
        <v>15.29</v>
      </c>
      <c r="I158" s="758">
        <v>8.0299999999999994</v>
      </c>
      <c r="J158" s="758">
        <v>396.48</v>
      </c>
      <c r="K158" s="758">
        <v>0.47</v>
      </c>
      <c r="L158" s="758">
        <v>40</v>
      </c>
      <c r="M158" s="758">
        <v>9.41</v>
      </c>
      <c r="N158" s="758"/>
      <c r="O158" s="758">
        <v>15.99</v>
      </c>
      <c r="P158" s="758">
        <v>7.68</v>
      </c>
      <c r="Q158" s="758">
        <v>554.97</v>
      </c>
      <c r="R158" s="1063">
        <v>0.59</v>
      </c>
      <c r="S158" s="1063">
        <v>0.71</v>
      </c>
      <c r="T158" s="758">
        <v>11.05</v>
      </c>
      <c r="U158" s="645">
        <v>2.02</v>
      </c>
      <c r="V158" s="645">
        <v>1.53</v>
      </c>
      <c r="W158" s="1009">
        <v>157.87</v>
      </c>
      <c r="X158" s="1036">
        <v>60</v>
      </c>
      <c r="Y158" s="1023">
        <v>2</v>
      </c>
      <c r="Z158" s="758">
        <v>100.92</v>
      </c>
      <c r="AA158" s="645">
        <v>6</v>
      </c>
      <c r="AB158" s="645">
        <v>9.6</v>
      </c>
      <c r="AC158" s="645"/>
    </row>
    <row r="159" spans="2:29" s="35" customFormat="1" ht="14.1" hidden="1" customHeight="1" x14ac:dyDescent="0.25">
      <c r="B159" s="405"/>
      <c r="C159" s="596" t="s">
        <v>93</v>
      </c>
      <c r="D159" s="598" t="s">
        <v>770</v>
      </c>
      <c r="E159" s="607" t="s">
        <v>247</v>
      </c>
      <c r="F159" s="639" t="s">
        <v>661</v>
      </c>
      <c r="G159" s="758">
        <v>375.78</v>
      </c>
      <c r="H159" s="758">
        <v>15.29</v>
      </c>
      <c r="I159" s="758">
        <v>8.0299999999999994</v>
      </c>
      <c r="J159" s="758">
        <v>396.48</v>
      </c>
      <c r="K159" s="758">
        <v>0.47</v>
      </c>
      <c r="L159" s="758">
        <v>0</v>
      </c>
      <c r="M159" s="758">
        <v>9.41</v>
      </c>
      <c r="N159" s="758"/>
      <c r="O159" s="758">
        <v>15.99</v>
      </c>
      <c r="P159" s="758">
        <v>7.68</v>
      </c>
      <c r="Q159" s="758">
        <v>554.98</v>
      </c>
      <c r="R159" s="1063">
        <v>0.59</v>
      </c>
      <c r="S159" s="1063">
        <v>0.71</v>
      </c>
      <c r="T159" s="758">
        <v>11.05</v>
      </c>
      <c r="U159" s="645">
        <v>2.02</v>
      </c>
      <c r="V159" s="645">
        <v>1.53</v>
      </c>
      <c r="W159" s="1009">
        <v>157.87</v>
      </c>
      <c r="X159" s="1036">
        <v>60</v>
      </c>
      <c r="Y159" s="1023">
        <v>2</v>
      </c>
      <c r="Z159" s="758">
        <v>100.92</v>
      </c>
      <c r="AA159" s="645">
        <v>6</v>
      </c>
      <c r="AB159" s="645">
        <v>9.6</v>
      </c>
      <c r="AC159" s="645"/>
    </row>
    <row r="160" spans="2:29" s="35" customFormat="1" ht="14.1" hidden="1" customHeight="1" x14ac:dyDescent="0.25">
      <c r="B160" s="405"/>
      <c r="C160" s="596" t="s">
        <v>93</v>
      </c>
      <c r="D160" s="598" t="s">
        <v>770</v>
      </c>
      <c r="E160" s="607" t="s">
        <v>247</v>
      </c>
      <c r="F160" s="639" t="s">
        <v>660</v>
      </c>
      <c r="G160" s="758">
        <v>375.78</v>
      </c>
      <c r="H160" s="758">
        <v>15.29</v>
      </c>
      <c r="I160" s="758">
        <v>8.0299999999999994</v>
      </c>
      <c r="J160" s="758">
        <v>396.48</v>
      </c>
      <c r="K160" s="758">
        <v>0.47</v>
      </c>
      <c r="L160" s="758">
        <v>40</v>
      </c>
      <c r="M160" s="758">
        <v>9.41</v>
      </c>
      <c r="N160" s="758"/>
      <c r="O160" s="758">
        <v>15.99</v>
      </c>
      <c r="P160" s="758">
        <v>7.68</v>
      </c>
      <c r="Q160" s="758">
        <v>554.98</v>
      </c>
      <c r="R160" s="1063">
        <v>0.59</v>
      </c>
      <c r="S160" s="1063">
        <v>0.71</v>
      </c>
      <c r="T160" s="758">
        <v>11.05</v>
      </c>
      <c r="U160" s="645">
        <v>2.02</v>
      </c>
      <c r="V160" s="645">
        <v>1.53</v>
      </c>
      <c r="W160" s="1009">
        <v>157.87</v>
      </c>
      <c r="X160" s="1036">
        <v>60</v>
      </c>
      <c r="Y160" s="1023">
        <v>2</v>
      </c>
      <c r="Z160" s="758">
        <v>100.92</v>
      </c>
      <c r="AA160" s="645">
        <v>6</v>
      </c>
      <c r="AB160" s="645">
        <v>9.6</v>
      </c>
      <c r="AC160" s="645"/>
    </row>
    <row r="161" spans="2:29" s="35" customFormat="1" ht="14.1" hidden="1" customHeight="1" x14ac:dyDescent="0.25">
      <c r="B161" s="405"/>
      <c r="C161" s="774" t="s">
        <v>93</v>
      </c>
      <c r="D161" s="598" t="s">
        <v>770</v>
      </c>
      <c r="E161" s="607" t="s">
        <v>247</v>
      </c>
      <c r="F161" s="639" t="s">
        <v>659</v>
      </c>
      <c r="G161" s="758">
        <v>375.78</v>
      </c>
      <c r="H161" s="758">
        <v>15.29</v>
      </c>
      <c r="I161" s="758">
        <v>8.0299999999999994</v>
      </c>
      <c r="J161" s="758">
        <v>396.48</v>
      </c>
      <c r="K161" s="758">
        <v>0.47</v>
      </c>
      <c r="L161" s="758">
        <v>40</v>
      </c>
      <c r="M161" s="758">
        <v>9.41</v>
      </c>
      <c r="N161" s="758"/>
      <c r="O161" s="758">
        <v>15.99</v>
      </c>
      <c r="P161" s="758">
        <v>7.68</v>
      </c>
      <c r="Q161" s="758">
        <v>554.98</v>
      </c>
      <c r="R161" s="1063">
        <v>0.59</v>
      </c>
      <c r="S161" s="1063">
        <v>0.71</v>
      </c>
      <c r="T161" s="758">
        <v>11.05</v>
      </c>
      <c r="U161" s="645">
        <v>2.02</v>
      </c>
      <c r="V161" s="645">
        <v>1.53</v>
      </c>
      <c r="W161" s="1009">
        <v>157.87</v>
      </c>
      <c r="X161" s="1036">
        <v>60</v>
      </c>
      <c r="Y161" s="1023">
        <v>2</v>
      </c>
      <c r="Z161" s="758">
        <v>100.92</v>
      </c>
      <c r="AA161" s="645">
        <v>6</v>
      </c>
      <c r="AB161" s="645">
        <v>9.6</v>
      </c>
      <c r="AC161" s="645"/>
    </row>
    <row r="162" spans="2:29" s="35" customFormat="1" ht="14.1" hidden="1" customHeight="1" x14ac:dyDescent="0.25">
      <c r="B162" s="405"/>
      <c r="C162" s="774" t="s">
        <v>93</v>
      </c>
      <c r="D162" s="598" t="s">
        <v>770</v>
      </c>
      <c r="E162" s="607" t="s">
        <v>247</v>
      </c>
      <c r="F162" s="639" t="s">
        <v>658</v>
      </c>
      <c r="G162" s="758">
        <v>393.67</v>
      </c>
      <c r="H162" s="758">
        <v>16.3</v>
      </c>
      <c r="I162" s="758">
        <v>10.15</v>
      </c>
      <c r="J162" s="758">
        <v>495.74</v>
      </c>
      <c r="K162" s="758">
        <v>0.4</v>
      </c>
      <c r="L162" s="758">
        <v>58.8</v>
      </c>
      <c r="M162" s="758">
        <v>8.9</v>
      </c>
      <c r="N162" s="758"/>
      <c r="O162" s="758">
        <v>15.14</v>
      </c>
      <c r="P162" s="758">
        <v>7.57</v>
      </c>
      <c r="Q162" s="758">
        <v>542.64</v>
      </c>
      <c r="R162" s="1063">
        <v>0.54</v>
      </c>
      <c r="S162" s="1063">
        <v>0.79</v>
      </c>
      <c r="T162" s="758">
        <v>10.41</v>
      </c>
      <c r="U162" s="645">
        <v>2.23</v>
      </c>
      <c r="V162" s="645">
        <v>1.43</v>
      </c>
      <c r="W162" s="1009">
        <v>158.1</v>
      </c>
      <c r="X162" s="1036">
        <v>60</v>
      </c>
      <c r="Y162" s="1023">
        <v>2.3199999999999998</v>
      </c>
      <c r="Z162" s="758">
        <v>101.46</v>
      </c>
      <c r="AA162" s="645">
        <v>6.66</v>
      </c>
      <c r="AB162" s="645">
        <v>9.7899999999999991</v>
      </c>
      <c r="AC162" s="645"/>
    </row>
    <row r="163" spans="2:29" s="35" customFormat="1" ht="14.1" hidden="1" customHeight="1" x14ac:dyDescent="0.25">
      <c r="B163" s="405"/>
      <c r="C163" s="588" t="s">
        <v>388</v>
      </c>
      <c r="D163" s="570" t="s">
        <v>368</v>
      </c>
      <c r="E163" s="571" t="s">
        <v>249</v>
      </c>
      <c r="F163" s="572" t="s">
        <v>389</v>
      </c>
      <c r="G163" s="749">
        <v>282</v>
      </c>
      <c r="H163" s="749">
        <v>2.4500000000000002</v>
      </c>
      <c r="I163" s="749">
        <v>0.39</v>
      </c>
      <c r="J163" s="749">
        <v>39</v>
      </c>
      <c r="K163" s="749">
        <v>0.20599999999999999</v>
      </c>
      <c r="L163" s="749"/>
      <c r="M163" s="749">
        <v>1.02</v>
      </c>
      <c r="N163" s="749">
        <v>43</v>
      </c>
      <c r="O163" s="749">
        <v>3</v>
      </c>
      <c r="P163" s="749">
        <v>0.28999999999999998</v>
      </c>
      <c r="Q163" s="749">
        <v>0</v>
      </c>
      <c r="R163" s="785">
        <v>5.1999999999999998E-2</v>
      </c>
      <c r="S163" s="785">
        <v>6.6000000000000003E-2</v>
      </c>
      <c r="T163" s="749">
        <v>1.274</v>
      </c>
      <c r="U163" s="592">
        <v>0.58899999999999997</v>
      </c>
      <c r="V163" s="592">
        <v>0.16500000000000001</v>
      </c>
      <c r="W163" s="1004">
        <v>19</v>
      </c>
      <c r="X163" s="1031">
        <v>0</v>
      </c>
      <c r="Y163" s="1018">
        <v>0</v>
      </c>
      <c r="Z163" s="749">
        <v>0.4</v>
      </c>
      <c r="AA163" s="592">
        <v>0</v>
      </c>
      <c r="AB163" s="592">
        <v>0.05</v>
      </c>
      <c r="AC163" s="592">
        <v>2.7</v>
      </c>
    </row>
    <row r="164" spans="2:29" s="35" customFormat="1" ht="14.1" hidden="1" customHeight="1" x14ac:dyDescent="0.25">
      <c r="B164" s="405"/>
      <c r="C164" s="588" t="s">
        <v>390</v>
      </c>
      <c r="D164" s="570" t="s">
        <v>368</v>
      </c>
      <c r="E164" s="571" t="s">
        <v>178</v>
      </c>
      <c r="F164" s="572" t="s">
        <v>21</v>
      </c>
      <c r="G164" s="749">
        <v>362</v>
      </c>
      <c r="H164" s="749">
        <v>36.159999999999997</v>
      </c>
      <c r="I164" s="749">
        <v>0.77</v>
      </c>
      <c r="J164" s="749">
        <v>1257</v>
      </c>
      <c r="K164" s="749">
        <v>4.1000000000000002E-2</v>
      </c>
      <c r="L164" s="749"/>
      <c r="M164" s="749">
        <v>0.32</v>
      </c>
      <c r="N164" s="749">
        <v>110</v>
      </c>
      <c r="O164" s="749">
        <v>27.3</v>
      </c>
      <c r="P164" s="749">
        <v>4.08</v>
      </c>
      <c r="Q164" s="749">
        <v>6</v>
      </c>
      <c r="R164" s="785">
        <v>0.41499999999999998</v>
      </c>
      <c r="S164" s="785">
        <v>1.55</v>
      </c>
      <c r="T164" s="749">
        <v>0.95099999999999996</v>
      </c>
      <c r="U164" s="592">
        <v>3.5680000000000001</v>
      </c>
      <c r="V164" s="592">
        <v>0.36099999999999999</v>
      </c>
      <c r="W164" s="1004">
        <v>50</v>
      </c>
      <c r="X164" s="1031">
        <v>0</v>
      </c>
      <c r="Y164" s="1018">
        <v>4.03</v>
      </c>
      <c r="Z164" s="749">
        <v>6.8</v>
      </c>
      <c r="AA164" s="592">
        <v>0</v>
      </c>
      <c r="AB164" s="592">
        <v>0</v>
      </c>
      <c r="AC164" s="592">
        <v>0.1</v>
      </c>
    </row>
    <row r="165" spans="2:29" s="35" customFormat="1" ht="14.1" hidden="1" customHeight="1" x14ac:dyDescent="0.25">
      <c r="B165" s="405"/>
      <c r="C165" s="588" t="s">
        <v>391</v>
      </c>
      <c r="D165" s="570" t="s">
        <v>368</v>
      </c>
      <c r="E165" s="571" t="s">
        <v>178</v>
      </c>
      <c r="F165" s="572" t="s">
        <v>22</v>
      </c>
      <c r="G165" s="749">
        <v>362</v>
      </c>
      <c r="H165" s="749">
        <v>36.159999999999997</v>
      </c>
      <c r="I165" s="749">
        <v>0.77</v>
      </c>
      <c r="J165" s="749">
        <v>1257</v>
      </c>
      <c r="K165" s="749">
        <v>4.1000000000000002E-2</v>
      </c>
      <c r="L165" s="749"/>
      <c r="M165" s="749">
        <v>0.32</v>
      </c>
      <c r="N165" s="749">
        <v>110</v>
      </c>
      <c r="O165" s="749">
        <v>27.3</v>
      </c>
      <c r="P165" s="749">
        <v>4.08</v>
      </c>
      <c r="Q165" s="749">
        <v>653</v>
      </c>
      <c r="R165" s="785">
        <v>0.41499999999999998</v>
      </c>
      <c r="S165" s="785">
        <v>1.55</v>
      </c>
      <c r="T165" s="749">
        <v>0.95099999999999996</v>
      </c>
      <c r="U165" s="592">
        <v>3.5680000000000001</v>
      </c>
      <c r="V165" s="592">
        <v>0.36099999999999999</v>
      </c>
      <c r="W165" s="1004">
        <v>50</v>
      </c>
      <c r="X165" s="1031">
        <v>0</v>
      </c>
      <c r="Y165" s="1018">
        <v>4.03</v>
      </c>
      <c r="Z165" s="749">
        <v>6.8</v>
      </c>
      <c r="AA165" s="592">
        <v>11</v>
      </c>
      <c r="AB165" s="592">
        <v>0</v>
      </c>
      <c r="AC165" s="592">
        <v>0.1</v>
      </c>
    </row>
    <row r="166" spans="2:29" s="35" customFormat="1" ht="14.1" hidden="1" customHeight="1" x14ac:dyDescent="0.25">
      <c r="B166" s="405"/>
      <c r="C166" s="588" t="s">
        <v>392</v>
      </c>
      <c r="D166" s="570" t="s">
        <v>368</v>
      </c>
      <c r="E166" s="571" t="s">
        <v>178</v>
      </c>
      <c r="F166" s="572" t="s">
        <v>23</v>
      </c>
      <c r="G166" s="749">
        <v>496</v>
      </c>
      <c r="H166" s="749">
        <v>26.32</v>
      </c>
      <c r="I166" s="749">
        <v>26.71</v>
      </c>
      <c r="J166" s="749">
        <v>912</v>
      </c>
      <c r="K166" s="749">
        <v>0.08</v>
      </c>
      <c r="L166" s="749"/>
      <c r="M166" s="749">
        <v>0.47</v>
      </c>
      <c r="N166" s="749">
        <v>85</v>
      </c>
      <c r="O166" s="749">
        <v>16.3</v>
      </c>
      <c r="P166" s="749">
        <v>3.34</v>
      </c>
      <c r="Q166" s="749">
        <v>258</v>
      </c>
      <c r="R166" s="785">
        <v>0.28299999999999997</v>
      </c>
      <c r="S166" s="785">
        <v>1.2050000000000001</v>
      </c>
      <c r="T166" s="749">
        <v>0.64600000000000002</v>
      </c>
      <c r="U166" s="592">
        <v>2.2709999999999999</v>
      </c>
      <c r="V166" s="592">
        <v>0.30199999999999999</v>
      </c>
      <c r="W166" s="1004">
        <v>37</v>
      </c>
      <c r="X166" s="1031">
        <v>0</v>
      </c>
      <c r="Y166" s="1018">
        <v>3.25</v>
      </c>
      <c r="Z166" s="749">
        <v>8.6</v>
      </c>
      <c r="AA166" s="592">
        <v>0.5</v>
      </c>
      <c r="AB166" s="592">
        <v>0.57999999999999996</v>
      </c>
      <c r="AC166" s="592">
        <v>2.2000000000000002</v>
      </c>
    </row>
    <row r="167" spans="2:29" s="35" customFormat="1" ht="14.1" hidden="1" customHeight="1" x14ac:dyDescent="0.25">
      <c r="B167" s="405"/>
      <c r="C167" s="588" t="s">
        <v>397</v>
      </c>
      <c r="D167" s="570" t="s">
        <v>368</v>
      </c>
      <c r="E167" s="571" t="s">
        <v>180</v>
      </c>
      <c r="F167" s="572" t="s">
        <v>398</v>
      </c>
      <c r="G167" s="749">
        <v>605</v>
      </c>
      <c r="H167" s="749">
        <v>48.37</v>
      </c>
      <c r="I167" s="749">
        <v>43.04</v>
      </c>
      <c r="J167" s="749">
        <v>236</v>
      </c>
      <c r="K167" s="749">
        <v>0.20300000000000001</v>
      </c>
      <c r="L167" s="749"/>
      <c r="M167" s="749">
        <v>4.33</v>
      </c>
      <c r="N167" s="749">
        <v>34</v>
      </c>
      <c r="O167" s="749">
        <v>164.7</v>
      </c>
      <c r="P167" s="749">
        <v>3.15</v>
      </c>
      <c r="Q167" s="749">
        <v>150</v>
      </c>
      <c r="R167" s="785">
        <v>0.183</v>
      </c>
      <c r="S167" s="785">
        <v>1.9770000000000001</v>
      </c>
      <c r="T167" s="749">
        <v>0.34</v>
      </c>
      <c r="U167" s="592">
        <v>5.55</v>
      </c>
      <c r="V167" s="592">
        <v>0.49399999999999999</v>
      </c>
      <c r="W167" s="1004">
        <v>119</v>
      </c>
      <c r="X167" s="1031">
        <v>0</v>
      </c>
      <c r="Y167" s="1018">
        <v>3.39</v>
      </c>
      <c r="Z167" s="749">
        <v>0</v>
      </c>
      <c r="AA167" s="592">
        <v>3.1</v>
      </c>
      <c r="AB167" s="592">
        <v>2.17</v>
      </c>
      <c r="AC167" s="592">
        <v>1.2</v>
      </c>
    </row>
    <row r="168" spans="2:29" s="35" customFormat="1" ht="14.1" hidden="1" customHeight="1" x14ac:dyDescent="0.25">
      <c r="B168" s="405"/>
      <c r="C168" s="588" t="s">
        <v>396</v>
      </c>
      <c r="D168" s="570" t="s">
        <v>368</v>
      </c>
      <c r="E168" s="571" t="s">
        <v>180</v>
      </c>
      <c r="F168" s="572" t="s">
        <v>393</v>
      </c>
      <c r="G168" s="749">
        <v>143</v>
      </c>
      <c r="H168" s="749">
        <v>12.56</v>
      </c>
      <c r="I168" s="749">
        <v>9.51</v>
      </c>
      <c r="J168" s="749">
        <v>56</v>
      </c>
      <c r="K168" s="749">
        <v>7.1999999999999995E-2</v>
      </c>
      <c r="L168" s="749"/>
      <c r="M168" s="749">
        <v>1.75</v>
      </c>
      <c r="N168" s="749">
        <v>12</v>
      </c>
      <c r="O168" s="749">
        <v>30.7</v>
      </c>
      <c r="P168" s="749">
        <v>1.29</v>
      </c>
      <c r="Q168" s="749">
        <v>160</v>
      </c>
      <c r="R168" s="785">
        <v>0.04</v>
      </c>
      <c r="S168" s="785">
        <v>0.45700000000000002</v>
      </c>
      <c r="T168" s="749">
        <v>7.4999999999999997E-2</v>
      </c>
      <c r="U168" s="592">
        <v>1.5329999999999999</v>
      </c>
      <c r="V168" s="592">
        <v>0.17</v>
      </c>
      <c r="W168" s="1004">
        <v>47</v>
      </c>
      <c r="X168" s="1031">
        <v>0</v>
      </c>
      <c r="Y168" s="1018">
        <v>0.89</v>
      </c>
      <c r="Z168" s="749">
        <v>0</v>
      </c>
      <c r="AA168" s="592">
        <v>2</v>
      </c>
      <c r="AB168" s="592">
        <v>1.05</v>
      </c>
      <c r="AC168" s="592">
        <v>0.3</v>
      </c>
    </row>
    <row r="169" spans="2:29" s="35" customFormat="1" ht="14.1" hidden="1" customHeight="1" x14ac:dyDescent="0.25">
      <c r="B169" s="405"/>
      <c r="C169" s="569" t="s">
        <v>395</v>
      </c>
      <c r="D169" s="570" t="s">
        <v>368</v>
      </c>
      <c r="E169" s="571" t="s">
        <v>180</v>
      </c>
      <c r="F169" s="572" t="s">
        <v>394</v>
      </c>
      <c r="G169" s="749">
        <v>185</v>
      </c>
      <c r="H169" s="749">
        <v>12.81</v>
      </c>
      <c r="I169" s="749">
        <v>13.77</v>
      </c>
      <c r="J169" s="749">
        <v>64</v>
      </c>
      <c r="K169" s="749">
        <v>6.2E-2</v>
      </c>
      <c r="L169" s="749"/>
      <c r="M169" s="749">
        <v>3.85</v>
      </c>
      <c r="N169" s="749">
        <v>17</v>
      </c>
      <c r="O169" s="749">
        <v>36.4</v>
      </c>
      <c r="P169" s="749">
        <v>1.41</v>
      </c>
      <c r="Q169" s="749">
        <v>194</v>
      </c>
      <c r="R169" s="785">
        <v>0.156</v>
      </c>
      <c r="S169" s="785">
        <v>0.40400000000000003</v>
      </c>
      <c r="T169" s="749">
        <v>0.2</v>
      </c>
      <c r="U169" s="592">
        <v>1.8620000000000001</v>
      </c>
      <c r="V169" s="592">
        <v>0.25</v>
      </c>
      <c r="W169" s="1004">
        <v>80</v>
      </c>
      <c r="X169" s="1031">
        <v>0</v>
      </c>
      <c r="Y169" s="1018">
        <v>5.4</v>
      </c>
      <c r="Z169" s="749">
        <v>0</v>
      </c>
      <c r="AA169" s="592">
        <v>1.7</v>
      </c>
      <c r="AB169" s="592">
        <v>1.34</v>
      </c>
      <c r="AC169" s="592">
        <v>0.4</v>
      </c>
    </row>
    <row r="170" spans="2:29" s="35" customFormat="1" ht="14.1" hidden="1" customHeight="1" x14ac:dyDescent="0.25">
      <c r="B170" s="405"/>
      <c r="C170" s="569" t="s">
        <v>399</v>
      </c>
      <c r="D170" s="570" t="s">
        <v>368</v>
      </c>
      <c r="E170" s="571" t="s">
        <v>176</v>
      </c>
      <c r="F170" s="572" t="s">
        <v>24</v>
      </c>
      <c r="G170" s="592">
        <v>25</v>
      </c>
      <c r="H170" s="592">
        <v>0.98</v>
      </c>
      <c r="I170" s="592">
        <v>0.18</v>
      </c>
      <c r="J170" s="749">
        <v>9</v>
      </c>
      <c r="K170" s="749">
        <v>8.1000000000000003E-2</v>
      </c>
      <c r="L170" s="749"/>
      <c r="M170" s="749">
        <v>0.23</v>
      </c>
      <c r="N170" s="749">
        <v>14</v>
      </c>
      <c r="O170" s="749">
        <v>0.3</v>
      </c>
      <c r="P170" s="749">
        <v>0.16</v>
      </c>
      <c r="Q170" s="749">
        <v>1</v>
      </c>
      <c r="R170" s="785">
        <v>3.9E-2</v>
      </c>
      <c r="S170" s="785">
        <v>3.6999999999999998E-2</v>
      </c>
      <c r="T170" s="749">
        <v>0.64900000000000002</v>
      </c>
      <c r="U170" s="592">
        <v>0.28100000000000003</v>
      </c>
      <c r="V170" s="592">
        <v>8.4000000000000005E-2</v>
      </c>
      <c r="W170" s="1004">
        <v>22</v>
      </c>
      <c r="X170" s="1031">
        <v>0</v>
      </c>
      <c r="Y170" s="1018">
        <v>0</v>
      </c>
      <c r="Z170" s="749">
        <v>2.2000000000000002</v>
      </c>
      <c r="AA170" s="592">
        <v>0</v>
      </c>
      <c r="AB170" s="592">
        <v>0.3</v>
      </c>
      <c r="AC170" s="592">
        <v>3.5</v>
      </c>
    </row>
    <row r="171" spans="2:29" s="35" customFormat="1" ht="14.1" hidden="1" customHeight="1" x14ac:dyDescent="0.25">
      <c r="B171" s="405"/>
      <c r="C171" s="773" t="s">
        <v>533</v>
      </c>
      <c r="D171" s="598" t="s">
        <v>488</v>
      </c>
      <c r="E171" s="600" t="s">
        <v>954</v>
      </c>
      <c r="F171" s="623" t="s">
        <v>531</v>
      </c>
      <c r="G171" s="758">
        <v>527</v>
      </c>
      <c r="H171" s="758">
        <v>14.5</v>
      </c>
      <c r="I171" s="758">
        <v>30.7</v>
      </c>
      <c r="J171" s="758">
        <v>450</v>
      </c>
      <c r="K171" s="758">
        <v>1.6</v>
      </c>
      <c r="L171" s="758">
        <v>105</v>
      </c>
      <c r="M171" s="758">
        <v>0.4</v>
      </c>
      <c r="N171" s="758">
        <v>110</v>
      </c>
      <c r="O171" s="758">
        <v>30</v>
      </c>
      <c r="P171" s="758">
        <v>14.5</v>
      </c>
      <c r="Q171" s="758">
        <v>1200</v>
      </c>
      <c r="R171" s="1063">
        <v>0.5</v>
      </c>
      <c r="S171" s="1063">
        <v>1.6</v>
      </c>
      <c r="T171" s="758">
        <v>5</v>
      </c>
      <c r="U171" s="645">
        <v>3</v>
      </c>
      <c r="V171" s="645">
        <v>0.6</v>
      </c>
      <c r="W171" s="1009">
        <v>200</v>
      </c>
      <c r="X171" s="1036">
        <v>200</v>
      </c>
      <c r="Y171" s="1023">
        <v>1.6</v>
      </c>
      <c r="Z171" s="758">
        <v>50</v>
      </c>
      <c r="AA171" s="645">
        <v>17.5</v>
      </c>
      <c r="AB171" s="645">
        <v>20</v>
      </c>
      <c r="AC171" s="645">
        <v>22.5</v>
      </c>
    </row>
    <row r="172" spans="2:29" s="35" customFormat="1" ht="14.1" hidden="1" customHeight="1" x14ac:dyDescent="0.25">
      <c r="B172" s="405"/>
      <c r="C172" s="773" t="s">
        <v>533</v>
      </c>
      <c r="D172" s="598" t="s">
        <v>488</v>
      </c>
      <c r="E172" s="600" t="s">
        <v>954</v>
      </c>
      <c r="F172" s="623" t="s">
        <v>532</v>
      </c>
      <c r="G172" s="758">
        <v>428</v>
      </c>
      <c r="H172" s="758">
        <v>5.4</v>
      </c>
      <c r="I172" s="758">
        <v>15.2</v>
      </c>
      <c r="J172" s="758">
        <v>450</v>
      </c>
      <c r="K172" s="758">
        <v>1.6</v>
      </c>
      <c r="L172" s="758">
        <v>105</v>
      </c>
      <c r="M172" s="758">
        <v>0.2</v>
      </c>
      <c r="N172" s="758">
        <v>56</v>
      </c>
      <c r="O172" s="758">
        <v>30</v>
      </c>
      <c r="P172" s="758">
        <v>14.5</v>
      </c>
      <c r="Q172" s="758">
        <v>1200</v>
      </c>
      <c r="R172" s="1063">
        <v>0.5</v>
      </c>
      <c r="S172" s="1063">
        <v>1.6</v>
      </c>
      <c r="T172" s="758">
        <v>5</v>
      </c>
      <c r="U172" s="645">
        <v>3</v>
      </c>
      <c r="V172" s="645">
        <v>0.6</v>
      </c>
      <c r="W172" s="1009">
        <v>200</v>
      </c>
      <c r="X172" s="1036">
        <v>200</v>
      </c>
      <c r="Y172" s="1023">
        <v>1.6</v>
      </c>
      <c r="Z172" s="758">
        <v>50</v>
      </c>
      <c r="AA172" s="645">
        <v>17.5</v>
      </c>
      <c r="AB172" s="645">
        <v>22.5</v>
      </c>
      <c r="AC172" s="645">
        <v>22.5</v>
      </c>
    </row>
    <row r="173" spans="2:29" s="35" customFormat="1" ht="14.1" hidden="1" customHeight="1" x14ac:dyDescent="0.25">
      <c r="B173" s="405"/>
      <c r="C173" s="569" t="s">
        <v>403</v>
      </c>
      <c r="D173" s="570" t="s">
        <v>368</v>
      </c>
      <c r="E173" s="571" t="s">
        <v>171</v>
      </c>
      <c r="F173" s="572" t="s">
        <v>402</v>
      </c>
      <c r="G173" s="749">
        <v>290</v>
      </c>
      <c r="H173" s="749">
        <v>62.82</v>
      </c>
      <c r="I173" s="749">
        <v>2.37</v>
      </c>
      <c r="J173" s="749">
        <v>160</v>
      </c>
      <c r="K173" s="749">
        <v>0.17599999999999999</v>
      </c>
      <c r="L173" s="749"/>
      <c r="M173" s="749">
        <v>2.5</v>
      </c>
      <c r="N173" s="749">
        <v>133</v>
      </c>
      <c r="O173" s="749">
        <v>147.80000000000001</v>
      </c>
      <c r="P173" s="749">
        <v>1.59</v>
      </c>
      <c r="Q173" s="749">
        <v>42</v>
      </c>
      <c r="R173" s="785">
        <v>0.26800000000000002</v>
      </c>
      <c r="S173" s="785">
        <v>0.24</v>
      </c>
      <c r="T173" s="749">
        <v>7.5</v>
      </c>
      <c r="U173" s="592">
        <v>1.675</v>
      </c>
      <c r="V173" s="592">
        <v>0.86399999999999999</v>
      </c>
      <c r="W173" s="1004">
        <v>25</v>
      </c>
      <c r="X173" s="1031">
        <v>0</v>
      </c>
      <c r="Y173" s="1018">
        <v>10</v>
      </c>
      <c r="Z173" s="749">
        <v>3.5</v>
      </c>
      <c r="AA173" s="592">
        <v>4</v>
      </c>
      <c r="AB173" s="592">
        <v>2.84</v>
      </c>
      <c r="AC173" s="592">
        <v>0.4</v>
      </c>
    </row>
    <row r="174" spans="2:29" s="35" customFormat="1" ht="14.1" hidden="1" customHeight="1" x14ac:dyDescent="0.25">
      <c r="B174" s="405"/>
      <c r="C174" s="588" t="s">
        <v>400</v>
      </c>
      <c r="D174" s="570" t="s">
        <v>368</v>
      </c>
      <c r="E174" s="571" t="s">
        <v>171</v>
      </c>
      <c r="F174" s="572" t="s">
        <v>401</v>
      </c>
      <c r="G174" s="749">
        <v>82</v>
      </c>
      <c r="H174" s="749">
        <v>17.809999999999999</v>
      </c>
      <c r="I174" s="749">
        <v>0.67</v>
      </c>
      <c r="J174" s="749">
        <v>16</v>
      </c>
      <c r="K174" s="749">
        <v>2.8000000000000001E-2</v>
      </c>
      <c r="L174" s="749"/>
      <c r="M174" s="749">
        <v>0.38</v>
      </c>
      <c r="N174" s="749">
        <v>32</v>
      </c>
      <c r="O174" s="749">
        <v>33.1</v>
      </c>
      <c r="P174" s="749">
        <v>0.45</v>
      </c>
      <c r="Q174" s="749">
        <v>12</v>
      </c>
      <c r="R174" s="785">
        <v>7.5999999999999998E-2</v>
      </c>
      <c r="S174" s="785">
        <v>6.5000000000000002E-2</v>
      </c>
      <c r="T174" s="749">
        <v>2.0630000000000002</v>
      </c>
      <c r="U174" s="592">
        <v>0.153</v>
      </c>
      <c r="V174" s="592">
        <v>0.245</v>
      </c>
      <c r="W174" s="1004">
        <v>7</v>
      </c>
      <c r="X174" s="1031">
        <v>0</v>
      </c>
      <c r="Y174" s="1018">
        <v>0.91</v>
      </c>
      <c r="Z174" s="749">
        <v>1</v>
      </c>
      <c r="AA174" s="592">
        <v>0.9</v>
      </c>
      <c r="AB174" s="592">
        <v>0.64</v>
      </c>
      <c r="AC174" s="592">
        <v>0.1</v>
      </c>
    </row>
    <row r="175" spans="2:29" s="35" customFormat="1" ht="14.1" hidden="1" customHeight="1" x14ac:dyDescent="0.25">
      <c r="B175" s="405"/>
      <c r="C175" s="772" t="s">
        <v>92</v>
      </c>
      <c r="D175" s="629" t="s">
        <v>488</v>
      </c>
      <c r="E175" s="630" t="s">
        <v>171</v>
      </c>
      <c r="F175" s="1082" t="s">
        <v>25</v>
      </c>
      <c r="G175" s="754">
        <v>270</v>
      </c>
      <c r="H175" s="754">
        <v>47</v>
      </c>
      <c r="I175" s="754">
        <v>7.5</v>
      </c>
      <c r="J175" s="754">
        <v>343</v>
      </c>
      <c r="K175" s="754"/>
      <c r="L175" s="754"/>
      <c r="M175" s="754">
        <v>2.8</v>
      </c>
      <c r="N175" s="754"/>
      <c r="O175" s="754"/>
      <c r="P175" s="754"/>
      <c r="Q175" s="754">
        <v>0</v>
      </c>
      <c r="R175" s="1061">
        <v>7.0000000000000007E-2</v>
      </c>
      <c r="S175" s="1061">
        <v>0.11</v>
      </c>
      <c r="T175" s="754">
        <v>8.6</v>
      </c>
      <c r="U175" s="755"/>
      <c r="V175" s="755"/>
      <c r="W175" s="1007">
        <v>0</v>
      </c>
      <c r="X175" s="1034">
        <v>0</v>
      </c>
      <c r="Y175" s="1021"/>
      <c r="Z175" s="754">
        <v>0</v>
      </c>
      <c r="AA175" s="755"/>
      <c r="AB175" s="755"/>
      <c r="AC175" s="755"/>
    </row>
    <row r="176" spans="2:29" s="35" customFormat="1" ht="14.1" hidden="1" customHeight="1" x14ac:dyDescent="0.25">
      <c r="B176" s="405"/>
      <c r="C176" s="588" t="s">
        <v>404</v>
      </c>
      <c r="D176" s="570" t="s">
        <v>368</v>
      </c>
      <c r="E176" s="571" t="s">
        <v>249</v>
      </c>
      <c r="F176" s="572" t="s">
        <v>26</v>
      </c>
      <c r="G176" s="749">
        <v>73</v>
      </c>
      <c r="H176" s="749">
        <v>0.39</v>
      </c>
      <c r="I176" s="749">
        <v>7.0000000000000007E-2</v>
      </c>
      <c r="J176" s="749">
        <v>6</v>
      </c>
      <c r="K176" s="749">
        <v>6.9000000000000006E-2</v>
      </c>
      <c r="L176" s="749"/>
      <c r="M176" s="749">
        <v>0.28999999999999998</v>
      </c>
      <c r="N176" s="749">
        <v>5</v>
      </c>
      <c r="O176" s="749">
        <v>0.5</v>
      </c>
      <c r="P176" s="749">
        <v>0.08</v>
      </c>
      <c r="Q176" s="749">
        <v>10</v>
      </c>
      <c r="R176" s="785">
        <v>1.7999999999999999E-2</v>
      </c>
      <c r="S176" s="785">
        <v>1.9E-2</v>
      </c>
      <c r="T176" s="749">
        <v>0.374</v>
      </c>
      <c r="U176" s="592">
        <v>0.06</v>
      </c>
      <c r="V176" s="592">
        <v>0.05</v>
      </c>
      <c r="W176" s="1004">
        <v>3</v>
      </c>
      <c r="X176" s="1031">
        <v>0</v>
      </c>
      <c r="Y176" s="1018">
        <v>0</v>
      </c>
      <c r="Z176" s="749">
        <v>1.9</v>
      </c>
      <c r="AA176" s="592">
        <v>0</v>
      </c>
      <c r="AB176" s="592">
        <v>0.4</v>
      </c>
      <c r="AC176" s="592">
        <v>2.6</v>
      </c>
    </row>
    <row r="177" spans="2:29" s="35" customFormat="1" ht="14.1" hidden="1" customHeight="1" x14ac:dyDescent="0.25">
      <c r="B177" s="405"/>
      <c r="C177" s="588" t="s">
        <v>480</v>
      </c>
      <c r="D177" s="570" t="s">
        <v>449</v>
      </c>
      <c r="E177" s="571" t="s">
        <v>173</v>
      </c>
      <c r="F177" s="572" t="s">
        <v>479</v>
      </c>
      <c r="G177" s="749">
        <v>149</v>
      </c>
      <c r="H177" s="749">
        <v>6.36</v>
      </c>
      <c r="I177" s="749">
        <v>0.5</v>
      </c>
      <c r="J177" s="749">
        <v>181</v>
      </c>
      <c r="K177" s="749">
        <v>0.29899999999999999</v>
      </c>
      <c r="L177" s="749"/>
      <c r="M177" s="749">
        <v>1.7</v>
      </c>
      <c r="N177" s="749">
        <v>25</v>
      </c>
      <c r="O177" s="749">
        <v>14.2</v>
      </c>
      <c r="P177" s="749">
        <v>1.1599999999999999</v>
      </c>
      <c r="Q177" s="749">
        <v>0</v>
      </c>
      <c r="R177" s="785">
        <v>0.2</v>
      </c>
      <c r="S177" s="785">
        <v>0.11</v>
      </c>
      <c r="T177" s="749">
        <v>0.7</v>
      </c>
      <c r="U177" s="592">
        <v>0.59599999999999997</v>
      </c>
      <c r="V177" s="592">
        <v>1.2350000000000001</v>
      </c>
      <c r="W177" s="1004">
        <v>3</v>
      </c>
      <c r="X177" s="1031">
        <v>0</v>
      </c>
      <c r="Y177" s="1018">
        <v>0</v>
      </c>
      <c r="Z177" s="749">
        <v>31.2</v>
      </c>
      <c r="AA177" s="592">
        <v>0</v>
      </c>
      <c r="AB177" s="592">
        <v>0.08</v>
      </c>
      <c r="AC177" s="592">
        <v>1.7</v>
      </c>
    </row>
    <row r="178" spans="2:29" s="35" customFormat="1" ht="14.1" hidden="1" customHeight="1" x14ac:dyDescent="0.25">
      <c r="B178" s="405"/>
      <c r="C178" s="588" t="s">
        <v>405</v>
      </c>
      <c r="D178" s="570" t="s">
        <v>368</v>
      </c>
      <c r="E178" s="571" t="s">
        <v>172</v>
      </c>
      <c r="F178" s="595" t="s">
        <v>27</v>
      </c>
      <c r="G178" s="749">
        <v>876</v>
      </c>
      <c r="H178" s="749">
        <v>0.28000000000000003</v>
      </c>
      <c r="I178" s="749">
        <v>99.48</v>
      </c>
      <c r="J178" s="749">
        <v>4</v>
      </c>
      <c r="K178" s="749">
        <v>1E-3</v>
      </c>
      <c r="L178" s="749"/>
      <c r="M178" s="749">
        <v>0</v>
      </c>
      <c r="N178" s="749">
        <v>0</v>
      </c>
      <c r="O178" s="749">
        <v>0</v>
      </c>
      <c r="P178" s="749">
        <v>0.01</v>
      </c>
      <c r="Q178" s="749">
        <v>840</v>
      </c>
      <c r="R178" s="785">
        <v>1E-3</v>
      </c>
      <c r="S178" s="785">
        <v>5.0000000000000001E-3</v>
      </c>
      <c r="T178" s="749">
        <v>3.0000000000000001E-3</v>
      </c>
      <c r="U178" s="592">
        <v>0.01</v>
      </c>
      <c r="V178" s="592">
        <v>1E-3</v>
      </c>
      <c r="W178" s="1004">
        <v>0</v>
      </c>
      <c r="X178" s="1031">
        <v>0</v>
      </c>
      <c r="Y178" s="1018">
        <v>0.01</v>
      </c>
      <c r="Z178" s="749">
        <v>0</v>
      </c>
      <c r="AA178" s="592">
        <v>1.8</v>
      </c>
      <c r="AB178" s="592">
        <v>2.8</v>
      </c>
      <c r="AC178" s="592">
        <v>8.6</v>
      </c>
    </row>
    <row r="179" spans="2:29" s="35" customFormat="1" ht="14.1" hidden="1" customHeight="1" x14ac:dyDescent="0.25">
      <c r="B179" s="405"/>
      <c r="C179" s="588" t="s">
        <v>406</v>
      </c>
      <c r="D179" s="570" t="s">
        <v>368</v>
      </c>
      <c r="E179" s="571" t="s">
        <v>250</v>
      </c>
      <c r="F179" s="572" t="s">
        <v>408</v>
      </c>
      <c r="G179" s="749">
        <v>109</v>
      </c>
      <c r="H179" s="749">
        <v>20.6</v>
      </c>
      <c r="I179" s="749">
        <v>2.31</v>
      </c>
      <c r="J179" s="749">
        <v>13</v>
      </c>
      <c r="K179" s="749">
        <v>0.25600000000000001</v>
      </c>
      <c r="L179" s="749"/>
      <c r="M179" s="749">
        <v>2.83</v>
      </c>
      <c r="N179" s="749"/>
      <c r="O179" s="749">
        <v>8.8000000000000007</v>
      </c>
      <c r="P179" s="749">
        <v>4</v>
      </c>
      <c r="Q179" s="749">
        <v>0</v>
      </c>
      <c r="R179" s="785">
        <v>0.11</v>
      </c>
      <c r="S179" s="785">
        <v>0.49</v>
      </c>
      <c r="T179" s="749">
        <v>3.75</v>
      </c>
      <c r="U179" s="592"/>
      <c r="V179" s="592"/>
      <c r="W179" s="1004">
        <v>5</v>
      </c>
      <c r="X179" s="1031">
        <v>0</v>
      </c>
      <c r="Y179" s="1018">
        <v>1.1299999999999999</v>
      </c>
      <c r="Z179" s="749">
        <v>0</v>
      </c>
      <c r="AA179" s="592"/>
      <c r="AB179" s="592"/>
      <c r="AC179" s="592"/>
    </row>
    <row r="180" spans="2:29" s="35" customFormat="1" ht="14.1" hidden="1" customHeight="1" x14ac:dyDescent="0.25">
      <c r="B180" s="405"/>
      <c r="C180" s="569" t="s">
        <v>407</v>
      </c>
      <c r="D180" s="570" t="s">
        <v>368</v>
      </c>
      <c r="E180" s="571" t="s">
        <v>179</v>
      </c>
      <c r="F180" s="572" t="s">
        <v>867</v>
      </c>
      <c r="G180" s="749">
        <v>567</v>
      </c>
      <c r="H180" s="749">
        <v>25.8</v>
      </c>
      <c r="I180" s="749">
        <v>49.24</v>
      </c>
      <c r="J180" s="749">
        <v>92</v>
      </c>
      <c r="K180" s="749">
        <v>1.1439999999999999</v>
      </c>
      <c r="L180" s="749"/>
      <c r="M180" s="749">
        <v>4.58</v>
      </c>
      <c r="N180" s="749">
        <v>168</v>
      </c>
      <c r="O180" s="749">
        <v>7.2</v>
      </c>
      <c r="P180" s="749">
        <v>3.27</v>
      </c>
      <c r="Q180" s="749">
        <v>0</v>
      </c>
      <c r="R180" s="785">
        <v>0.64</v>
      </c>
      <c r="S180" s="785">
        <v>0.13500000000000001</v>
      </c>
      <c r="T180" s="749">
        <v>12.066000000000001</v>
      </c>
      <c r="U180" s="592">
        <v>1.7669999999999999</v>
      </c>
      <c r="V180" s="592">
        <v>0.34799999999999998</v>
      </c>
      <c r="W180" s="1004">
        <v>240</v>
      </c>
      <c r="X180" s="1031">
        <v>0</v>
      </c>
      <c r="Y180" s="1018">
        <v>0</v>
      </c>
      <c r="Z180" s="749">
        <v>0</v>
      </c>
      <c r="AA180" s="592">
        <v>0</v>
      </c>
      <c r="AB180" s="592">
        <v>8.33</v>
      </c>
      <c r="AC180" s="592">
        <v>0</v>
      </c>
    </row>
    <row r="181" spans="2:29" s="35" customFormat="1" ht="14.1" hidden="1" customHeight="1" x14ac:dyDescent="0.25">
      <c r="B181" s="405"/>
      <c r="C181" s="588" t="s">
        <v>409</v>
      </c>
      <c r="D181" s="570" t="s">
        <v>368</v>
      </c>
      <c r="E181" s="571" t="s">
        <v>248</v>
      </c>
      <c r="F181" s="572" t="s">
        <v>28</v>
      </c>
      <c r="G181" s="749">
        <v>68</v>
      </c>
      <c r="H181" s="749">
        <v>2.5499999999999998</v>
      </c>
      <c r="I181" s="749">
        <v>0.95</v>
      </c>
      <c r="J181" s="749">
        <v>18</v>
      </c>
      <c r="K181" s="749">
        <v>0.23</v>
      </c>
      <c r="L181" s="749"/>
      <c r="M181" s="749">
        <v>0.26</v>
      </c>
      <c r="N181" s="749">
        <v>22</v>
      </c>
      <c r="O181" s="749">
        <v>0.6</v>
      </c>
      <c r="P181" s="749">
        <v>0.23</v>
      </c>
      <c r="Q181" s="749">
        <v>31</v>
      </c>
      <c r="R181" s="785">
        <v>6.7000000000000004E-2</v>
      </c>
      <c r="S181" s="785">
        <v>0.04</v>
      </c>
      <c r="T181" s="749">
        <v>1.0840000000000001</v>
      </c>
      <c r="U181" s="592">
        <v>0.45100000000000001</v>
      </c>
      <c r="V181" s="592">
        <v>0.11</v>
      </c>
      <c r="W181" s="1004">
        <v>49</v>
      </c>
      <c r="X181" s="1031">
        <v>0</v>
      </c>
      <c r="Y181" s="1018">
        <v>0</v>
      </c>
      <c r="Z181" s="749">
        <v>228.3</v>
      </c>
      <c r="AA181" s="592">
        <v>0</v>
      </c>
      <c r="AB181" s="592">
        <v>0.73</v>
      </c>
      <c r="AC181" s="592">
        <v>2.6</v>
      </c>
    </row>
    <row r="182" spans="2:29" s="35" customFormat="1" ht="14.1" hidden="1" customHeight="1" x14ac:dyDescent="0.25">
      <c r="B182" s="405"/>
      <c r="C182" s="603" t="s">
        <v>530</v>
      </c>
      <c r="D182" s="598" t="s">
        <v>488</v>
      </c>
      <c r="E182" s="605" t="s">
        <v>954</v>
      </c>
      <c r="F182" s="606" t="s">
        <v>665</v>
      </c>
      <c r="G182" s="759">
        <v>450</v>
      </c>
      <c r="H182" s="759">
        <v>12.5</v>
      </c>
      <c r="I182" s="759">
        <v>15</v>
      </c>
      <c r="J182" s="759">
        <v>250</v>
      </c>
      <c r="K182" s="759"/>
      <c r="L182" s="759">
        <v>75</v>
      </c>
      <c r="M182" s="759">
        <v>11</v>
      </c>
      <c r="N182" s="759">
        <v>150</v>
      </c>
      <c r="O182" s="759"/>
      <c r="P182" s="759"/>
      <c r="Q182" s="759">
        <v>250</v>
      </c>
      <c r="R182" s="1064">
        <v>0.5</v>
      </c>
      <c r="S182" s="1064">
        <v>0.7</v>
      </c>
      <c r="T182" s="759">
        <v>6</v>
      </c>
      <c r="U182" s="645">
        <v>3</v>
      </c>
      <c r="V182" s="645">
        <v>1</v>
      </c>
      <c r="W182" s="1009">
        <f>X182*1.7</f>
        <v>136</v>
      </c>
      <c r="X182" s="1036">
        <v>80</v>
      </c>
      <c r="Y182" s="1023">
        <v>2</v>
      </c>
      <c r="Z182" s="759">
        <v>20</v>
      </c>
      <c r="AA182" s="645">
        <v>1.9</v>
      </c>
      <c r="AB182" s="645">
        <v>5</v>
      </c>
      <c r="AC182" s="645"/>
    </row>
    <row r="183" spans="2:29" s="35" customFormat="1" ht="14.1" hidden="1" customHeight="1" x14ac:dyDescent="0.25">
      <c r="B183" s="405"/>
      <c r="C183" s="588" t="s">
        <v>554</v>
      </c>
      <c r="D183" s="570" t="s">
        <v>488</v>
      </c>
      <c r="E183" s="637" t="s">
        <v>173</v>
      </c>
      <c r="F183" s="636" t="s">
        <v>553</v>
      </c>
      <c r="G183" s="760">
        <v>166</v>
      </c>
      <c r="H183" s="760">
        <v>7.9</v>
      </c>
      <c r="I183" s="760">
        <v>9.6</v>
      </c>
      <c r="J183" s="760">
        <v>38</v>
      </c>
      <c r="K183" s="760">
        <v>0.52700000000000002</v>
      </c>
      <c r="L183" s="760"/>
      <c r="M183" s="760">
        <v>2.44</v>
      </c>
      <c r="N183" s="760">
        <v>71</v>
      </c>
      <c r="O183" s="760">
        <v>2.6</v>
      </c>
      <c r="P183" s="760">
        <v>1.83</v>
      </c>
      <c r="Q183" s="760"/>
      <c r="R183" s="1065">
        <v>0.18</v>
      </c>
      <c r="S183" s="1065">
        <v>6.4000000000000001E-2</v>
      </c>
      <c r="T183" s="760">
        <v>0.58199999999999996</v>
      </c>
      <c r="U183" s="592">
        <v>0.13200000000000001</v>
      </c>
      <c r="V183" s="592">
        <v>0.2</v>
      </c>
      <c r="W183" s="1004">
        <v>83</v>
      </c>
      <c r="X183" s="1031">
        <v>0</v>
      </c>
      <c r="Y183" s="1018">
        <v>0</v>
      </c>
      <c r="Z183" s="760">
        <v>0</v>
      </c>
      <c r="AA183" s="592">
        <v>0</v>
      </c>
      <c r="AB183" s="592"/>
      <c r="AC183" s="592"/>
    </row>
    <row r="184" spans="2:29" s="35" customFormat="1" ht="14.1" hidden="1" customHeight="1" x14ac:dyDescent="0.25">
      <c r="B184" s="405"/>
      <c r="C184" s="588" t="s">
        <v>552</v>
      </c>
      <c r="D184" s="570" t="s">
        <v>488</v>
      </c>
      <c r="E184" s="571" t="s">
        <v>173</v>
      </c>
      <c r="F184" s="636" t="s">
        <v>551</v>
      </c>
      <c r="G184" s="761">
        <v>278</v>
      </c>
      <c r="H184" s="761">
        <v>0.37</v>
      </c>
      <c r="I184" s="761">
        <v>7.0000000000000007E-2</v>
      </c>
      <c r="J184" s="761">
        <v>20</v>
      </c>
      <c r="K184" s="761">
        <v>0.1</v>
      </c>
      <c r="L184" s="761"/>
      <c r="M184" s="761">
        <v>0.49</v>
      </c>
      <c r="N184" s="761">
        <v>4</v>
      </c>
      <c r="O184" s="761">
        <v>2</v>
      </c>
      <c r="P184" s="761">
        <v>0.06</v>
      </c>
      <c r="Q184" s="761">
        <v>0</v>
      </c>
      <c r="R184" s="1066">
        <v>1.6E-2</v>
      </c>
      <c r="S184" s="1066">
        <v>7.5999999999999998E-2</v>
      </c>
      <c r="T184" s="761">
        <v>3.5999999999999997E-2</v>
      </c>
      <c r="U184" s="590">
        <v>0.02</v>
      </c>
      <c r="V184" s="590">
        <v>0.02</v>
      </c>
      <c r="W184" s="1003">
        <v>11</v>
      </c>
      <c r="X184" s="1030">
        <v>0</v>
      </c>
      <c r="Y184" s="1017">
        <v>0</v>
      </c>
      <c r="Z184" s="761">
        <v>8.8000000000000007</v>
      </c>
      <c r="AA184" s="590">
        <v>0</v>
      </c>
      <c r="AB184" s="590">
        <v>0.12</v>
      </c>
      <c r="AC184" s="590">
        <v>0</v>
      </c>
    </row>
    <row r="185" spans="2:29" s="35" customFormat="1" ht="14.1" hidden="1" customHeight="1" x14ac:dyDescent="0.25">
      <c r="B185" s="405"/>
      <c r="C185" s="588" t="s">
        <v>536</v>
      </c>
      <c r="D185" s="570" t="s">
        <v>488</v>
      </c>
      <c r="E185" s="571" t="s">
        <v>250</v>
      </c>
      <c r="F185" s="1081" t="s">
        <v>537</v>
      </c>
      <c r="G185" s="749">
        <v>282</v>
      </c>
      <c r="H185" s="749">
        <v>16.559999999999999</v>
      </c>
      <c r="I185" s="749">
        <v>23.41</v>
      </c>
      <c r="J185" s="749">
        <v>16</v>
      </c>
      <c r="K185" s="749">
        <v>0.10100000000000001</v>
      </c>
      <c r="L185" s="749"/>
      <c r="M185" s="749">
        <v>1.55</v>
      </c>
      <c r="N185" s="749">
        <v>21</v>
      </c>
      <c r="O185" s="749">
        <v>18.8</v>
      </c>
      <c r="P185" s="749">
        <v>3.41</v>
      </c>
      <c r="Q185" s="749">
        <v>0</v>
      </c>
      <c r="R185" s="785">
        <v>0.11</v>
      </c>
      <c r="S185" s="785">
        <v>0.21</v>
      </c>
      <c r="T185" s="749">
        <v>5.96</v>
      </c>
      <c r="U185" s="592">
        <v>0.65</v>
      </c>
      <c r="V185" s="592">
        <v>0.13</v>
      </c>
      <c r="W185" s="1004">
        <v>18</v>
      </c>
      <c r="X185" s="1031">
        <v>0</v>
      </c>
      <c r="Y185" s="1018">
        <v>2.31</v>
      </c>
      <c r="Z185" s="749">
        <v>0</v>
      </c>
      <c r="AA185" s="592">
        <v>0.1</v>
      </c>
      <c r="AB185" s="592">
        <v>0.2</v>
      </c>
      <c r="AC185" s="592">
        <v>3.6</v>
      </c>
    </row>
    <row r="186" spans="2:29" s="35" customFormat="1" ht="14.1" hidden="1" customHeight="1" x14ac:dyDescent="0.25">
      <c r="B186" s="405"/>
      <c r="C186" s="588" t="s">
        <v>412</v>
      </c>
      <c r="D186" s="570" t="s">
        <v>368</v>
      </c>
      <c r="E186" s="593" t="s">
        <v>176</v>
      </c>
      <c r="F186" s="594" t="s">
        <v>29</v>
      </c>
      <c r="G186" s="750">
        <v>23</v>
      </c>
      <c r="H186" s="750">
        <v>2.86</v>
      </c>
      <c r="I186" s="750">
        <v>0.39</v>
      </c>
      <c r="J186" s="750">
        <v>99</v>
      </c>
      <c r="K186" s="750">
        <v>0.13</v>
      </c>
      <c r="L186" s="750"/>
      <c r="M186" s="750">
        <v>2.71</v>
      </c>
      <c r="N186" s="750">
        <v>79</v>
      </c>
      <c r="O186" s="750">
        <v>1</v>
      </c>
      <c r="P186" s="750">
        <v>0.53</v>
      </c>
      <c r="Q186" s="750">
        <v>469</v>
      </c>
      <c r="R186" s="1058">
        <v>7.8E-2</v>
      </c>
      <c r="S186" s="1058">
        <v>0.189</v>
      </c>
      <c r="T186" s="750">
        <v>0.72399999999999998</v>
      </c>
      <c r="U186" s="592">
        <v>6.5000000000000002E-2</v>
      </c>
      <c r="V186" s="592">
        <v>0.19500000000000001</v>
      </c>
      <c r="W186" s="1004">
        <v>194</v>
      </c>
      <c r="X186" s="1031">
        <v>0</v>
      </c>
      <c r="Y186" s="1018">
        <v>0</v>
      </c>
      <c r="Z186" s="750">
        <v>28.1</v>
      </c>
      <c r="AA186" s="592">
        <v>0</v>
      </c>
      <c r="AB186" s="592">
        <v>2.0299999999999998</v>
      </c>
      <c r="AC186" s="592">
        <v>482.9</v>
      </c>
    </row>
    <row r="187" spans="2:29" s="35" customFormat="1" ht="14.1" hidden="1" customHeight="1" x14ac:dyDescent="0.25">
      <c r="B187" s="405"/>
      <c r="C187" s="588" t="s">
        <v>411</v>
      </c>
      <c r="D187" s="570" t="s">
        <v>368</v>
      </c>
      <c r="E187" s="571" t="s">
        <v>176</v>
      </c>
      <c r="F187" s="572" t="s">
        <v>30</v>
      </c>
      <c r="G187" s="749">
        <v>25</v>
      </c>
      <c r="H187" s="749">
        <v>1.28</v>
      </c>
      <c r="I187" s="749">
        <v>0.1</v>
      </c>
      <c r="J187" s="749">
        <v>40</v>
      </c>
      <c r="K187" s="749">
        <v>1.9E-2</v>
      </c>
      <c r="L187" s="749"/>
      <c r="M187" s="749">
        <v>0.47</v>
      </c>
      <c r="N187" s="749">
        <v>12</v>
      </c>
      <c r="O187" s="749">
        <v>0.3</v>
      </c>
      <c r="P187" s="749">
        <v>0.18</v>
      </c>
      <c r="Q187" s="749">
        <v>5</v>
      </c>
      <c r="R187" s="785">
        <v>6.0999999999999999E-2</v>
      </c>
      <c r="S187" s="785">
        <v>0.04</v>
      </c>
      <c r="T187" s="749">
        <v>0.23400000000000001</v>
      </c>
      <c r="U187" s="592">
        <v>0.21199999999999999</v>
      </c>
      <c r="V187" s="592">
        <v>0.124</v>
      </c>
      <c r="W187" s="1004">
        <v>43</v>
      </c>
      <c r="X187" s="1031">
        <v>0</v>
      </c>
      <c r="Y187" s="1018">
        <v>0</v>
      </c>
      <c r="Z187" s="749">
        <v>36.6</v>
      </c>
      <c r="AA187" s="592">
        <v>0</v>
      </c>
      <c r="AB187" s="592">
        <v>0.15</v>
      </c>
      <c r="AC187" s="592">
        <v>76</v>
      </c>
    </row>
    <row r="188" spans="2:29" s="35" customFormat="1" ht="14.1" hidden="1" customHeight="1" x14ac:dyDescent="0.25">
      <c r="B188" s="405"/>
      <c r="C188" s="588" t="s">
        <v>410</v>
      </c>
      <c r="D188" s="570" t="s">
        <v>368</v>
      </c>
      <c r="E188" s="571" t="s">
        <v>176</v>
      </c>
      <c r="F188" s="572" t="s">
        <v>31</v>
      </c>
      <c r="G188" s="749">
        <v>19</v>
      </c>
      <c r="H188" s="749">
        <v>3.15</v>
      </c>
      <c r="I188" s="749">
        <v>0.4</v>
      </c>
      <c r="J188" s="749">
        <v>39</v>
      </c>
      <c r="K188" s="749">
        <v>0.13300000000000001</v>
      </c>
      <c r="L188" s="749"/>
      <c r="M188" s="749">
        <v>2.2200000000000002</v>
      </c>
      <c r="N188" s="749">
        <v>38</v>
      </c>
      <c r="O188" s="749">
        <v>0.9</v>
      </c>
      <c r="P188" s="749">
        <v>0.2</v>
      </c>
      <c r="Q188" s="749">
        <v>97</v>
      </c>
      <c r="R188" s="785">
        <v>9.4E-2</v>
      </c>
      <c r="S188" s="785">
        <v>0.128</v>
      </c>
      <c r="T188" s="749">
        <v>0.92</v>
      </c>
      <c r="U188" s="592">
        <v>4.2000000000000003E-2</v>
      </c>
      <c r="V188" s="592">
        <v>0.20699999999999999</v>
      </c>
      <c r="W188" s="1004">
        <v>36</v>
      </c>
      <c r="X188" s="1031">
        <v>0</v>
      </c>
      <c r="Y188" s="1018">
        <v>0</v>
      </c>
      <c r="Z188" s="749">
        <v>11</v>
      </c>
      <c r="AA188" s="592">
        <v>0</v>
      </c>
      <c r="AB188" s="592"/>
      <c r="AC188" s="592"/>
    </row>
    <row r="189" spans="2:29" s="35" customFormat="1" ht="14.1" hidden="1" customHeight="1" x14ac:dyDescent="0.25">
      <c r="B189" s="405"/>
      <c r="C189" s="588" t="s">
        <v>415</v>
      </c>
      <c r="D189" s="570" t="s">
        <v>368</v>
      </c>
      <c r="E189" s="571" t="s">
        <v>248</v>
      </c>
      <c r="F189" s="572" t="s">
        <v>416</v>
      </c>
      <c r="G189" s="749">
        <v>29</v>
      </c>
      <c r="H189" s="749">
        <v>1.1000000000000001</v>
      </c>
      <c r="I189" s="749">
        <v>0.3</v>
      </c>
      <c r="J189" s="749">
        <v>26</v>
      </c>
      <c r="K189" s="749">
        <v>3.6999999999999998E-2</v>
      </c>
      <c r="L189" s="749"/>
      <c r="M189" s="749">
        <v>0.6</v>
      </c>
      <c r="N189" s="749">
        <v>8</v>
      </c>
      <c r="O189" s="749">
        <v>0.4</v>
      </c>
      <c r="P189" s="749">
        <v>0.06</v>
      </c>
      <c r="Q189" s="749">
        <v>1</v>
      </c>
      <c r="R189" s="785">
        <v>0.04</v>
      </c>
      <c r="S189" s="785">
        <v>0.02</v>
      </c>
      <c r="T189" s="749">
        <v>0.1</v>
      </c>
      <c r="U189" s="592">
        <v>0.19</v>
      </c>
      <c r="V189" s="592">
        <v>0.08</v>
      </c>
      <c r="W189" s="1004">
        <v>11</v>
      </c>
      <c r="X189" s="1031">
        <v>0</v>
      </c>
      <c r="Y189" s="1018">
        <v>0</v>
      </c>
      <c r="Z189" s="749">
        <v>53</v>
      </c>
      <c r="AA189" s="592">
        <v>0</v>
      </c>
      <c r="AB189" s="592">
        <v>0.15</v>
      </c>
      <c r="AC189" s="592">
        <v>0</v>
      </c>
    </row>
    <row r="190" spans="2:29" s="35" customFormat="1" ht="14.1" hidden="1" customHeight="1" x14ac:dyDescent="0.25">
      <c r="B190" s="405"/>
      <c r="C190" s="569" t="s">
        <v>414</v>
      </c>
      <c r="D190" s="570" t="s">
        <v>368</v>
      </c>
      <c r="E190" s="571" t="s">
        <v>179</v>
      </c>
      <c r="F190" s="572" t="s">
        <v>32</v>
      </c>
      <c r="G190" s="749">
        <v>343</v>
      </c>
      <c r="H190" s="749">
        <v>25.8</v>
      </c>
      <c r="I190" s="749">
        <v>1.06</v>
      </c>
      <c r="J190" s="749">
        <v>56</v>
      </c>
      <c r="K190" s="749">
        <v>0.51900000000000002</v>
      </c>
      <c r="L190" s="749"/>
      <c r="M190" s="749">
        <v>7.54</v>
      </c>
      <c r="N190" s="749">
        <v>122</v>
      </c>
      <c r="O190" s="749">
        <v>8.3000000000000007</v>
      </c>
      <c r="P190" s="749">
        <v>4.78</v>
      </c>
      <c r="Q190" s="749">
        <v>2</v>
      </c>
      <c r="R190" s="785">
        <v>0.873</v>
      </c>
      <c r="S190" s="785">
        <v>0.21099999999999999</v>
      </c>
      <c r="T190" s="749">
        <v>2.605</v>
      </c>
      <c r="U190" s="592">
        <v>2.14</v>
      </c>
      <c r="V190" s="592">
        <v>0.54</v>
      </c>
      <c r="W190" s="1004">
        <v>479</v>
      </c>
      <c r="X190" s="1031">
        <v>0</v>
      </c>
      <c r="Y190" s="1018">
        <v>0</v>
      </c>
      <c r="Z190" s="749">
        <v>4.4000000000000004</v>
      </c>
      <c r="AA190" s="592">
        <v>0</v>
      </c>
      <c r="AB190" s="592">
        <v>0.49</v>
      </c>
      <c r="AC190" s="592">
        <v>5</v>
      </c>
    </row>
    <row r="191" spans="2:29" s="35" customFormat="1" ht="14.1" hidden="1" customHeight="1" x14ac:dyDescent="0.25">
      <c r="B191" s="405"/>
      <c r="C191" s="569" t="s">
        <v>413</v>
      </c>
      <c r="D191" s="570" t="s">
        <v>368</v>
      </c>
      <c r="E191" s="571" t="s">
        <v>248</v>
      </c>
      <c r="F191" s="572" t="s">
        <v>259</v>
      </c>
      <c r="G191" s="592">
        <v>30</v>
      </c>
      <c r="H191" s="592">
        <v>0.7</v>
      </c>
      <c r="I191" s="592">
        <v>0.2</v>
      </c>
      <c r="J191" s="749">
        <v>33</v>
      </c>
      <c r="K191" s="749">
        <v>6.5000000000000002E-2</v>
      </c>
      <c r="L191" s="749"/>
      <c r="M191" s="749">
        <v>0.6</v>
      </c>
      <c r="N191" s="749">
        <v>6</v>
      </c>
      <c r="O191" s="749">
        <v>0.4</v>
      </c>
      <c r="P191" s="749">
        <v>0.11</v>
      </c>
      <c r="Q191" s="749">
        <v>2</v>
      </c>
      <c r="R191" s="785">
        <v>0.03</v>
      </c>
      <c r="S191" s="785">
        <v>0.02</v>
      </c>
      <c r="T191" s="749">
        <v>0.2</v>
      </c>
      <c r="U191" s="592">
        <v>0.217</v>
      </c>
      <c r="V191" s="592">
        <v>4.2999999999999997E-2</v>
      </c>
      <c r="W191" s="1004">
        <v>8</v>
      </c>
      <c r="X191" s="1031">
        <v>0</v>
      </c>
      <c r="Y191" s="1018">
        <v>0</v>
      </c>
      <c r="Z191" s="749">
        <v>29.1</v>
      </c>
      <c r="AA191" s="592">
        <v>0</v>
      </c>
      <c r="AB191" s="592">
        <v>0.22</v>
      </c>
      <c r="AC191" s="592">
        <v>0.6</v>
      </c>
    </row>
    <row r="192" spans="2:29" s="35" customFormat="1" ht="14.1" hidden="1" customHeight="1" x14ac:dyDescent="0.25">
      <c r="B192" s="405"/>
      <c r="C192" s="778" t="s">
        <v>576</v>
      </c>
      <c r="D192" s="599" t="s">
        <v>577</v>
      </c>
      <c r="E192" s="618" t="s">
        <v>954</v>
      </c>
      <c r="F192" s="619" t="s">
        <v>575</v>
      </c>
      <c r="G192" s="762">
        <v>537.5</v>
      </c>
      <c r="H192" s="762">
        <v>13.2</v>
      </c>
      <c r="I192" s="762">
        <v>34.4</v>
      </c>
      <c r="J192" s="762">
        <v>550</v>
      </c>
      <c r="K192" s="762">
        <v>1</v>
      </c>
      <c r="L192" s="762">
        <v>450</v>
      </c>
      <c r="M192" s="762">
        <v>45</v>
      </c>
      <c r="N192" s="762">
        <v>80</v>
      </c>
      <c r="O192" s="762">
        <v>50</v>
      </c>
      <c r="P192" s="762">
        <v>20</v>
      </c>
      <c r="Q192" s="762">
        <v>2500</v>
      </c>
      <c r="R192" s="1067">
        <v>2.2999999999999998</v>
      </c>
      <c r="S192" s="1067">
        <v>2.2999999999999998</v>
      </c>
      <c r="T192" s="762">
        <v>24</v>
      </c>
      <c r="U192" s="752">
        <v>11</v>
      </c>
      <c r="V192" s="752">
        <v>1.7</v>
      </c>
      <c r="W192" s="1005">
        <f>X192*1.7</f>
        <v>807.5</v>
      </c>
      <c r="X192" s="1032">
        <v>475</v>
      </c>
      <c r="Y192" s="1019">
        <v>2.8</v>
      </c>
      <c r="Z192" s="762">
        <v>263</v>
      </c>
      <c r="AA192" s="752"/>
      <c r="AB192" s="752"/>
      <c r="AC192" s="752"/>
    </row>
    <row r="193" spans="2:29" s="35" customFormat="1" ht="14.1" hidden="1" customHeight="1" x14ac:dyDescent="0.25">
      <c r="B193" s="405"/>
      <c r="C193" s="778" t="s">
        <v>578</v>
      </c>
      <c r="D193" s="599" t="s">
        <v>577</v>
      </c>
      <c r="E193" s="618" t="s">
        <v>954</v>
      </c>
      <c r="F193" s="619" t="s">
        <v>573</v>
      </c>
      <c r="G193" s="762">
        <v>561</v>
      </c>
      <c r="H193" s="762">
        <v>12.1</v>
      </c>
      <c r="I193" s="762">
        <v>34.5</v>
      </c>
      <c r="J193" s="762">
        <v>890</v>
      </c>
      <c r="K193" s="762">
        <v>0.6</v>
      </c>
      <c r="L193" s="762">
        <v>200</v>
      </c>
      <c r="M193" s="762">
        <v>19.5</v>
      </c>
      <c r="N193" s="762">
        <v>127.5</v>
      </c>
      <c r="O193" s="762">
        <v>40</v>
      </c>
      <c r="P193" s="762">
        <v>19.5</v>
      </c>
      <c r="Q193" s="762">
        <v>935</v>
      </c>
      <c r="R193" s="1067">
        <v>1.85</v>
      </c>
      <c r="S193" s="1067">
        <v>1.35</v>
      </c>
      <c r="T193" s="762">
        <v>15.8</v>
      </c>
      <c r="U193" s="752">
        <v>5.5</v>
      </c>
      <c r="V193" s="752">
        <v>1.4</v>
      </c>
      <c r="W193" s="1005">
        <f>X193*1.7</f>
        <v>722.5</v>
      </c>
      <c r="X193" s="1032">
        <v>425</v>
      </c>
      <c r="Y193" s="1019">
        <v>2.2999999999999998</v>
      </c>
      <c r="Z193" s="762">
        <v>120</v>
      </c>
      <c r="AA193" s="752"/>
      <c r="AB193" s="752">
        <v>16.600000000000001</v>
      </c>
      <c r="AC193" s="752"/>
    </row>
    <row r="194" spans="2:29" s="35" customFormat="1" ht="14.1" hidden="1" customHeight="1" x14ac:dyDescent="0.25">
      <c r="B194" s="405"/>
      <c r="C194" s="569" t="s">
        <v>420</v>
      </c>
      <c r="D194" s="570" t="s">
        <v>368</v>
      </c>
      <c r="E194" s="571" t="s">
        <v>175</v>
      </c>
      <c r="F194" s="489" t="s">
        <v>8</v>
      </c>
      <c r="G194" s="749">
        <v>365</v>
      </c>
      <c r="H194" s="749">
        <v>9.42</v>
      </c>
      <c r="I194" s="749">
        <v>4.74</v>
      </c>
      <c r="J194" s="749">
        <v>7</v>
      </c>
      <c r="K194" s="749">
        <v>0.314</v>
      </c>
      <c r="L194" s="749"/>
      <c r="M194" s="749">
        <v>2.71</v>
      </c>
      <c r="N194" s="749">
        <v>127</v>
      </c>
      <c r="O194" s="749">
        <v>15.5</v>
      </c>
      <c r="P194" s="749">
        <v>2.21</v>
      </c>
      <c r="Q194" s="749">
        <v>0</v>
      </c>
      <c r="R194" s="785">
        <v>0.38500000000000001</v>
      </c>
      <c r="S194" s="785">
        <v>0.20100000000000001</v>
      </c>
      <c r="T194" s="749">
        <f>3.627*0.3+(67/60)</f>
        <v>2.2047666666666665</v>
      </c>
      <c r="U194" s="592">
        <v>0.42399999999999999</v>
      </c>
      <c r="V194" s="592">
        <v>0.622</v>
      </c>
      <c r="W194" s="1004"/>
      <c r="X194" s="1031">
        <v>0</v>
      </c>
      <c r="Y194" s="1018">
        <v>0</v>
      </c>
      <c r="Z194" s="749">
        <v>0</v>
      </c>
      <c r="AA194" s="592">
        <v>0</v>
      </c>
      <c r="AB194" s="592"/>
      <c r="AC194" s="592"/>
    </row>
    <row r="195" spans="2:29" s="35" customFormat="1" ht="14.1" hidden="1" customHeight="1" x14ac:dyDescent="0.25">
      <c r="B195" s="405"/>
      <c r="C195" s="569" t="s">
        <v>419</v>
      </c>
      <c r="D195" s="570" t="s">
        <v>368</v>
      </c>
      <c r="E195" s="571" t="s">
        <v>175</v>
      </c>
      <c r="F195" s="572" t="s">
        <v>33</v>
      </c>
      <c r="G195" s="749">
        <v>365</v>
      </c>
      <c r="H195" s="749">
        <v>9.42</v>
      </c>
      <c r="I195" s="749">
        <v>4.74</v>
      </c>
      <c r="J195" s="749">
        <v>7</v>
      </c>
      <c r="K195" s="749">
        <v>0.314</v>
      </c>
      <c r="L195" s="749"/>
      <c r="M195" s="749">
        <v>2.71</v>
      </c>
      <c r="N195" s="749">
        <v>127</v>
      </c>
      <c r="O195" s="749">
        <v>15.5</v>
      </c>
      <c r="P195" s="749">
        <v>2.21</v>
      </c>
      <c r="Q195" s="749">
        <v>11</v>
      </c>
      <c r="R195" s="785">
        <v>0.38500000000000001</v>
      </c>
      <c r="S195" s="785">
        <v>0.20100000000000001</v>
      </c>
      <c r="T195" s="749">
        <f>3.627*0.3+(67/60)</f>
        <v>2.2047666666666665</v>
      </c>
      <c r="U195" s="592">
        <v>0.42399999999999999</v>
      </c>
      <c r="V195" s="592">
        <v>0.622</v>
      </c>
      <c r="W195" s="1004">
        <v>19</v>
      </c>
      <c r="X195" s="1031">
        <v>0</v>
      </c>
      <c r="Y195" s="1018">
        <v>0</v>
      </c>
      <c r="Z195" s="749">
        <v>0</v>
      </c>
      <c r="AA195" s="592">
        <v>0</v>
      </c>
      <c r="AB195" s="592">
        <v>0.49</v>
      </c>
      <c r="AC195" s="592">
        <v>0.3</v>
      </c>
    </row>
    <row r="196" spans="2:29" s="35" customFormat="1" ht="14.1" hidden="1" customHeight="1" x14ac:dyDescent="0.25">
      <c r="B196" s="405"/>
      <c r="C196" s="1079" t="s">
        <v>511</v>
      </c>
      <c r="D196" s="614" t="s">
        <v>449</v>
      </c>
      <c r="E196" s="615" t="s">
        <v>175</v>
      </c>
      <c r="F196" s="616" t="s">
        <v>506</v>
      </c>
      <c r="G196" s="753">
        <v>370</v>
      </c>
      <c r="H196" s="753">
        <v>7.11</v>
      </c>
      <c r="I196" s="753">
        <v>1.75</v>
      </c>
      <c r="J196" s="753">
        <v>3</v>
      </c>
      <c r="K196" s="753"/>
      <c r="L196" s="753"/>
      <c r="M196" s="753">
        <v>5.0999999999999996</v>
      </c>
      <c r="N196" s="753">
        <v>32</v>
      </c>
      <c r="O196" s="753"/>
      <c r="P196" s="753">
        <v>3.06</v>
      </c>
      <c r="Q196" s="753">
        <v>121</v>
      </c>
      <c r="R196" s="1060">
        <v>1.8</v>
      </c>
      <c r="S196" s="1060">
        <v>0.45</v>
      </c>
      <c r="T196" s="753">
        <v>5</v>
      </c>
      <c r="U196" s="628"/>
      <c r="V196" s="628">
        <v>0.57999999999999996</v>
      </c>
      <c r="W196" s="1006">
        <v>184</v>
      </c>
      <c r="X196" s="1033">
        <f>154/1.7</f>
        <v>90.588235294117652</v>
      </c>
      <c r="Y196" s="1020">
        <v>11</v>
      </c>
      <c r="Z196" s="753">
        <v>0</v>
      </c>
      <c r="AA196" s="628">
        <v>2</v>
      </c>
      <c r="AB196" s="628">
        <v>0.12</v>
      </c>
      <c r="AC196" s="628">
        <v>0</v>
      </c>
    </row>
    <row r="197" spans="2:29" s="35" customFormat="1" ht="14.1" hidden="1" customHeight="1" x14ac:dyDescent="0.25">
      <c r="B197" s="405"/>
      <c r="C197" s="774" t="s">
        <v>93</v>
      </c>
      <c r="D197" s="598" t="s">
        <v>94</v>
      </c>
      <c r="E197" s="607" t="s">
        <v>175</v>
      </c>
      <c r="F197" s="617" t="s">
        <v>666</v>
      </c>
      <c r="G197" s="758">
        <v>365.93</v>
      </c>
      <c r="H197" s="758">
        <v>8.48</v>
      </c>
      <c r="I197" s="758">
        <v>1.65</v>
      </c>
      <c r="J197" s="758">
        <v>5</v>
      </c>
      <c r="K197" s="758">
        <v>0.08</v>
      </c>
      <c r="L197" s="758">
        <v>0</v>
      </c>
      <c r="M197" s="758">
        <v>2.6</v>
      </c>
      <c r="N197" s="758"/>
      <c r="O197" s="758">
        <v>7.8</v>
      </c>
      <c r="P197" s="758">
        <v>3.72</v>
      </c>
      <c r="Q197" s="758">
        <v>164.84</v>
      </c>
      <c r="R197" s="1063">
        <v>0.57999999999999996</v>
      </c>
      <c r="S197" s="1063">
        <v>0.31</v>
      </c>
      <c r="T197" s="758">
        <v>4.5</v>
      </c>
      <c r="U197" s="645">
        <v>0.31</v>
      </c>
      <c r="V197" s="645">
        <v>0.26</v>
      </c>
      <c r="W197" s="1009">
        <v>207.99</v>
      </c>
      <c r="X197" s="1036">
        <v>100</v>
      </c>
      <c r="Y197" s="1023">
        <v>0.8</v>
      </c>
      <c r="Z197" s="758">
        <v>0</v>
      </c>
      <c r="AA197" s="645">
        <v>0</v>
      </c>
      <c r="AB197" s="645">
        <v>0.15</v>
      </c>
      <c r="AC197" s="645"/>
    </row>
    <row r="198" spans="2:29" s="35" customFormat="1" ht="14.1" hidden="1" customHeight="1" x14ac:dyDescent="0.25">
      <c r="B198" s="405"/>
      <c r="C198" s="588" t="s">
        <v>421</v>
      </c>
      <c r="D198" s="570" t="s">
        <v>376</v>
      </c>
      <c r="E198" s="571" t="s">
        <v>175</v>
      </c>
      <c r="F198" s="572" t="s">
        <v>34</v>
      </c>
      <c r="G198" s="592">
        <v>370</v>
      </c>
      <c r="H198" s="592">
        <v>7.11</v>
      </c>
      <c r="I198" s="592">
        <v>1.75</v>
      </c>
      <c r="J198" s="749">
        <v>3</v>
      </c>
      <c r="K198" s="749">
        <v>7.5999999999999998E-2</v>
      </c>
      <c r="L198" s="749"/>
      <c r="M198" s="749">
        <v>1.1000000000000001</v>
      </c>
      <c r="N198" s="749">
        <v>32</v>
      </c>
      <c r="O198" s="749">
        <v>10.5</v>
      </c>
      <c r="P198" s="749">
        <v>0.66</v>
      </c>
      <c r="Q198" s="749">
        <v>0</v>
      </c>
      <c r="R198" s="785">
        <v>0.14000000000000001</v>
      </c>
      <c r="S198" s="785">
        <v>0.05</v>
      </c>
      <c r="T198" s="749">
        <f>1*0.3+(38/60)</f>
        <v>0.93333333333333335</v>
      </c>
      <c r="U198" s="592">
        <v>0.24</v>
      </c>
      <c r="V198" s="592">
        <v>0.182</v>
      </c>
      <c r="W198" s="1004">
        <v>30</v>
      </c>
      <c r="X198" s="1031">
        <v>0</v>
      </c>
      <c r="Y198" s="1018">
        <v>0</v>
      </c>
      <c r="Z198" s="749">
        <v>0</v>
      </c>
      <c r="AA198" s="592">
        <v>0</v>
      </c>
      <c r="AB198" s="592">
        <v>0.12</v>
      </c>
      <c r="AC198" s="592">
        <v>0</v>
      </c>
    </row>
    <row r="199" spans="2:29" s="35" customFormat="1" ht="14.1" hidden="1" customHeight="1" x14ac:dyDescent="0.25">
      <c r="B199" s="405"/>
      <c r="C199" s="588" t="s">
        <v>427</v>
      </c>
      <c r="D199" s="570" t="s">
        <v>376</v>
      </c>
      <c r="E199" s="571" t="s">
        <v>175</v>
      </c>
      <c r="F199" s="572" t="s">
        <v>425</v>
      </c>
      <c r="G199" s="592">
        <v>370</v>
      </c>
      <c r="H199" s="592">
        <v>7.11</v>
      </c>
      <c r="I199" s="592">
        <v>1.75</v>
      </c>
      <c r="J199" s="749">
        <v>3</v>
      </c>
      <c r="K199" s="749">
        <v>7.5999999999999998E-2</v>
      </c>
      <c r="L199" s="749"/>
      <c r="M199" s="749">
        <v>4.3600000000000003</v>
      </c>
      <c r="N199" s="749">
        <v>32</v>
      </c>
      <c r="O199" s="749">
        <v>10.5</v>
      </c>
      <c r="P199" s="749">
        <v>0.66</v>
      </c>
      <c r="Q199" s="749">
        <v>0</v>
      </c>
      <c r="R199" s="785">
        <v>0.55100000000000005</v>
      </c>
      <c r="S199" s="785">
        <v>0.38200000000000001</v>
      </c>
      <c r="T199" s="749">
        <v>4.968</v>
      </c>
      <c r="U199" s="592">
        <v>0.24</v>
      </c>
      <c r="V199" s="592">
        <v>0.182</v>
      </c>
      <c r="W199" s="1004">
        <v>335</v>
      </c>
      <c r="X199" s="1031">
        <v>180</v>
      </c>
      <c r="Y199" s="1018">
        <v>0</v>
      </c>
      <c r="Z199" s="749">
        <v>0</v>
      </c>
      <c r="AA199" s="592">
        <v>0</v>
      </c>
      <c r="AB199" s="592">
        <v>0.12</v>
      </c>
      <c r="AC199" s="592">
        <v>0</v>
      </c>
    </row>
    <row r="200" spans="2:29" s="35" customFormat="1" ht="14.1" hidden="1" customHeight="1" x14ac:dyDescent="0.25">
      <c r="B200" s="405"/>
      <c r="C200" s="588" t="s">
        <v>422</v>
      </c>
      <c r="D200" s="570" t="s">
        <v>376</v>
      </c>
      <c r="E200" s="571" t="s">
        <v>175</v>
      </c>
      <c r="F200" s="572" t="s">
        <v>35</v>
      </c>
      <c r="G200" s="749">
        <v>362</v>
      </c>
      <c r="H200" s="749">
        <v>8.1199999999999992</v>
      </c>
      <c r="I200" s="749">
        <v>3.59</v>
      </c>
      <c r="J200" s="749">
        <v>6</v>
      </c>
      <c r="K200" s="749">
        <v>0.193</v>
      </c>
      <c r="L200" s="749"/>
      <c r="M200" s="749">
        <v>3.45</v>
      </c>
      <c r="N200" s="749">
        <v>127</v>
      </c>
      <c r="O200" s="749">
        <v>15.5</v>
      </c>
      <c r="P200" s="749">
        <v>1.82</v>
      </c>
      <c r="Q200" s="749">
        <v>0</v>
      </c>
      <c r="R200" s="785">
        <v>0.38500000000000001</v>
      </c>
      <c r="S200" s="785">
        <v>0.20100000000000001</v>
      </c>
      <c r="T200" s="749">
        <f>3.632*0.3+(57/60)</f>
        <v>2.0396000000000001</v>
      </c>
      <c r="U200" s="592">
        <v>0.42499999999999999</v>
      </c>
      <c r="V200" s="592">
        <v>0.30399999999999999</v>
      </c>
      <c r="W200" s="1004">
        <v>25</v>
      </c>
      <c r="X200" s="1031">
        <v>0</v>
      </c>
      <c r="Y200" s="1018">
        <v>0</v>
      </c>
      <c r="Z200" s="749">
        <v>0</v>
      </c>
      <c r="AA200" s="592">
        <v>0</v>
      </c>
      <c r="AB200" s="592">
        <v>0.42</v>
      </c>
      <c r="AC200" s="592">
        <v>0.3</v>
      </c>
    </row>
    <row r="201" spans="2:29" s="35" customFormat="1" ht="14.1" hidden="1" customHeight="1" x14ac:dyDescent="0.25">
      <c r="B201" s="405"/>
      <c r="C201" s="588" t="s">
        <v>423</v>
      </c>
      <c r="D201" s="570" t="s">
        <v>376</v>
      </c>
      <c r="E201" s="571" t="s">
        <v>175</v>
      </c>
      <c r="F201" s="572" t="s">
        <v>36</v>
      </c>
      <c r="G201" s="592">
        <v>370</v>
      </c>
      <c r="H201" s="592">
        <v>7.11</v>
      </c>
      <c r="I201" s="592">
        <v>1.75</v>
      </c>
      <c r="J201" s="749">
        <v>3</v>
      </c>
      <c r="K201" s="749">
        <v>7.5999999999999998E-2</v>
      </c>
      <c r="L201" s="749"/>
      <c r="M201" s="749">
        <v>1.1000000000000001</v>
      </c>
      <c r="N201" s="749">
        <v>32</v>
      </c>
      <c r="O201" s="749">
        <v>10.5</v>
      </c>
      <c r="P201" s="749">
        <v>0.66</v>
      </c>
      <c r="Q201" s="749">
        <v>11</v>
      </c>
      <c r="R201" s="785">
        <v>0.14000000000000001</v>
      </c>
      <c r="S201" s="785">
        <v>0.05</v>
      </c>
      <c r="T201" s="749">
        <f>1*0.3+(38/60)</f>
        <v>0.93333333333333335</v>
      </c>
      <c r="U201" s="592">
        <v>0.24</v>
      </c>
      <c r="V201" s="592">
        <v>0.182</v>
      </c>
      <c r="W201" s="1004">
        <v>30</v>
      </c>
      <c r="X201" s="1031">
        <v>0</v>
      </c>
      <c r="Y201" s="1018">
        <v>0</v>
      </c>
      <c r="Z201" s="749">
        <v>0</v>
      </c>
      <c r="AA201" s="592">
        <v>0</v>
      </c>
      <c r="AB201" s="592">
        <v>0.12</v>
      </c>
      <c r="AC201" s="592">
        <v>0</v>
      </c>
    </row>
    <row r="202" spans="2:29" s="35" customFormat="1" ht="14.1" hidden="1" customHeight="1" x14ac:dyDescent="0.25">
      <c r="B202" s="405"/>
      <c r="C202" s="588" t="s">
        <v>428</v>
      </c>
      <c r="D202" s="570" t="s">
        <v>376</v>
      </c>
      <c r="E202" s="571" t="s">
        <v>175</v>
      </c>
      <c r="F202" s="572" t="s">
        <v>426</v>
      </c>
      <c r="G202" s="592">
        <v>370</v>
      </c>
      <c r="H202" s="592">
        <v>7.11</v>
      </c>
      <c r="I202" s="592">
        <v>1.75</v>
      </c>
      <c r="J202" s="749">
        <v>3</v>
      </c>
      <c r="K202" s="749">
        <v>7.5999999999999998E-2</v>
      </c>
      <c r="L202" s="749"/>
      <c r="M202" s="749">
        <v>4.3600000000000003</v>
      </c>
      <c r="N202" s="749">
        <v>32</v>
      </c>
      <c r="O202" s="749">
        <v>10.5</v>
      </c>
      <c r="P202" s="749">
        <v>0.66</v>
      </c>
      <c r="Q202" s="749">
        <v>11</v>
      </c>
      <c r="R202" s="785">
        <v>0.55100000000000005</v>
      </c>
      <c r="S202" s="785">
        <v>0.38200000000000001</v>
      </c>
      <c r="T202" s="749">
        <v>4.968</v>
      </c>
      <c r="U202" s="592">
        <v>0.24</v>
      </c>
      <c r="V202" s="592">
        <v>0.182</v>
      </c>
      <c r="W202" s="1004">
        <v>335</v>
      </c>
      <c r="X202" s="1031">
        <v>180</v>
      </c>
      <c r="Y202" s="1018">
        <v>0</v>
      </c>
      <c r="Z202" s="749">
        <v>0</v>
      </c>
      <c r="AA202" s="592">
        <v>0</v>
      </c>
      <c r="AB202" s="592">
        <v>0.12</v>
      </c>
      <c r="AC202" s="592">
        <v>0</v>
      </c>
    </row>
    <row r="203" spans="2:29" s="35" customFormat="1" ht="14.1" hidden="1" customHeight="1" x14ac:dyDescent="0.25">
      <c r="B203" s="405"/>
      <c r="C203" s="588" t="s">
        <v>424</v>
      </c>
      <c r="D203" s="570" t="s">
        <v>376</v>
      </c>
      <c r="E203" s="571" t="s">
        <v>175</v>
      </c>
      <c r="F203" s="572" t="s">
        <v>37</v>
      </c>
      <c r="G203" s="592">
        <v>362</v>
      </c>
      <c r="H203" s="592">
        <v>8.1199999999999992</v>
      </c>
      <c r="I203" s="592">
        <v>3.59</v>
      </c>
      <c r="J203" s="749">
        <v>6</v>
      </c>
      <c r="K203" s="749">
        <v>0.193</v>
      </c>
      <c r="L203" s="749"/>
      <c r="M203" s="749">
        <v>3.45</v>
      </c>
      <c r="N203" s="749">
        <v>127</v>
      </c>
      <c r="O203" s="749">
        <v>15.5</v>
      </c>
      <c r="P203" s="749">
        <v>1.82</v>
      </c>
      <c r="Q203" s="749">
        <v>11</v>
      </c>
      <c r="R203" s="785">
        <v>0.38500000000000001</v>
      </c>
      <c r="S203" s="785">
        <v>0.20100000000000001</v>
      </c>
      <c r="T203" s="749">
        <f>3.632*0.3+(57/60)</f>
        <v>2.0396000000000001</v>
      </c>
      <c r="U203" s="592">
        <v>0.42499999999999999</v>
      </c>
      <c r="V203" s="592">
        <v>0.30399999999999999</v>
      </c>
      <c r="W203" s="1004">
        <v>25</v>
      </c>
      <c r="X203" s="1031">
        <v>0</v>
      </c>
      <c r="Y203" s="1018">
        <v>0</v>
      </c>
      <c r="Z203" s="749">
        <v>0</v>
      </c>
      <c r="AA203" s="592">
        <v>0</v>
      </c>
      <c r="AB203" s="592">
        <v>0.42</v>
      </c>
      <c r="AC203" s="592">
        <v>0.3</v>
      </c>
    </row>
    <row r="204" spans="2:29" s="35" customFormat="1" ht="14.1" hidden="1" customHeight="1" x14ac:dyDescent="0.25">
      <c r="B204" s="405"/>
      <c r="C204" s="588" t="s">
        <v>431</v>
      </c>
      <c r="D204" s="570" t="s">
        <v>376</v>
      </c>
      <c r="E204" s="571" t="s">
        <v>176</v>
      </c>
      <c r="F204" s="572" t="s">
        <v>430</v>
      </c>
      <c r="G204" s="592">
        <v>86</v>
      </c>
      <c r="H204" s="592">
        <v>3.22</v>
      </c>
      <c r="I204" s="592">
        <v>1.18</v>
      </c>
      <c r="J204" s="749">
        <v>2</v>
      </c>
      <c r="K204" s="749">
        <v>5.3999999999999999E-2</v>
      </c>
      <c r="L204" s="749"/>
      <c r="M204" s="749">
        <v>0.52</v>
      </c>
      <c r="N204" s="749">
        <v>37</v>
      </c>
      <c r="O204" s="749">
        <v>0.6</v>
      </c>
      <c r="P204" s="749">
        <v>0.45</v>
      </c>
      <c r="Q204" s="749">
        <v>0</v>
      </c>
      <c r="R204" s="785">
        <v>0.2</v>
      </c>
      <c r="S204" s="785">
        <v>0.06</v>
      </c>
      <c r="T204" s="749">
        <f>1.7*0.3+(17/60)</f>
        <v>0.79333333333333333</v>
      </c>
      <c r="U204" s="592">
        <v>0.76</v>
      </c>
      <c r="V204" s="592">
        <v>5.5E-2</v>
      </c>
      <c r="W204" s="1004">
        <v>46</v>
      </c>
      <c r="X204" s="1031">
        <v>0</v>
      </c>
      <c r="Y204" s="1018">
        <v>0</v>
      </c>
      <c r="Z204" s="749">
        <v>6.8</v>
      </c>
      <c r="AA204" s="592">
        <v>0</v>
      </c>
      <c r="AB204" s="592">
        <v>7.0000000000000007E-2</v>
      </c>
      <c r="AC204" s="592">
        <v>0.3</v>
      </c>
    </row>
    <row r="205" spans="2:29" s="35" customFormat="1" ht="14.1" hidden="1" customHeight="1" x14ac:dyDescent="0.25">
      <c r="B205" s="405"/>
      <c r="C205" s="588" t="s">
        <v>432</v>
      </c>
      <c r="D205" s="570" t="s">
        <v>376</v>
      </c>
      <c r="E205" s="571" t="s">
        <v>176</v>
      </c>
      <c r="F205" s="572" t="s">
        <v>429</v>
      </c>
      <c r="G205" s="592">
        <v>86</v>
      </c>
      <c r="H205" s="592">
        <v>3.27</v>
      </c>
      <c r="I205" s="592">
        <v>1.35</v>
      </c>
      <c r="J205" s="749">
        <v>2</v>
      </c>
      <c r="K205" s="749">
        <v>5.3999999999999999E-2</v>
      </c>
      <c r="L205" s="749"/>
      <c r="M205" s="749">
        <v>0.52</v>
      </c>
      <c r="N205" s="749">
        <v>37</v>
      </c>
      <c r="O205" s="749">
        <v>0.6</v>
      </c>
      <c r="P205" s="749">
        <v>0.46</v>
      </c>
      <c r="Q205" s="749">
        <v>9</v>
      </c>
      <c r="R205" s="785">
        <v>0.155</v>
      </c>
      <c r="S205" s="785">
        <v>5.5E-2</v>
      </c>
      <c r="T205" s="749">
        <f>1.77*0.3+(33/60)</f>
        <v>1.081</v>
      </c>
      <c r="U205" s="592">
        <v>0.71699999999999997</v>
      </c>
      <c r="V205" s="592">
        <v>9.2999999999999999E-2</v>
      </c>
      <c r="W205" s="1004">
        <v>42</v>
      </c>
      <c r="X205" s="1031">
        <v>0</v>
      </c>
      <c r="Y205" s="1018">
        <v>0</v>
      </c>
      <c r="Z205" s="749">
        <v>6.8</v>
      </c>
      <c r="AA205" s="592">
        <v>0</v>
      </c>
      <c r="AB205" s="592">
        <v>7.0000000000000007E-2</v>
      </c>
      <c r="AC205" s="592">
        <v>0.3</v>
      </c>
    </row>
    <row r="206" spans="2:29" s="35" customFormat="1" ht="14.1" hidden="1" customHeight="1" x14ac:dyDescent="0.25">
      <c r="B206" s="405"/>
      <c r="C206" s="588" t="s">
        <v>433</v>
      </c>
      <c r="D206" s="570" t="s">
        <v>376</v>
      </c>
      <c r="E206" s="571" t="s">
        <v>248</v>
      </c>
      <c r="F206" s="572" t="s">
        <v>38</v>
      </c>
      <c r="G206" s="749">
        <v>60</v>
      </c>
      <c r="H206" s="749">
        <v>0.82</v>
      </c>
      <c r="I206" s="749">
        <v>0.38</v>
      </c>
      <c r="J206" s="749">
        <v>11</v>
      </c>
      <c r="K206" s="749">
        <v>0.111</v>
      </c>
      <c r="L206" s="749"/>
      <c r="M206" s="749">
        <v>0.16</v>
      </c>
      <c r="N206" s="749">
        <v>10</v>
      </c>
      <c r="O206" s="749">
        <v>0.6</v>
      </c>
      <c r="P206" s="749">
        <v>0.09</v>
      </c>
      <c r="Q206" s="749">
        <v>54</v>
      </c>
      <c r="R206" s="785">
        <v>2.8000000000000001E-2</v>
      </c>
      <c r="S206" s="785">
        <v>3.7999999999999999E-2</v>
      </c>
      <c r="T206" s="749">
        <v>0.66900000000000004</v>
      </c>
      <c r="U206" s="592">
        <v>0.19700000000000001</v>
      </c>
      <c r="V206" s="592">
        <v>0.11899999999999999</v>
      </c>
      <c r="W206" s="1004">
        <v>43</v>
      </c>
      <c r="X206" s="1031">
        <v>0</v>
      </c>
      <c r="Y206" s="1018">
        <v>0</v>
      </c>
      <c r="Z206" s="749">
        <v>36.4</v>
      </c>
      <c r="AA206" s="592">
        <v>0</v>
      </c>
      <c r="AB206" s="592">
        <v>0.9</v>
      </c>
      <c r="AC206" s="592">
        <v>4.2</v>
      </c>
    </row>
    <row r="207" spans="2:29" s="35" customFormat="1" ht="14.1" hidden="1" customHeight="1" x14ac:dyDescent="0.25">
      <c r="B207" s="405"/>
      <c r="C207" s="588" t="s">
        <v>435</v>
      </c>
      <c r="D207" s="570" t="s">
        <v>376</v>
      </c>
      <c r="E207" s="571" t="s">
        <v>172</v>
      </c>
      <c r="F207" s="572" t="s">
        <v>434</v>
      </c>
      <c r="G207" s="749">
        <v>628</v>
      </c>
      <c r="H207" s="749">
        <v>0.26</v>
      </c>
      <c r="I207" s="749">
        <v>70.22</v>
      </c>
      <c r="J207" s="749">
        <v>7</v>
      </c>
      <c r="K207" s="749"/>
      <c r="L207" s="749"/>
      <c r="M207" s="749">
        <v>0.12</v>
      </c>
      <c r="N207" s="749">
        <v>2</v>
      </c>
      <c r="O207" s="749"/>
      <c r="P207" s="749">
        <v>0.06</v>
      </c>
      <c r="Q207" s="749"/>
      <c r="R207" s="785">
        <v>5.1999999999999998E-2</v>
      </c>
      <c r="S207" s="785">
        <v>2.5000000000000001E-2</v>
      </c>
      <c r="T207" s="749"/>
      <c r="U207" s="592">
        <v>1E-3</v>
      </c>
      <c r="V207" s="592">
        <v>3.0000000000000001E-3</v>
      </c>
      <c r="W207" s="1004">
        <v>1</v>
      </c>
      <c r="X207" s="1031">
        <v>0</v>
      </c>
      <c r="Y207" s="1018"/>
      <c r="Z207" s="749"/>
      <c r="AA207" s="592"/>
      <c r="AB207" s="592">
        <v>5.59</v>
      </c>
      <c r="AC207" s="592"/>
    </row>
    <row r="208" spans="2:29" s="35" customFormat="1" ht="14.1" hidden="1" customHeight="1" x14ac:dyDescent="0.25">
      <c r="B208" s="405"/>
      <c r="C208" s="646" t="s">
        <v>593</v>
      </c>
      <c r="D208" s="633" t="s">
        <v>581</v>
      </c>
      <c r="E208" s="634" t="s">
        <v>178</v>
      </c>
      <c r="F208" s="635" t="s">
        <v>583</v>
      </c>
      <c r="G208" s="756">
        <v>56</v>
      </c>
      <c r="H208" s="756">
        <v>3.1</v>
      </c>
      <c r="I208" s="756">
        <v>3.2</v>
      </c>
      <c r="J208" s="756">
        <v>114</v>
      </c>
      <c r="K208" s="756">
        <v>0.15</v>
      </c>
      <c r="L208" s="756"/>
      <c r="M208" s="756">
        <v>0.21</v>
      </c>
      <c r="N208" s="756">
        <v>13</v>
      </c>
      <c r="O208" s="756"/>
      <c r="P208" s="756">
        <v>0.6</v>
      </c>
      <c r="Q208" s="756">
        <v>50</v>
      </c>
      <c r="R208" s="1062">
        <v>0.04</v>
      </c>
      <c r="S208" s="1062">
        <v>0.06</v>
      </c>
      <c r="T208" s="756">
        <v>0.44</v>
      </c>
      <c r="U208" s="757"/>
      <c r="V208" s="757">
        <v>0.04</v>
      </c>
      <c r="W208" s="1008">
        <v>0.4</v>
      </c>
      <c r="X208" s="1035">
        <v>0</v>
      </c>
      <c r="Y208" s="1022">
        <v>0.2</v>
      </c>
      <c r="Z208" s="756">
        <v>6.7</v>
      </c>
      <c r="AA208" s="757">
        <v>1.6</v>
      </c>
      <c r="AB208" s="757"/>
      <c r="AC208" s="757"/>
    </row>
    <row r="209" spans="2:29" s="35" customFormat="1" ht="14.1" hidden="1" customHeight="1" x14ac:dyDescent="0.25">
      <c r="B209" s="405"/>
      <c r="C209" s="588" t="s">
        <v>538</v>
      </c>
      <c r="D209" s="570" t="s">
        <v>488</v>
      </c>
      <c r="E209" s="571" t="s">
        <v>178</v>
      </c>
      <c r="F209" s="572" t="s">
        <v>539</v>
      </c>
      <c r="G209" s="749">
        <v>61</v>
      </c>
      <c r="H209" s="749">
        <v>3.15</v>
      </c>
      <c r="I209" s="749">
        <v>3.27</v>
      </c>
      <c r="J209" s="749">
        <v>113</v>
      </c>
      <c r="K209" s="749">
        <v>2.5000000000000001E-2</v>
      </c>
      <c r="L209" s="749"/>
      <c r="M209" s="749">
        <v>0.03</v>
      </c>
      <c r="N209" s="749">
        <v>10</v>
      </c>
      <c r="O209" s="749">
        <v>3.7</v>
      </c>
      <c r="P209" s="749">
        <v>0.37</v>
      </c>
      <c r="Q209" s="749">
        <v>46</v>
      </c>
      <c r="R209" s="785">
        <v>4.5999999999999999E-2</v>
      </c>
      <c r="S209" s="785">
        <v>0.16900000000000001</v>
      </c>
      <c r="T209" s="749">
        <v>8.8999999999999996E-2</v>
      </c>
      <c r="U209" s="592">
        <v>0.373</v>
      </c>
      <c r="V209" s="592">
        <v>3.5999999999999997E-2</v>
      </c>
      <c r="W209" s="1004">
        <v>5</v>
      </c>
      <c r="X209" s="1031">
        <v>0</v>
      </c>
      <c r="Y209" s="1018">
        <v>0.45</v>
      </c>
      <c r="Z209" s="749">
        <v>0</v>
      </c>
      <c r="AA209" s="592">
        <v>0.1</v>
      </c>
      <c r="AB209" s="592">
        <v>7.0000000000000007E-2</v>
      </c>
      <c r="AC209" s="592">
        <v>0.3</v>
      </c>
    </row>
    <row r="210" spans="2:29" s="35" customFormat="1" ht="14.1" hidden="1" customHeight="1" x14ac:dyDescent="0.25">
      <c r="B210" s="405"/>
      <c r="C210" s="588" t="s">
        <v>540</v>
      </c>
      <c r="D210" s="570" t="s">
        <v>488</v>
      </c>
      <c r="E210" s="571" t="s">
        <v>178</v>
      </c>
      <c r="F210" s="572" t="s">
        <v>541</v>
      </c>
      <c r="G210" s="749">
        <v>69</v>
      </c>
      <c r="H210" s="749">
        <v>3.56</v>
      </c>
      <c r="I210" s="749">
        <v>4.1399999999999997</v>
      </c>
      <c r="J210" s="749">
        <v>134</v>
      </c>
      <c r="K210" s="749">
        <v>4.5999999999999999E-2</v>
      </c>
      <c r="L210" s="749"/>
      <c r="M210" s="749">
        <v>0.05</v>
      </c>
      <c r="N210" s="749">
        <v>14</v>
      </c>
      <c r="O210" s="749">
        <v>1.4</v>
      </c>
      <c r="P210" s="749">
        <v>0.3</v>
      </c>
      <c r="Q210" s="749">
        <v>57</v>
      </c>
      <c r="R210" s="785">
        <v>4.8000000000000001E-2</v>
      </c>
      <c r="S210" s="785">
        <v>0.13800000000000001</v>
      </c>
      <c r="T210" s="749">
        <v>0.27700000000000002</v>
      </c>
      <c r="U210" s="592">
        <v>0.31</v>
      </c>
      <c r="V210" s="592">
        <v>4.5999999999999999E-2</v>
      </c>
      <c r="W210" s="1004">
        <v>1</v>
      </c>
      <c r="X210" s="1031">
        <v>0</v>
      </c>
      <c r="Y210" s="1018">
        <v>7.0000000000000007E-2</v>
      </c>
      <c r="Z210" s="749">
        <v>1.3</v>
      </c>
      <c r="AA210" s="592">
        <v>1.3</v>
      </c>
      <c r="AB210" s="592">
        <v>7.0000000000000007E-2</v>
      </c>
      <c r="AC210" s="592">
        <v>0.3</v>
      </c>
    </row>
    <row r="211" spans="2:29" s="35" customFormat="1" ht="14.1" hidden="1" customHeight="1" x14ac:dyDescent="0.25">
      <c r="B211" s="405"/>
      <c r="C211" s="569" t="s">
        <v>440</v>
      </c>
      <c r="D211" s="570" t="s">
        <v>376</v>
      </c>
      <c r="E211" s="571" t="s">
        <v>175</v>
      </c>
      <c r="F211" s="572" t="s">
        <v>439</v>
      </c>
      <c r="G211" s="749">
        <v>378</v>
      </c>
      <c r="H211" s="749">
        <v>11.02</v>
      </c>
      <c r="I211" s="749">
        <v>4.22</v>
      </c>
      <c r="J211" s="749">
        <v>8</v>
      </c>
      <c r="K211" s="749">
        <v>0.75</v>
      </c>
      <c r="L211" s="749"/>
      <c r="M211" s="749">
        <v>3.01</v>
      </c>
      <c r="N211" s="749">
        <v>114</v>
      </c>
      <c r="O211" s="749">
        <v>2.7</v>
      </c>
      <c r="P211" s="749">
        <v>1.68</v>
      </c>
      <c r="Q211" s="749">
        <v>0</v>
      </c>
      <c r="R211" s="785">
        <v>0.42099999999999999</v>
      </c>
      <c r="S211" s="785">
        <v>0.28999999999999998</v>
      </c>
      <c r="T211" s="749">
        <v>4.72</v>
      </c>
      <c r="U211" s="592">
        <v>0.84799999999999998</v>
      </c>
      <c r="V211" s="592">
        <v>0.38400000000000001</v>
      </c>
      <c r="W211" s="1004">
        <v>85</v>
      </c>
      <c r="X211" s="1031">
        <v>0</v>
      </c>
      <c r="Y211" s="1018">
        <v>0</v>
      </c>
      <c r="Z211" s="749">
        <v>0</v>
      </c>
      <c r="AA211" s="592">
        <v>0</v>
      </c>
      <c r="AB211" s="592">
        <v>0.05</v>
      </c>
      <c r="AC211" s="592">
        <v>0.9</v>
      </c>
    </row>
    <row r="212" spans="2:29" s="35" customFormat="1" ht="14.1" hidden="1" customHeight="1" x14ac:dyDescent="0.25">
      <c r="B212" s="405"/>
      <c r="C212" s="569" t="s">
        <v>495</v>
      </c>
      <c r="D212" s="570" t="s">
        <v>449</v>
      </c>
      <c r="E212" s="571" t="s">
        <v>175</v>
      </c>
      <c r="F212" s="572" t="s">
        <v>494</v>
      </c>
      <c r="G212" s="749">
        <v>373</v>
      </c>
      <c r="H212" s="749">
        <v>10.75</v>
      </c>
      <c r="I212" s="749">
        <v>4.25</v>
      </c>
      <c r="J212" s="749">
        <v>14</v>
      </c>
      <c r="K212" s="749">
        <v>0.53500000000000003</v>
      </c>
      <c r="L212" s="749"/>
      <c r="M212" s="749">
        <v>3.94</v>
      </c>
      <c r="N212" s="749">
        <v>119</v>
      </c>
      <c r="O212" s="749">
        <v>32.700000000000003</v>
      </c>
      <c r="P212" s="749">
        <v>2.63</v>
      </c>
      <c r="Q212" s="749"/>
      <c r="R212" s="785">
        <v>0.41299999999999998</v>
      </c>
      <c r="S212" s="785">
        <v>7.2999999999999995E-2</v>
      </c>
      <c r="T212" s="749">
        <v>6.02</v>
      </c>
      <c r="U212" s="592">
        <v>1.2669999999999999</v>
      </c>
      <c r="V212" s="592">
        <v>0.372</v>
      </c>
      <c r="W212" s="1004">
        <v>42</v>
      </c>
      <c r="X212" s="1031">
        <v>0</v>
      </c>
      <c r="Y212" s="1018"/>
      <c r="Z212" s="749">
        <v>0</v>
      </c>
      <c r="AA212" s="592"/>
      <c r="AB212" s="592">
        <v>0.11</v>
      </c>
      <c r="AC212" s="592">
        <v>0.8</v>
      </c>
    </row>
    <row r="213" spans="2:29" s="35" customFormat="1" ht="14.1" hidden="1" customHeight="1" x14ac:dyDescent="0.25">
      <c r="B213" s="405"/>
      <c r="C213" s="597" t="s">
        <v>582</v>
      </c>
      <c r="D213" s="598" t="s">
        <v>577</v>
      </c>
      <c r="E213" s="605" t="s">
        <v>954</v>
      </c>
      <c r="F213" s="641" t="s">
        <v>95</v>
      </c>
      <c r="G213" s="758">
        <v>0</v>
      </c>
      <c r="H213" s="758">
        <v>0</v>
      </c>
      <c r="I213" s="758">
        <v>0</v>
      </c>
      <c r="J213" s="758">
        <v>0</v>
      </c>
      <c r="K213" s="758">
        <f>0.56*100</f>
        <v>56.000000000000007</v>
      </c>
      <c r="L213" s="758">
        <f>90*100</f>
        <v>9000</v>
      </c>
      <c r="M213" s="758">
        <f>10*100</f>
        <v>1000</v>
      </c>
      <c r="N213" s="758">
        <v>0</v>
      </c>
      <c r="O213" s="758">
        <f>17*100</f>
        <v>1700</v>
      </c>
      <c r="P213" s="758">
        <f>4.1*100</f>
        <v>409.99999999999994</v>
      </c>
      <c r="Q213" s="758">
        <f>400*100</f>
        <v>40000</v>
      </c>
      <c r="R213" s="1063">
        <f>0.5*100</f>
        <v>50</v>
      </c>
      <c r="S213" s="1063">
        <f>0.5*100</f>
        <v>50</v>
      </c>
      <c r="T213" s="758">
        <f>6*100</f>
        <v>600</v>
      </c>
      <c r="U213" s="645">
        <v>0</v>
      </c>
      <c r="V213" s="645">
        <f>0.5*100</f>
        <v>50</v>
      </c>
      <c r="W213" s="1010">
        <f>X213*1.7</f>
        <v>25500</v>
      </c>
      <c r="X213" s="1037">
        <v>15000</v>
      </c>
      <c r="Y213" s="1023">
        <f>0.9*100</f>
        <v>90</v>
      </c>
      <c r="Z213" s="758">
        <f>30*100</f>
        <v>3000</v>
      </c>
      <c r="AA213" s="645">
        <f>5*100</f>
        <v>500</v>
      </c>
      <c r="AB213" s="645">
        <f>5*100</f>
        <v>500</v>
      </c>
      <c r="AC213" s="645">
        <v>0</v>
      </c>
    </row>
    <row r="214" spans="2:29" s="35" customFormat="1" ht="14.1" hidden="1" customHeight="1" x14ac:dyDescent="0.25">
      <c r="B214" s="405"/>
      <c r="C214" s="777" t="s">
        <v>588</v>
      </c>
      <c r="D214" s="598" t="s">
        <v>587</v>
      </c>
      <c r="E214" s="605" t="s">
        <v>954</v>
      </c>
      <c r="F214" s="641" t="s">
        <v>667</v>
      </c>
      <c r="G214" s="758">
        <v>0</v>
      </c>
      <c r="H214" s="758">
        <v>0</v>
      </c>
      <c r="I214" s="758">
        <v>0</v>
      </c>
      <c r="J214" s="758">
        <v>0</v>
      </c>
      <c r="K214" s="758">
        <f>0.56*100</f>
        <v>56.000000000000007</v>
      </c>
      <c r="L214" s="758">
        <f>90*100</f>
        <v>9000</v>
      </c>
      <c r="M214" s="758">
        <f>10*100</f>
        <v>1000</v>
      </c>
      <c r="N214" s="758">
        <v>0</v>
      </c>
      <c r="O214" s="758">
        <f>17*100</f>
        <v>1700</v>
      </c>
      <c r="P214" s="758">
        <f>4.1*100</f>
        <v>409.99999999999994</v>
      </c>
      <c r="Q214" s="758">
        <f>400*100</f>
        <v>40000</v>
      </c>
      <c r="R214" s="1063">
        <f>0.5*100</f>
        <v>50</v>
      </c>
      <c r="S214" s="1063">
        <f>0.5*100</f>
        <v>50</v>
      </c>
      <c r="T214" s="758">
        <f>6*100</f>
        <v>600</v>
      </c>
      <c r="U214" s="645">
        <v>0</v>
      </c>
      <c r="V214" s="645">
        <f>0.5*100</f>
        <v>50</v>
      </c>
      <c r="W214" s="1010">
        <f>X214*1.7</f>
        <v>25500</v>
      </c>
      <c r="X214" s="1037">
        <v>15000</v>
      </c>
      <c r="Y214" s="1023">
        <f>0.9*100</f>
        <v>90</v>
      </c>
      <c r="Z214" s="758">
        <f>30*100</f>
        <v>3000</v>
      </c>
      <c r="AA214" s="645">
        <f>5*100</f>
        <v>500</v>
      </c>
      <c r="AB214" s="645">
        <f>5*100</f>
        <v>500</v>
      </c>
      <c r="AC214" s="645">
        <v>0</v>
      </c>
    </row>
    <row r="215" spans="2:29" s="35" customFormat="1" ht="14.1" hidden="1" customHeight="1" x14ac:dyDescent="0.25">
      <c r="B215" s="405"/>
      <c r="C215" s="569" t="s">
        <v>441</v>
      </c>
      <c r="D215" s="570" t="s">
        <v>376</v>
      </c>
      <c r="E215" s="571" t="s">
        <v>179</v>
      </c>
      <c r="F215" s="602" t="s">
        <v>256</v>
      </c>
      <c r="G215" s="750">
        <v>347</v>
      </c>
      <c r="H215" s="750">
        <v>23.86</v>
      </c>
      <c r="I215" s="750">
        <v>1.1499999999999999</v>
      </c>
      <c r="J215" s="750">
        <v>132</v>
      </c>
      <c r="K215" s="750">
        <v>0.94099999999999995</v>
      </c>
      <c r="L215" s="750"/>
      <c r="M215" s="750">
        <v>6.74</v>
      </c>
      <c r="N215" s="1084">
        <v>189</v>
      </c>
      <c r="O215" s="750">
        <v>8.1999999999999993</v>
      </c>
      <c r="P215" s="750">
        <v>2.68</v>
      </c>
      <c r="Q215" s="750">
        <v>6</v>
      </c>
      <c r="R215" s="1058">
        <v>0.621</v>
      </c>
      <c r="S215" s="1058">
        <v>0.23300000000000001</v>
      </c>
      <c r="T215" s="750">
        <v>2.2509999999999999</v>
      </c>
      <c r="U215" s="592">
        <v>1.91</v>
      </c>
      <c r="V215" s="592">
        <v>0.38200000000000001</v>
      </c>
      <c r="W215" s="1004">
        <v>625</v>
      </c>
      <c r="X215" s="1031">
        <v>0</v>
      </c>
      <c r="Y215" s="1018">
        <v>0</v>
      </c>
      <c r="Z215" s="750">
        <v>4.8</v>
      </c>
      <c r="AA215" s="592">
        <v>0</v>
      </c>
      <c r="AB215" s="592">
        <v>0.51</v>
      </c>
      <c r="AC215" s="592">
        <v>9</v>
      </c>
    </row>
    <row r="216" spans="2:29" s="35" customFormat="1" ht="14.1" hidden="1" customHeight="1" x14ac:dyDescent="0.25">
      <c r="B216" s="405"/>
      <c r="C216" s="774" t="s">
        <v>93</v>
      </c>
      <c r="D216" s="598" t="s">
        <v>94</v>
      </c>
      <c r="E216" s="607" t="s">
        <v>247</v>
      </c>
      <c r="F216" s="639" t="s">
        <v>668</v>
      </c>
      <c r="G216" s="758">
        <v>373.89</v>
      </c>
      <c r="H216" s="758">
        <v>17.23</v>
      </c>
      <c r="I216" s="758">
        <v>7.48</v>
      </c>
      <c r="J216" s="758">
        <v>411.23</v>
      </c>
      <c r="K216" s="758">
        <v>0.49</v>
      </c>
      <c r="L216" s="758">
        <v>40</v>
      </c>
      <c r="M216" s="758">
        <v>9.58</v>
      </c>
      <c r="N216" s="1083"/>
      <c r="O216" s="758">
        <v>32.479999999999997</v>
      </c>
      <c r="P216" s="758">
        <v>7.82</v>
      </c>
      <c r="Q216" s="758">
        <v>525.22</v>
      </c>
      <c r="R216" s="1063">
        <v>0.56999999999999995</v>
      </c>
      <c r="S216" s="1063">
        <v>0.72</v>
      </c>
      <c r="T216" s="758">
        <v>11.44</v>
      </c>
      <c r="U216" s="645">
        <v>2.17</v>
      </c>
      <c r="V216" s="645">
        <v>1.36</v>
      </c>
      <c r="W216" s="1009">
        <v>173.33</v>
      </c>
      <c r="X216" s="1036">
        <v>60</v>
      </c>
      <c r="Y216" s="1023">
        <v>2</v>
      </c>
      <c r="Z216" s="758">
        <v>101.15</v>
      </c>
      <c r="AA216" s="645">
        <v>6</v>
      </c>
      <c r="AB216" s="645">
        <v>9.8699999999999992</v>
      </c>
      <c r="AC216" s="645"/>
    </row>
    <row r="217" spans="2:29" s="35" customFormat="1" ht="14.1" hidden="1" customHeight="1" x14ac:dyDescent="0.25">
      <c r="B217" s="405"/>
      <c r="C217" s="588" t="s">
        <v>519</v>
      </c>
      <c r="D217" s="570" t="s">
        <v>376</v>
      </c>
      <c r="E217" s="571" t="s">
        <v>175</v>
      </c>
      <c r="F217" s="572" t="s">
        <v>518</v>
      </c>
      <c r="G217" s="749">
        <v>404</v>
      </c>
      <c r="H217" s="749">
        <v>14.66</v>
      </c>
      <c r="I217" s="749">
        <v>9.1199999999999992</v>
      </c>
      <c r="J217" s="749">
        <v>55</v>
      </c>
      <c r="K217" s="749">
        <v>0.437</v>
      </c>
      <c r="L217" s="749"/>
      <c r="M217" s="749">
        <v>4</v>
      </c>
      <c r="N217" s="749">
        <v>144</v>
      </c>
      <c r="O217" s="749">
        <v>34</v>
      </c>
      <c r="P217" s="749">
        <v>3.2</v>
      </c>
      <c r="Q217" s="749">
        <v>0</v>
      </c>
      <c r="R217" s="785">
        <v>0.69199999999999995</v>
      </c>
      <c r="S217" s="785">
        <v>0.125</v>
      </c>
      <c r="T217" s="749">
        <v>1.474</v>
      </c>
      <c r="U217" s="592">
        <v>0.20100000000000001</v>
      </c>
      <c r="V217" s="592">
        <v>0.125</v>
      </c>
      <c r="W217" s="1004">
        <v>32</v>
      </c>
      <c r="X217" s="1031">
        <v>0</v>
      </c>
      <c r="Y217" s="1018">
        <v>0</v>
      </c>
      <c r="Z217" s="749">
        <v>0</v>
      </c>
      <c r="AA217" s="592">
        <v>0</v>
      </c>
      <c r="AB217" s="592">
        <v>0.7</v>
      </c>
      <c r="AC217" s="592">
        <v>3.2</v>
      </c>
    </row>
    <row r="218" spans="2:29" s="35" customFormat="1" ht="14.1" hidden="1" customHeight="1" x14ac:dyDescent="0.25">
      <c r="B218" s="405"/>
      <c r="C218" s="588" t="s">
        <v>442</v>
      </c>
      <c r="D218" s="570" t="s">
        <v>376</v>
      </c>
      <c r="E218" s="571" t="s">
        <v>175</v>
      </c>
      <c r="F218" s="572" t="s">
        <v>39</v>
      </c>
      <c r="G218" s="592">
        <v>389</v>
      </c>
      <c r="H218" s="592">
        <v>16.89</v>
      </c>
      <c r="I218" s="592">
        <v>6.9</v>
      </c>
      <c r="J218" s="749">
        <v>54</v>
      </c>
      <c r="K218" s="749">
        <v>0.626</v>
      </c>
      <c r="L218" s="749"/>
      <c r="M218" s="749">
        <v>4.72</v>
      </c>
      <c r="N218" s="749">
        <v>177</v>
      </c>
      <c r="O218" s="749"/>
      <c r="P218" s="749">
        <v>3.97</v>
      </c>
      <c r="Q218" s="749">
        <v>0</v>
      </c>
      <c r="R218" s="785">
        <v>0.76300000000000001</v>
      </c>
      <c r="S218" s="785">
        <v>0.13900000000000001</v>
      </c>
      <c r="T218" s="749">
        <v>0.96099999999999997</v>
      </c>
      <c r="U218" s="592">
        <v>1.349</v>
      </c>
      <c r="V218" s="592">
        <v>0.11899999999999999</v>
      </c>
      <c r="W218" s="1004">
        <v>56</v>
      </c>
      <c r="X218" s="1031">
        <v>0</v>
      </c>
      <c r="Y218" s="1018">
        <v>0</v>
      </c>
      <c r="Z218" s="749">
        <v>0</v>
      </c>
      <c r="AA218" s="592">
        <v>0</v>
      </c>
      <c r="AB218" s="592"/>
      <c r="AC218" s="592"/>
    </row>
    <row r="219" spans="2:29" s="35" customFormat="1" ht="14.1" hidden="1" customHeight="1" x14ac:dyDescent="0.25">
      <c r="B219" s="405"/>
      <c r="C219" s="588" t="s">
        <v>874</v>
      </c>
      <c r="D219" s="570" t="s">
        <v>869</v>
      </c>
      <c r="E219" s="571" t="s">
        <v>172</v>
      </c>
      <c r="F219" s="572" t="s">
        <v>873</v>
      </c>
      <c r="G219" s="749">
        <v>884</v>
      </c>
      <c r="H219" s="749">
        <v>0</v>
      </c>
      <c r="I219" s="749">
        <v>100</v>
      </c>
      <c r="J219" s="749">
        <v>0</v>
      </c>
      <c r="K219" s="749">
        <v>0</v>
      </c>
      <c r="L219" s="749"/>
      <c r="M219" s="749">
        <v>0.03</v>
      </c>
      <c r="N219" s="749">
        <v>0</v>
      </c>
      <c r="O219" s="749">
        <v>0</v>
      </c>
      <c r="P219" s="749">
        <v>0.01</v>
      </c>
      <c r="Q219" s="749">
        <v>0</v>
      </c>
      <c r="R219" s="785">
        <v>0</v>
      </c>
      <c r="S219" s="785">
        <v>0</v>
      </c>
      <c r="T219" s="749">
        <v>0</v>
      </c>
      <c r="U219" s="592">
        <v>0</v>
      </c>
      <c r="V219" s="592">
        <v>0</v>
      </c>
      <c r="W219" s="1004">
        <v>0</v>
      </c>
      <c r="X219" s="1031">
        <v>0</v>
      </c>
      <c r="Y219" s="1018">
        <v>0</v>
      </c>
      <c r="Z219" s="749">
        <v>0</v>
      </c>
      <c r="AA219" s="592">
        <v>0</v>
      </c>
      <c r="AB219" s="592">
        <v>15.69</v>
      </c>
      <c r="AC219" s="592">
        <v>0.7</v>
      </c>
    </row>
    <row r="220" spans="2:29" s="35" customFormat="1" ht="14.1" hidden="1" customHeight="1" x14ac:dyDescent="0.25">
      <c r="B220" s="405"/>
      <c r="C220" s="569" t="s">
        <v>883</v>
      </c>
      <c r="D220" s="570" t="s">
        <v>882</v>
      </c>
      <c r="E220" s="571" t="s">
        <v>172</v>
      </c>
      <c r="F220" s="572" t="s">
        <v>881</v>
      </c>
      <c r="G220" s="749">
        <v>884</v>
      </c>
      <c r="H220" s="749">
        <v>0</v>
      </c>
      <c r="I220" s="749">
        <v>100</v>
      </c>
      <c r="J220" s="749">
        <v>1</v>
      </c>
      <c r="K220" s="749">
        <v>0</v>
      </c>
      <c r="L220" s="749"/>
      <c r="M220" s="749">
        <v>0.56000000000000005</v>
      </c>
      <c r="N220" s="749">
        <v>0</v>
      </c>
      <c r="O220" s="749">
        <v>0</v>
      </c>
      <c r="P220" s="749">
        <v>0</v>
      </c>
      <c r="Q220" s="749">
        <v>0</v>
      </c>
      <c r="R220" s="785">
        <v>0</v>
      </c>
      <c r="S220" s="785">
        <v>0</v>
      </c>
      <c r="T220" s="749">
        <v>0</v>
      </c>
      <c r="U220" s="592">
        <v>0</v>
      </c>
      <c r="V220" s="592">
        <v>0</v>
      </c>
      <c r="W220" s="1004">
        <v>0</v>
      </c>
      <c r="X220" s="1031">
        <v>0</v>
      </c>
      <c r="Y220" s="1018">
        <v>0</v>
      </c>
      <c r="Z220" s="749">
        <v>0</v>
      </c>
      <c r="AA220" s="592">
        <v>0</v>
      </c>
      <c r="AB220" s="592">
        <v>14.35</v>
      </c>
      <c r="AC220" s="592">
        <v>60.2</v>
      </c>
    </row>
    <row r="221" spans="2:29" s="35" customFormat="1" ht="14.1" hidden="1" customHeight="1" x14ac:dyDescent="0.25">
      <c r="B221" s="405"/>
      <c r="C221" s="569" t="s">
        <v>444</v>
      </c>
      <c r="D221" s="570" t="s">
        <v>376</v>
      </c>
      <c r="E221" s="571" t="s">
        <v>172</v>
      </c>
      <c r="F221" s="572" t="s">
        <v>443</v>
      </c>
      <c r="G221" s="749">
        <v>884</v>
      </c>
      <c r="H221" s="749">
        <v>0</v>
      </c>
      <c r="I221" s="749">
        <v>100</v>
      </c>
      <c r="J221" s="749">
        <v>0</v>
      </c>
      <c r="K221" s="749">
        <v>0</v>
      </c>
      <c r="L221" s="749"/>
      <c r="M221" s="749">
        <v>0.01</v>
      </c>
      <c r="N221" s="749">
        <v>0</v>
      </c>
      <c r="O221" s="749">
        <v>0</v>
      </c>
      <c r="P221" s="749">
        <v>0</v>
      </c>
      <c r="Q221" s="749">
        <v>0</v>
      </c>
      <c r="R221" s="785">
        <v>0</v>
      </c>
      <c r="S221" s="785">
        <v>0</v>
      </c>
      <c r="T221" s="749">
        <v>0</v>
      </c>
      <c r="U221" s="592">
        <v>0</v>
      </c>
      <c r="V221" s="592">
        <v>0</v>
      </c>
      <c r="W221" s="1004">
        <v>0</v>
      </c>
      <c r="X221" s="1031">
        <v>0</v>
      </c>
      <c r="Y221" s="1018">
        <v>0</v>
      </c>
      <c r="Z221" s="749">
        <v>0</v>
      </c>
      <c r="AA221" s="592"/>
      <c r="AB221" s="592">
        <v>15.94</v>
      </c>
      <c r="AC221" s="592">
        <v>8</v>
      </c>
    </row>
    <row r="222" spans="2:29" s="35" customFormat="1" ht="14.1" hidden="1" customHeight="1" x14ac:dyDescent="0.25">
      <c r="B222" s="405"/>
      <c r="C222" s="588" t="s">
        <v>445</v>
      </c>
      <c r="D222" s="570" t="s">
        <v>376</v>
      </c>
      <c r="E222" s="571" t="s">
        <v>172</v>
      </c>
      <c r="F222" s="572" t="s">
        <v>446</v>
      </c>
      <c r="G222" s="749">
        <v>884</v>
      </c>
      <c r="H222" s="749">
        <v>0</v>
      </c>
      <c r="I222" s="749">
        <v>100</v>
      </c>
      <c r="J222" s="749">
        <v>0</v>
      </c>
      <c r="K222" s="749">
        <v>0</v>
      </c>
      <c r="L222" s="749"/>
      <c r="M222" s="749">
        <v>0</v>
      </c>
      <c r="N222" s="749">
        <v>0</v>
      </c>
      <c r="O222" s="749">
        <v>0</v>
      </c>
      <c r="P222" s="749">
        <v>0</v>
      </c>
      <c r="Q222" s="749">
        <v>0</v>
      </c>
      <c r="R222" s="785">
        <v>0</v>
      </c>
      <c r="S222" s="785">
        <v>0</v>
      </c>
      <c r="T222" s="749">
        <v>0</v>
      </c>
      <c r="U222" s="592">
        <v>0</v>
      </c>
      <c r="V222" s="592">
        <v>0</v>
      </c>
      <c r="W222" s="1004">
        <v>0</v>
      </c>
      <c r="X222" s="1031">
        <v>0</v>
      </c>
      <c r="Y222" s="1018">
        <v>0</v>
      </c>
      <c r="Z222" s="749">
        <v>0</v>
      </c>
      <c r="AA222" s="592">
        <v>0</v>
      </c>
      <c r="AB222" s="592">
        <v>41.08</v>
      </c>
      <c r="AC222" s="592">
        <v>5.4</v>
      </c>
    </row>
    <row r="223" spans="2:29" s="35" customFormat="1" ht="14.1" hidden="1" customHeight="1" x14ac:dyDescent="0.25">
      <c r="B223" s="405"/>
      <c r="C223" s="779" t="s">
        <v>513</v>
      </c>
      <c r="D223" s="610" t="s">
        <v>449</v>
      </c>
      <c r="E223" s="620" t="s">
        <v>172</v>
      </c>
      <c r="F223" s="621" t="s">
        <v>512</v>
      </c>
      <c r="G223" s="763">
        <v>884</v>
      </c>
      <c r="H223" s="763">
        <v>0</v>
      </c>
      <c r="I223" s="763">
        <v>100</v>
      </c>
      <c r="J223" s="763">
        <v>0</v>
      </c>
      <c r="K223" s="763"/>
      <c r="L223" s="763"/>
      <c r="M223" s="763">
        <v>0.05</v>
      </c>
      <c r="N223" s="763">
        <v>0</v>
      </c>
      <c r="O223" s="763"/>
      <c r="P223" s="763">
        <v>0.01</v>
      </c>
      <c r="Q223" s="764">
        <f>6750/3.33</f>
        <v>2027.0270270270271</v>
      </c>
      <c r="R223" s="1068">
        <v>0</v>
      </c>
      <c r="S223" s="1068">
        <v>0</v>
      </c>
      <c r="T223" s="763">
        <v>0</v>
      </c>
      <c r="U223" s="763">
        <v>0</v>
      </c>
      <c r="V223" s="763">
        <v>0</v>
      </c>
      <c r="W223" s="1011">
        <v>0</v>
      </c>
      <c r="X223" s="1038">
        <v>0</v>
      </c>
      <c r="Y223" s="1024">
        <v>0</v>
      </c>
      <c r="Z223" s="763">
        <v>0</v>
      </c>
      <c r="AA223" s="763">
        <f>1900/40</f>
        <v>47.5</v>
      </c>
      <c r="AB223" s="763">
        <v>8.18</v>
      </c>
      <c r="AC223" s="763">
        <v>183.9</v>
      </c>
    </row>
    <row r="224" spans="2:29" s="35" customFormat="1" ht="14.1" hidden="1" customHeight="1" x14ac:dyDescent="0.25">
      <c r="B224" s="405"/>
      <c r="C224" s="780" t="s">
        <v>53</v>
      </c>
      <c r="D224" s="603" t="s">
        <v>449</v>
      </c>
      <c r="E224" s="605" t="s">
        <v>172</v>
      </c>
      <c r="F224" s="606" t="s">
        <v>663</v>
      </c>
      <c r="G224" s="759">
        <v>884</v>
      </c>
      <c r="H224" s="759">
        <v>0</v>
      </c>
      <c r="I224" s="759">
        <v>100</v>
      </c>
      <c r="J224" s="759">
        <v>0</v>
      </c>
      <c r="K224" s="759"/>
      <c r="L224" s="759"/>
      <c r="M224" s="759">
        <v>0</v>
      </c>
      <c r="N224" s="759"/>
      <c r="O224" s="759"/>
      <c r="P224" s="759"/>
      <c r="Q224" s="759">
        <f>(30000/3.33)/10</f>
        <v>900.90090090090087</v>
      </c>
      <c r="R224" s="1064">
        <v>0</v>
      </c>
      <c r="S224" s="1064">
        <v>0</v>
      </c>
      <c r="T224" s="759">
        <v>0</v>
      </c>
      <c r="U224" s="759">
        <v>0</v>
      </c>
      <c r="V224" s="759">
        <v>0</v>
      </c>
      <c r="W224" s="1012">
        <v>0</v>
      </c>
      <c r="X224" s="1039">
        <v>0</v>
      </c>
      <c r="Y224" s="1025">
        <v>0</v>
      </c>
      <c r="Z224" s="759">
        <v>0</v>
      </c>
      <c r="AA224" s="759">
        <f>(3000/40)/10</f>
        <v>7.5</v>
      </c>
      <c r="AB224" s="645"/>
      <c r="AC224" s="645"/>
    </row>
    <row r="225" spans="2:29" s="35" customFormat="1" ht="14.1" hidden="1" customHeight="1" x14ac:dyDescent="0.25">
      <c r="B225" s="405"/>
      <c r="C225" s="588" t="s">
        <v>448</v>
      </c>
      <c r="D225" s="570" t="s">
        <v>376</v>
      </c>
      <c r="E225" s="571" t="s">
        <v>176</v>
      </c>
      <c r="F225" s="572" t="s">
        <v>40</v>
      </c>
      <c r="G225" s="749">
        <v>40</v>
      </c>
      <c r="H225" s="749">
        <v>1.1000000000000001</v>
      </c>
      <c r="I225" s="749">
        <v>0.1</v>
      </c>
      <c r="J225" s="749">
        <v>23</v>
      </c>
      <c r="K225" s="749">
        <v>3.9E-2</v>
      </c>
      <c r="L225" s="749"/>
      <c r="M225" s="749">
        <v>0.21</v>
      </c>
      <c r="N225" s="749">
        <v>10</v>
      </c>
      <c r="O225" s="749">
        <v>0.5</v>
      </c>
      <c r="P225" s="749">
        <v>0.17</v>
      </c>
      <c r="Q225" s="749">
        <v>0</v>
      </c>
      <c r="R225" s="785">
        <v>4.5999999999999999E-2</v>
      </c>
      <c r="S225" s="785">
        <v>2.7E-2</v>
      </c>
      <c r="T225" s="749">
        <v>0.11600000000000001</v>
      </c>
      <c r="U225" s="592">
        <v>0.123</v>
      </c>
      <c r="V225" s="592">
        <v>0.12</v>
      </c>
      <c r="W225" s="1004">
        <v>19</v>
      </c>
      <c r="X225" s="1031">
        <v>0</v>
      </c>
      <c r="Y225" s="1018">
        <v>0</v>
      </c>
      <c r="Z225" s="749">
        <v>7.4</v>
      </c>
      <c r="AA225" s="592">
        <v>0</v>
      </c>
      <c r="AB225" s="592">
        <v>0.02</v>
      </c>
      <c r="AC225" s="592">
        <v>0.4</v>
      </c>
    </row>
    <row r="226" spans="2:29" s="35" customFormat="1" ht="14.1" hidden="1" customHeight="1" x14ac:dyDescent="0.25">
      <c r="B226" s="405"/>
      <c r="C226" s="588" t="s">
        <v>561</v>
      </c>
      <c r="D226" s="570" t="s">
        <v>488</v>
      </c>
      <c r="E226" s="571" t="s">
        <v>248</v>
      </c>
      <c r="F226" s="572" t="s">
        <v>560</v>
      </c>
      <c r="G226" s="749">
        <v>45</v>
      </c>
      <c r="H226" s="749">
        <v>0.7</v>
      </c>
      <c r="I226" s="749">
        <v>0.2</v>
      </c>
      <c r="J226" s="749">
        <v>11</v>
      </c>
      <c r="K226" s="749">
        <v>4.3999999999999997E-2</v>
      </c>
      <c r="L226" s="749"/>
      <c r="M226" s="749">
        <v>0.2</v>
      </c>
      <c r="N226" s="749">
        <v>11</v>
      </c>
      <c r="O226" s="749">
        <v>0.1</v>
      </c>
      <c r="P226" s="749">
        <v>0.05</v>
      </c>
      <c r="Q226" s="749">
        <v>10</v>
      </c>
      <c r="R226" s="785">
        <v>0.09</v>
      </c>
      <c r="S226" s="785">
        <v>0.03</v>
      </c>
      <c r="T226" s="749">
        <v>0.4</v>
      </c>
      <c r="U226" s="592">
        <v>0.19</v>
      </c>
      <c r="V226" s="592">
        <v>0.04</v>
      </c>
      <c r="W226" s="1004">
        <v>30</v>
      </c>
      <c r="X226" s="1031">
        <v>0</v>
      </c>
      <c r="Y226" s="1018">
        <v>0</v>
      </c>
      <c r="Z226" s="749">
        <v>50</v>
      </c>
      <c r="AA226" s="592">
        <v>0</v>
      </c>
      <c r="AB226" s="592">
        <v>0.04</v>
      </c>
      <c r="AC226" s="592">
        <v>0.1</v>
      </c>
    </row>
    <row r="227" spans="2:29" s="35" customFormat="1" ht="14.1" hidden="1" customHeight="1" x14ac:dyDescent="0.25">
      <c r="B227" s="405"/>
      <c r="C227" s="588" t="s">
        <v>534</v>
      </c>
      <c r="D227" s="570" t="s">
        <v>376</v>
      </c>
      <c r="E227" s="571" t="s">
        <v>248</v>
      </c>
      <c r="F227" s="572" t="s">
        <v>535</v>
      </c>
      <c r="G227" s="749">
        <v>63</v>
      </c>
      <c r="H227" s="749">
        <v>1.3</v>
      </c>
      <c r="I227" s="749">
        <v>0.3</v>
      </c>
      <c r="J227" s="749">
        <v>70</v>
      </c>
      <c r="K227" s="749">
        <v>5.7000000000000002E-2</v>
      </c>
      <c r="L227" s="749"/>
      <c r="M227" s="749">
        <v>0.8</v>
      </c>
      <c r="N227" s="749">
        <v>14</v>
      </c>
      <c r="O227" s="749">
        <v>0.7</v>
      </c>
      <c r="P227" s="749">
        <v>0.11</v>
      </c>
      <c r="Q227" s="749">
        <v>13</v>
      </c>
      <c r="R227" s="785">
        <v>0.1</v>
      </c>
      <c r="S227" s="785">
        <v>0.05</v>
      </c>
      <c r="T227" s="749">
        <v>0.5</v>
      </c>
      <c r="U227" s="592">
        <v>0.33</v>
      </c>
      <c r="V227" s="592">
        <v>9.2999999999999999E-2</v>
      </c>
      <c r="W227" s="1004">
        <v>30</v>
      </c>
      <c r="X227" s="1031">
        <v>0</v>
      </c>
      <c r="Y227" s="1018">
        <v>0</v>
      </c>
      <c r="Z227" s="749">
        <v>71</v>
      </c>
      <c r="AA227" s="592"/>
      <c r="AB227" s="592"/>
      <c r="AC227" s="592"/>
    </row>
    <row r="228" spans="2:29" s="35" customFormat="1" ht="14.1" hidden="1" customHeight="1" x14ac:dyDescent="0.25">
      <c r="B228" s="405"/>
      <c r="C228" s="588" t="s">
        <v>447</v>
      </c>
      <c r="D228" s="570" t="s">
        <v>376</v>
      </c>
      <c r="E228" s="571" t="s">
        <v>248</v>
      </c>
      <c r="F228" s="572" t="s">
        <v>450</v>
      </c>
      <c r="G228" s="749">
        <v>43</v>
      </c>
      <c r="H228" s="749">
        <v>0.47</v>
      </c>
      <c r="I228" s="749">
        <v>0.26</v>
      </c>
      <c r="J228" s="749">
        <v>20</v>
      </c>
      <c r="K228" s="749">
        <v>4.4999999999999998E-2</v>
      </c>
      <c r="L228" s="749"/>
      <c r="M228" s="749">
        <v>0.25</v>
      </c>
      <c r="N228" s="749">
        <v>21</v>
      </c>
      <c r="O228" s="749">
        <v>0.6</v>
      </c>
      <c r="P228" s="749">
        <v>0.08</v>
      </c>
      <c r="Q228" s="749">
        <v>47</v>
      </c>
      <c r="R228" s="785">
        <v>2.3E-2</v>
      </c>
      <c r="S228" s="785">
        <v>2.7E-2</v>
      </c>
      <c r="T228" s="749">
        <v>0.35699999999999998</v>
      </c>
      <c r="U228" s="592">
        <v>0.191</v>
      </c>
      <c r="V228" s="592">
        <v>3.7999999999999999E-2</v>
      </c>
      <c r="W228" s="1004">
        <v>37</v>
      </c>
      <c r="X228" s="1031">
        <v>0</v>
      </c>
      <c r="Y228" s="1018">
        <v>0</v>
      </c>
      <c r="Z228" s="749">
        <v>60.9</v>
      </c>
      <c r="AA228" s="592">
        <v>0</v>
      </c>
      <c r="AB228" s="592">
        <v>0.3</v>
      </c>
      <c r="AC228" s="592">
        <v>2.6</v>
      </c>
    </row>
    <row r="229" spans="2:29" s="35" customFormat="1" ht="14.1" hidden="1" customHeight="1" x14ac:dyDescent="0.25">
      <c r="B229" s="405"/>
      <c r="C229" s="588" t="s">
        <v>454</v>
      </c>
      <c r="D229" s="570" t="s">
        <v>376</v>
      </c>
      <c r="E229" s="571" t="s">
        <v>175</v>
      </c>
      <c r="F229" s="489" t="s">
        <v>242</v>
      </c>
      <c r="G229" s="749">
        <v>371</v>
      </c>
      <c r="H229" s="749">
        <v>13.04</v>
      </c>
      <c r="I229" s="749">
        <v>1.51</v>
      </c>
      <c r="J229" s="749">
        <v>21</v>
      </c>
      <c r="K229" s="749">
        <v>0.28899999999999998</v>
      </c>
      <c r="L229" s="749"/>
      <c r="M229" s="749">
        <v>1.3</v>
      </c>
      <c r="N229" s="749">
        <v>53</v>
      </c>
      <c r="O229" s="749">
        <v>63.2</v>
      </c>
      <c r="P229" s="749">
        <v>1.41</v>
      </c>
      <c r="Q229" s="749">
        <v>0</v>
      </c>
      <c r="R229" s="785">
        <v>0.09</v>
      </c>
      <c r="S229" s="785">
        <v>0.06</v>
      </c>
      <c r="T229" s="749">
        <v>1.7</v>
      </c>
      <c r="U229" s="592">
        <v>0.43099999999999999</v>
      </c>
      <c r="V229" s="592">
        <v>0.14199999999999999</v>
      </c>
      <c r="W229" s="1004">
        <v>18</v>
      </c>
      <c r="X229" s="1031">
        <v>0</v>
      </c>
      <c r="Y229" s="1018">
        <v>0</v>
      </c>
      <c r="Z229" s="749">
        <v>0</v>
      </c>
      <c r="AA229" s="592"/>
      <c r="AB229" s="592">
        <v>0.11</v>
      </c>
      <c r="AC229" s="592">
        <v>0.1</v>
      </c>
    </row>
    <row r="230" spans="2:29" s="35" customFormat="1" ht="14.1" hidden="1" customHeight="1" x14ac:dyDescent="0.25">
      <c r="B230" s="405"/>
      <c r="C230" s="588" t="s">
        <v>548</v>
      </c>
      <c r="D230" s="570" t="s">
        <v>488</v>
      </c>
      <c r="E230" s="571" t="s">
        <v>248</v>
      </c>
      <c r="F230" s="572" t="s">
        <v>547</v>
      </c>
      <c r="G230" s="749">
        <v>57</v>
      </c>
      <c r="H230" s="749">
        <v>0.36</v>
      </c>
      <c r="I230" s="749">
        <v>0.14000000000000001</v>
      </c>
      <c r="J230" s="749">
        <v>9</v>
      </c>
      <c r="K230" s="749">
        <v>8.2000000000000003E-2</v>
      </c>
      <c r="L230" s="749"/>
      <c r="M230" s="749">
        <v>0.18</v>
      </c>
      <c r="N230" s="749">
        <v>7</v>
      </c>
      <c r="O230" s="749">
        <v>0.1</v>
      </c>
      <c r="P230" s="749">
        <v>0.1</v>
      </c>
      <c r="Q230" s="749">
        <v>1</v>
      </c>
      <c r="R230" s="785">
        <v>1.2E-2</v>
      </c>
      <c r="S230" s="785">
        <v>2.5999999999999999E-2</v>
      </c>
      <c r="T230" s="749">
        <v>0.161</v>
      </c>
      <c r="U230" s="592">
        <v>4.9000000000000002E-2</v>
      </c>
      <c r="V230" s="592">
        <v>2.9000000000000001E-2</v>
      </c>
      <c r="W230" s="1004">
        <v>7</v>
      </c>
      <c r="X230" s="1031">
        <v>0</v>
      </c>
      <c r="Y230" s="1018">
        <v>0</v>
      </c>
      <c r="Z230" s="749">
        <v>4.3</v>
      </c>
      <c r="AA230" s="592">
        <v>0</v>
      </c>
      <c r="AB230" s="592">
        <v>0.12</v>
      </c>
      <c r="AC230" s="592">
        <v>4.4000000000000004</v>
      </c>
    </row>
    <row r="231" spans="2:29" s="35" customFormat="1" ht="14.1" hidden="1" customHeight="1" x14ac:dyDescent="0.25">
      <c r="B231" s="405"/>
      <c r="C231" s="588" t="s">
        <v>453</v>
      </c>
      <c r="D231" s="570" t="s">
        <v>376</v>
      </c>
      <c r="E231" s="571" t="s">
        <v>179</v>
      </c>
      <c r="F231" s="572" t="s">
        <v>41</v>
      </c>
      <c r="G231" s="749">
        <v>341</v>
      </c>
      <c r="H231" s="749">
        <v>24.55</v>
      </c>
      <c r="I231" s="749">
        <v>1.1599999999999999</v>
      </c>
      <c r="J231" s="749">
        <v>55</v>
      </c>
      <c r="K231" s="749">
        <v>0.86599999999999999</v>
      </c>
      <c r="L231" s="749"/>
      <c r="M231" s="749">
        <v>4.43</v>
      </c>
      <c r="N231" s="749">
        <v>115</v>
      </c>
      <c r="O231" s="749">
        <v>1.6</v>
      </c>
      <c r="P231" s="749">
        <v>3.01</v>
      </c>
      <c r="Q231" s="749">
        <v>7</v>
      </c>
      <c r="R231" s="785">
        <v>0.72599999999999998</v>
      </c>
      <c r="S231" s="785">
        <v>0.215</v>
      </c>
      <c r="T231" s="749">
        <v>2.8889999999999998</v>
      </c>
      <c r="U231" s="592">
        <v>1.758</v>
      </c>
      <c r="V231" s="592">
        <v>0.17399999999999999</v>
      </c>
      <c r="W231" s="1004">
        <v>274</v>
      </c>
      <c r="X231" s="1031">
        <v>0</v>
      </c>
      <c r="Y231" s="1018">
        <v>0</v>
      </c>
      <c r="Z231" s="749">
        <v>1.8</v>
      </c>
      <c r="AA231" s="592">
        <v>0</v>
      </c>
      <c r="AB231" s="592">
        <v>0.09</v>
      </c>
      <c r="AC231" s="592">
        <v>14.5</v>
      </c>
    </row>
    <row r="232" spans="2:29" s="35" customFormat="1" ht="14.1" hidden="1" customHeight="1" x14ac:dyDescent="0.25">
      <c r="B232" s="405"/>
      <c r="C232" s="588" t="s">
        <v>556</v>
      </c>
      <c r="D232" s="570" t="s">
        <v>488</v>
      </c>
      <c r="E232" s="571" t="s">
        <v>179</v>
      </c>
      <c r="F232" s="572" t="s">
        <v>555</v>
      </c>
      <c r="G232" s="749">
        <v>53</v>
      </c>
      <c r="H232" s="749">
        <v>3.19</v>
      </c>
      <c r="I232" s="749">
        <v>0.3</v>
      </c>
      <c r="J232" s="749">
        <v>18</v>
      </c>
      <c r="K232" s="749">
        <v>0.108</v>
      </c>
      <c r="L232" s="749"/>
      <c r="M232" s="749">
        <v>1.02</v>
      </c>
      <c r="N232" s="749">
        <v>17</v>
      </c>
      <c r="O232" s="749">
        <v>1.3</v>
      </c>
      <c r="P232" s="749">
        <v>0.7</v>
      </c>
      <c r="Q232" s="749">
        <v>72</v>
      </c>
      <c r="R232" s="785">
        <v>0.111</v>
      </c>
      <c r="S232" s="785">
        <v>7.2999999999999995E-2</v>
      </c>
      <c r="T232" s="749">
        <v>0.84199999999999997</v>
      </c>
      <c r="U232" s="592">
        <v>9.0999999999999998E-2</v>
      </c>
      <c r="V232" s="592">
        <v>6.5000000000000002E-2</v>
      </c>
      <c r="W232" s="1004">
        <v>29</v>
      </c>
      <c r="X232" s="1031">
        <v>0</v>
      </c>
      <c r="Y232" s="1018">
        <v>0</v>
      </c>
      <c r="Z232" s="749">
        <v>9.8000000000000007</v>
      </c>
      <c r="AA232" s="592">
        <v>0</v>
      </c>
      <c r="AB232" s="592">
        <v>0.02</v>
      </c>
      <c r="AC232" s="592">
        <v>16.5</v>
      </c>
    </row>
    <row r="233" spans="2:29" s="35" customFormat="1" ht="14.1" hidden="1" customHeight="1" x14ac:dyDescent="0.25">
      <c r="B233" s="405"/>
      <c r="C233" s="588" t="s">
        <v>452</v>
      </c>
      <c r="D233" s="570" t="s">
        <v>376</v>
      </c>
      <c r="E233" s="571" t="s">
        <v>179</v>
      </c>
      <c r="F233" s="572" t="s">
        <v>451</v>
      </c>
      <c r="G233" s="749">
        <v>81</v>
      </c>
      <c r="H233" s="749">
        <v>5.42</v>
      </c>
      <c r="I233" s="749">
        <v>0.4</v>
      </c>
      <c r="J233" s="749">
        <v>25</v>
      </c>
      <c r="K233" s="749">
        <v>0.17599999999999999</v>
      </c>
      <c r="L233" s="749"/>
      <c r="M233" s="749">
        <v>1.47</v>
      </c>
      <c r="N233" s="749">
        <v>33</v>
      </c>
      <c r="O233" s="749">
        <v>1.8</v>
      </c>
      <c r="P233" s="749">
        <v>1.24</v>
      </c>
      <c r="Q233" s="749">
        <v>38</v>
      </c>
      <c r="R233" s="785">
        <v>0.26600000000000001</v>
      </c>
      <c r="S233" s="785">
        <v>0.13200000000000001</v>
      </c>
      <c r="T233" s="749">
        <v>2.09</v>
      </c>
      <c r="U233" s="592">
        <v>0.104</v>
      </c>
      <c r="V233" s="592">
        <v>0.16900000000000001</v>
      </c>
      <c r="W233" s="1004">
        <v>65</v>
      </c>
      <c r="X233" s="1031">
        <v>0</v>
      </c>
      <c r="Y233" s="1018">
        <v>0</v>
      </c>
      <c r="Z233" s="749">
        <v>40</v>
      </c>
      <c r="AA233" s="592">
        <v>0</v>
      </c>
      <c r="AB233" s="592">
        <v>0.13</v>
      </c>
      <c r="AC233" s="592">
        <v>24.8</v>
      </c>
    </row>
    <row r="234" spans="2:29" s="35" customFormat="1" ht="14.1" hidden="1" customHeight="1" x14ac:dyDescent="0.25">
      <c r="B234" s="405"/>
      <c r="C234" s="588" t="s">
        <v>457</v>
      </c>
      <c r="D234" s="570" t="s">
        <v>376</v>
      </c>
      <c r="E234" s="571" t="s">
        <v>176</v>
      </c>
      <c r="F234" s="572" t="s">
        <v>42</v>
      </c>
      <c r="G234" s="749">
        <v>20</v>
      </c>
      <c r="H234" s="749">
        <v>0.86</v>
      </c>
      <c r="I234" s="749">
        <v>0.17</v>
      </c>
      <c r="J234" s="749">
        <v>10</v>
      </c>
      <c r="K234" s="749">
        <v>6.6000000000000003E-2</v>
      </c>
      <c r="L234" s="749"/>
      <c r="M234" s="749">
        <v>0.34</v>
      </c>
      <c r="N234" s="749">
        <v>10</v>
      </c>
      <c r="O234" s="749">
        <v>0</v>
      </c>
      <c r="P234" s="749">
        <v>0.13</v>
      </c>
      <c r="Q234" s="749">
        <v>18</v>
      </c>
      <c r="R234" s="785">
        <v>5.7000000000000002E-2</v>
      </c>
      <c r="S234" s="785">
        <v>2.8000000000000001E-2</v>
      </c>
      <c r="T234" s="749">
        <v>0.48</v>
      </c>
      <c r="U234" s="592">
        <v>9.9000000000000005E-2</v>
      </c>
      <c r="V234" s="592">
        <v>0.224</v>
      </c>
      <c r="W234" s="1004">
        <v>10</v>
      </c>
      <c r="X234" s="1031">
        <v>0</v>
      </c>
      <c r="Y234" s="1018">
        <v>0</v>
      </c>
      <c r="Z234" s="749">
        <v>80.400000000000006</v>
      </c>
      <c r="AA234" s="592">
        <v>0</v>
      </c>
      <c r="AB234" s="592">
        <v>0.37</v>
      </c>
      <c r="AC234" s="592">
        <v>7.4</v>
      </c>
    </row>
    <row r="235" spans="2:29" s="35" customFormat="1" ht="14.1" hidden="1" customHeight="1" x14ac:dyDescent="0.25">
      <c r="B235" s="405"/>
      <c r="C235" s="588" t="s">
        <v>458</v>
      </c>
      <c r="D235" s="570" t="s">
        <v>376</v>
      </c>
      <c r="E235" s="571" t="s">
        <v>176</v>
      </c>
      <c r="F235" s="572" t="s">
        <v>43</v>
      </c>
      <c r="G235" s="749">
        <v>31</v>
      </c>
      <c r="H235" s="749">
        <v>0.99</v>
      </c>
      <c r="I235" s="749">
        <v>0.3</v>
      </c>
      <c r="J235" s="749">
        <v>7</v>
      </c>
      <c r="K235" s="749">
        <v>1.7000000000000001E-2</v>
      </c>
      <c r="L235" s="749"/>
      <c r="M235" s="749">
        <v>0.43</v>
      </c>
      <c r="N235" s="749">
        <v>12</v>
      </c>
      <c r="O235" s="749">
        <v>0.1</v>
      </c>
      <c r="P235" s="749">
        <v>0.25</v>
      </c>
      <c r="Q235" s="749">
        <v>157</v>
      </c>
      <c r="R235" s="785">
        <v>5.3999999999999999E-2</v>
      </c>
      <c r="S235" s="785">
        <v>8.5000000000000006E-2</v>
      </c>
      <c r="T235" s="749">
        <v>0.97899999999999998</v>
      </c>
      <c r="U235" s="592">
        <v>0.317</v>
      </c>
      <c r="V235" s="592">
        <v>0.29099999999999998</v>
      </c>
      <c r="W235" s="1004">
        <v>46</v>
      </c>
      <c r="X235" s="1031">
        <v>0</v>
      </c>
      <c r="Y235" s="1018">
        <v>0</v>
      </c>
      <c r="Z235" s="749">
        <v>127.7</v>
      </c>
      <c r="AA235" s="592">
        <v>0</v>
      </c>
      <c r="AB235" s="592">
        <v>1.58</v>
      </c>
      <c r="AC235" s="592">
        <v>4.9000000000000004</v>
      </c>
    </row>
    <row r="236" spans="2:29" s="35" customFormat="1" ht="14.1" hidden="1" customHeight="1" x14ac:dyDescent="0.25">
      <c r="B236" s="405"/>
      <c r="C236" s="588" t="s">
        <v>456</v>
      </c>
      <c r="D236" s="570" t="s">
        <v>376</v>
      </c>
      <c r="E236" s="571" t="s">
        <v>176</v>
      </c>
      <c r="F236" s="572" t="s">
        <v>44</v>
      </c>
      <c r="G236" s="749">
        <v>27</v>
      </c>
      <c r="H236" s="749">
        <v>1</v>
      </c>
      <c r="I236" s="749">
        <v>0.21</v>
      </c>
      <c r="J236" s="749">
        <v>11</v>
      </c>
      <c r="K236" s="749">
        <v>0.107</v>
      </c>
      <c r="L236" s="749"/>
      <c r="M236" s="749">
        <v>0.46</v>
      </c>
      <c r="N236" s="749">
        <v>12</v>
      </c>
      <c r="O236" s="749">
        <v>0.3</v>
      </c>
      <c r="P236" s="749">
        <v>0.17</v>
      </c>
      <c r="Q236" s="749">
        <v>10</v>
      </c>
      <c r="R236" s="785">
        <v>2.8000000000000001E-2</v>
      </c>
      <c r="S236" s="785">
        <v>2.5000000000000001E-2</v>
      </c>
      <c r="T236" s="749">
        <v>0.89</v>
      </c>
      <c r="U236" s="592">
        <v>0.16800000000000001</v>
      </c>
      <c r="V236" s="592">
        <v>0.16800000000000001</v>
      </c>
      <c r="W236" s="1004">
        <v>26</v>
      </c>
      <c r="X236" s="1031">
        <v>0</v>
      </c>
      <c r="Y236" s="1018">
        <v>0</v>
      </c>
      <c r="Z236" s="749">
        <v>183.5</v>
      </c>
      <c r="AA236" s="592">
        <v>0</v>
      </c>
      <c r="AB236" s="592"/>
      <c r="AC236" s="592"/>
    </row>
    <row r="237" spans="2:29" s="35" customFormat="1" ht="14.1" hidden="1" customHeight="1" x14ac:dyDescent="0.25">
      <c r="B237" s="405"/>
      <c r="C237" s="588" t="s">
        <v>455</v>
      </c>
      <c r="D237" s="570" t="s">
        <v>376</v>
      </c>
      <c r="E237" s="593" t="s">
        <v>179</v>
      </c>
      <c r="F237" s="594" t="s">
        <v>255</v>
      </c>
      <c r="G237" s="627">
        <v>343</v>
      </c>
      <c r="H237" s="627">
        <v>21.7</v>
      </c>
      <c r="I237" s="627">
        <v>1.49</v>
      </c>
      <c r="J237" s="750">
        <v>130</v>
      </c>
      <c r="K237" s="750">
        <v>1.0569999999999999</v>
      </c>
      <c r="L237" s="750"/>
      <c r="M237" s="750">
        <v>5.23</v>
      </c>
      <c r="N237" s="750">
        <v>183</v>
      </c>
      <c r="O237" s="750">
        <v>8.1999999999999993</v>
      </c>
      <c r="P237" s="750">
        <v>2.76</v>
      </c>
      <c r="Q237" s="750">
        <v>1</v>
      </c>
      <c r="R237" s="1058">
        <v>0.64300000000000002</v>
      </c>
      <c r="S237" s="1058">
        <v>0.187</v>
      </c>
      <c r="T237" s="750">
        <v>2.9649999999999999</v>
      </c>
      <c r="U237" s="592">
        <v>1.266</v>
      </c>
      <c r="V237" s="592">
        <v>0.28299999999999997</v>
      </c>
      <c r="W237" s="1004">
        <v>456</v>
      </c>
      <c r="X237" s="1031">
        <v>0</v>
      </c>
      <c r="Y237" s="1018">
        <v>0</v>
      </c>
      <c r="Z237" s="750">
        <v>0</v>
      </c>
      <c r="AA237" s="592">
        <v>0</v>
      </c>
      <c r="AB237" s="592"/>
      <c r="AC237" s="592"/>
    </row>
    <row r="238" spans="2:29" s="35" customFormat="1" ht="14.1" hidden="1" customHeight="1" x14ac:dyDescent="0.25">
      <c r="B238" s="405"/>
      <c r="C238" s="588" t="s">
        <v>459</v>
      </c>
      <c r="D238" s="570" t="s">
        <v>376</v>
      </c>
      <c r="E238" s="571" t="s">
        <v>248</v>
      </c>
      <c r="F238" s="572" t="s">
        <v>45</v>
      </c>
      <c r="G238" s="749">
        <v>45</v>
      </c>
      <c r="H238" s="749">
        <v>0.55000000000000004</v>
      </c>
      <c r="I238" s="749">
        <v>0.13</v>
      </c>
      <c r="J238" s="749">
        <v>13</v>
      </c>
      <c r="K238" s="749">
        <v>8.1000000000000003E-2</v>
      </c>
      <c r="L238" s="749"/>
      <c r="M238" s="749">
        <v>0.25</v>
      </c>
      <c r="N238" s="749">
        <v>12</v>
      </c>
      <c r="O238" s="749">
        <v>0</v>
      </c>
      <c r="P238" s="749">
        <v>0.08</v>
      </c>
      <c r="Q238" s="749">
        <v>3</v>
      </c>
      <c r="R238" s="785">
        <v>7.8E-2</v>
      </c>
      <c r="S238" s="785">
        <v>2.9000000000000001E-2</v>
      </c>
      <c r="T238" s="749">
        <v>0.47</v>
      </c>
      <c r="U238" s="592">
        <v>0.193</v>
      </c>
      <c r="V238" s="592">
        <v>0.106</v>
      </c>
      <c r="W238" s="1004"/>
      <c r="X238" s="1031">
        <v>0</v>
      </c>
      <c r="Y238" s="1018"/>
      <c r="Z238" s="749">
        <v>16.899999999999999</v>
      </c>
      <c r="AA238" s="592">
        <v>0</v>
      </c>
      <c r="AB238" s="592"/>
      <c r="AC238" s="592">
        <v>0.7</v>
      </c>
    </row>
    <row r="239" spans="2:29" s="35" customFormat="1" ht="14.1" hidden="1" customHeight="1" x14ac:dyDescent="0.25">
      <c r="B239" s="405"/>
      <c r="C239" s="588" t="s">
        <v>460</v>
      </c>
      <c r="D239" s="570" t="s">
        <v>376</v>
      </c>
      <c r="E239" s="571" t="s">
        <v>248</v>
      </c>
      <c r="F239" s="572" t="s">
        <v>46</v>
      </c>
      <c r="G239" s="749">
        <v>122</v>
      </c>
      <c r="H239" s="749">
        <v>1.3</v>
      </c>
      <c r="I239" s="749">
        <v>0.37</v>
      </c>
      <c r="J239" s="749">
        <v>3</v>
      </c>
      <c r="K239" s="749">
        <v>8.1000000000000003E-2</v>
      </c>
      <c r="L239" s="749"/>
      <c r="M239" s="749">
        <v>0.6</v>
      </c>
      <c r="N239" s="749">
        <v>37</v>
      </c>
      <c r="O239" s="749">
        <v>1.5</v>
      </c>
      <c r="P239" s="749">
        <v>0.14000000000000001</v>
      </c>
      <c r="Q239" s="749">
        <v>56</v>
      </c>
      <c r="R239" s="785">
        <v>5.1999999999999998E-2</v>
      </c>
      <c r="S239" s="785">
        <v>5.3999999999999999E-2</v>
      </c>
      <c r="T239" s="749">
        <v>0.68600000000000005</v>
      </c>
      <c r="U239" s="592">
        <v>0.26</v>
      </c>
      <c r="V239" s="592">
        <v>0.29899999999999999</v>
      </c>
      <c r="W239" s="1004">
        <v>22</v>
      </c>
      <c r="X239" s="1031">
        <v>0</v>
      </c>
      <c r="Y239" s="1018">
        <v>0</v>
      </c>
      <c r="Z239" s="749">
        <v>18.399999999999999</v>
      </c>
      <c r="AA239" s="592">
        <v>0</v>
      </c>
      <c r="AB239" s="592">
        <v>0.14000000000000001</v>
      </c>
      <c r="AC239" s="592">
        <v>0.7</v>
      </c>
    </row>
    <row r="240" spans="2:29" s="35" customFormat="1" ht="14.1" hidden="1" customHeight="1" x14ac:dyDescent="0.25">
      <c r="B240" s="405"/>
      <c r="C240" s="588" t="s">
        <v>521</v>
      </c>
      <c r="D240" s="570" t="s">
        <v>488</v>
      </c>
      <c r="E240" s="571" t="s">
        <v>250</v>
      </c>
      <c r="F240" s="572" t="s">
        <v>520</v>
      </c>
      <c r="G240" s="749">
        <v>263</v>
      </c>
      <c r="H240" s="749">
        <v>16.88</v>
      </c>
      <c r="I240" s="749">
        <v>21.19</v>
      </c>
      <c r="J240" s="749">
        <v>14</v>
      </c>
      <c r="K240" s="749">
        <v>4.4999999999999998E-2</v>
      </c>
      <c r="L240" s="749"/>
      <c r="M240" s="749">
        <v>0.88</v>
      </c>
      <c r="N240" s="749">
        <v>19</v>
      </c>
      <c r="O240" s="749">
        <v>24.6</v>
      </c>
      <c r="P240" s="749">
        <v>2.2000000000000002</v>
      </c>
      <c r="Q240" s="749">
        <v>2</v>
      </c>
      <c r="R240" s="785">
        <v>0.73199999999999998</v>
      </c>
      <c r="S240" s="785">
        <v>0.23499999999999999</v>
      </c>
      <c r="T240" s="749">
        <v>4.3380000000000001</v>
      </c>
      <c r="U240" s="592">
        <v>0.66800000000000004</v>
      </c>
      <c r="V240" s="592">
        <v>0.38300000000000001</v>
      </c>
      <c r="W240" s="1004">
        <v>5</v>
      </c>
      <c r="X240" s="1031">
        <v>0</v>
      </c>
      <c r="Y240" s="1018">
        <v>0.7</v>
      </c>
      <c r="Z240" s="749">
        <v>0.7</v>
      </c>
      <c r="AA240" s="592"/>
      <c r="AB240" s="592"/>
      <c r="AC240" s="592"/>
    </row>
    <row r="241" spans="2:29" s="35" customFormat="1" ht="14.1" hidden="1" customHeight="1" x14ac:dyDescent="0.25">
      <c r="B241" s="405"/>
      <c r="C241" s="588" t="s">
        <v>461</v>
      </c>
      <c r="D241" s="570" t="s">
        <v>376</v>
      </c>
      <c r="E241" s="571" t="s">
        <v>177</v>
      </c>
      <c r="F241" s="572" t="s">
        <v>47</v>
      </c>
      <c r="G241" s="749">
        <v>77</v>
      </c>
      <c r="H241" s="749">
        <v>2.02</v>
      </c>
      <c r="I241" s="749">
        <v>0.09</v>
      </c>
      <c r="J241" s="749">
        <v>12</v>
      </c>
      <c r="K241" s="749">
        <v>0.108</v>
      </c>
      <c r="L241" s="749"/>
      <c r="M241" s="749">
        <v>0.78</v>
      </c>
      <c r="N241" s="749">
        <v>23</v>
      </c>
      <c r="O241" s="749">
        <v>0.3</v>
      </c>
      <c r="P241" s="749">
        <v>0.28999999999999998</v>
      </c>
      <c r="Q241" s="749">
        <v>0</v>
      </c>
      <c r="R241" s="785">
        <v>0.08</v>
      </c>
      <c r="S241" s="785">
        <v>3.2000000000000001E-2</v>
      </c>
      <c r="T241" s="749">
        <v>1.054</v>
      </c>
      <c r="U241" s="592">
        <v>0.29599999999999999</v>
      </c>
      <c r="V241" s="592">
        <v>0.29499999999999998</v>
      </c>
      <c r="W241" s="1004">
        <v>16</v>
      </c>
      <c r="X241" s="1031">
        <v>0</v>
      </c>
      <c r="Y241" s="1018">
        <v>0</v>
      </c>
      <c r="Z241" s="749">
        <v>19.7</v>
      </c>
      <c r="AA241" s="592">
        <v>0</v>
      </c>
      <c r="AB241" s="592">
        <v>0.01</v>
      </c>
      <c r="AC241" s="592">
        <v>1.9</v>
      </c>
    </row>
    <row r="242" spans="2:29" s="35" customFormat="1" ht="14.1" hidden="1" customHeight="1" x14ac:dyDescent="0.25">
      <c r="B242" s="405"/>
      <c r="C242" s="588" t="s">
        <v>462</v>
      </c>
      <c r="D242" s="570" t="s">
        <v>376</v>
      </c>
      <c r="E242" s="571" t="s">
        <v>177</v>
      </c>
      <c r="F242" s="572" t="s">
        <v>463</v>
      </c>
      <c r="G242" s="749">
        <v>86</v>
      </c>
      <c r="H242" s="749">
        <v>1.57</v>
      </c>
      <c r="I242" s="749">
        <v>0.05</v>
      </c>
      <c r="J242" s="749">
        <v>30</v>
      </c>
      <c r="K242" s="749">
        <v>0.151</v>
      </c>
      <c r="L242" s="749"/>
      <c r="M242" s="749">
        <v>0.61</v>
      </c>
      <c r="N242" s="749">
        <v>25</v>
      </c>
      <c r="O242" s="749">
        <v>0.6</v>
      </c>
      <c r="P242" s="749">
        <v>0.3</v>
      </c>
      <c r="Q242" s="749">
        <v>709</v>
      </c>
      <c r="R242" s="785">
        <v>7.8E-2</v>
      </c>
      <c r="S242" s="785">
        <v>6.0999999999999999E-2</v>
      </c>
      <c r="T242" s="749">
        <v>0.55700000000000005</v>
      </c>
      <c r="U242" s="592">
        <v>0.8</v>
      </c>
      <c r="V242" s="592">
        <v>0.20899999999999999</v>
      </c>
      <c r="W242" s="1004">
        <v>11</v>
      </c>
      <c r="X242" s="1031">
        <v>0</v>
      </c>
      <c r="Y242" s="1018">
        <v>0</v>
      </c>
      <c r="Z242" s="749">
        <v>2.4</v>
      </c>
      <c r="AA242" s="592">
        <v>0</v>
      </c>
      <c r="AB242" s="592">
        <v>0.26</v>
      </c>
      <c r="AC242" s="592">
        <v>1.8</v>
      </c>
    </row>
    <row r="243" spans="2:29" s="35" customFormat="1" ht="14.1" hidden="1" customHeight="1" x14ac:dyDescent="0.25">
      <c r="B243" s="405"/>
      <c r="C243" s="588" t="s">
        <v>465</v>
      </c>
      <c r="D243" s="570" t="s">
        <v>376</v>
      </c>
      <c r="E243" s="571" t="s">
        <v>176</v>
      </c>
      <c r="F243" s="572" t="s">
        <v>464</v>
      </c>
      <c r="G243" s="749">
        <v>42</v>
      </c>
      <c r="H243" s="749">
        <v>2.4900000000000002</v>
      </c>
      <c r="I243" s="749">
        <v>0.51</v>
      </c>
      <c r="J243" s="749">
        <v>78</v>
      </c>
      <c r="K243" s="749"/>
      <c r="L243" s="749"/>
      <c r="M243" s="749">
        <v>0.97</v>
      </c>
      <c r="N243" s="749">
        <v>70</v>
      </c>
      <c r="O243" s="749">
        <v>0.9</v>
      </c>
      <c r="P243" s="749"/>
      <c r="Q243" s="749">
        <v>189</v>
      </c>
      <c r="R243" s="785">
        <v>0.156</v>
      </c>
      <c r="S243" s="785">
        <v>0.34499999999999997</v>
      </c>
      <c r="T243" s="749">
        <v>1.1299999999999999</v>
      </c>
      <c r="U243" s="592">
        <v>0.22500000000000001</v>
      </c>
      <c r="V243" s="592">
        <v>0.19</v>
      </c>
      <c r="W243" s="1004">
        <v>1</v>
      </c>
      <c r="X243" s="1031">
        <v>0</v>
      </c>
      <c r="Y243" s="1018">
        <v>0</v>
      </c>
      <c r="Z243" s="749">
        <v>11</v>
      </c>
      <c r="AA243" s="592">
        <v>0</v>
      </c>
      <c r="AB243" s="592"/>
      <c r="AC243" s="592">
        <v>302.2</v>
      </c>
    </row>
    <row r="244" spans="2:29" s="35" customFormat="1" ht="14.1" hidden="1" customHeight="1" x14ac:dyDescent="0.25">
      <c r="B244" s="405"/>
      <c r="C244" s="613" t="s">
        <v>504</v>
      </c>
      <c r="D244" s="610" t="s">
        <v>449</v>
      </c>
      <c r="E244" s="611" t="s">
        <v>177</v>
      </c>
      <c r="F244" s="612" t="s">
        <v>507</v>
      </c>
      <c r="G244" s="753">
        <v>354</v>
      </c>
      <c r="H244" s="753">
        <v>8.34</v>
      </c>
      <c r="I244" s="753">
        <v>0.41</v>
      </c>
      <c r="J244" s="753">
        <v>27</v>
      </c>
      <c r="K244" s="753">
        <v>0.161</v>
      </c>
      <c r="L244" s="753"/>
      <c r="M244" s="753">
        <v>1.21</v>
      </c>
      <c r="N244" s="753">
        <v>66</v>
      </c>
      <c r="O244" s="753">
        <v>13.4</v>
      </c>
      <c r="P244" s="753">
        <v>0.7</v>
      </c>
      <c r="Q244" s="753">
        <v>1</v>
      </c>
      <c r="R244" s="1060">
        <v>0.98799999999999999</v>
      </c>
      <c r="S244" s="1060">
        <v>0.11</v>
      </c>
      <c r="T244" s="753">
        <v>6.2640000000000002</v>
      </c>
      <c r="U244" s="628">
        <v>2.0790000000000002</v>
      </c>
      <c r="V244" s="628">
        <v>0.748</v>
      </c>
      <c r="W244" s="1006">
        <v>46</v>
      </c>
      <c r="X244" s="1033">
        <v>0</v>
      </c>
      <c r="Y244" s="1020">
        <v>0</v>
      </c>
      <c r="Z244" s="753">
        <v>81</v>
      </c>
      <c r="AA244" s="628">
        <v>0</v>
      </c>
      <c r="AB244" s="628">
        <v>0.03</v>
      </c>
      <c r="AC244" s="628">
        <v>8.6999999999999993</v>
      </c>
    </row>
    <row r="245" spans="2:29" s="35" customFormat="1" ht="14.1" hidden="1" customHeight="1" x14ac:dyDescent="0.25">
      <c r="B245" s="405"/>
      <c r="C245" s="613" t="s">
        <v>505</v>
      </c>
      <c r="D245" s="610" t="s">
        <v>449</v>
      </c>
      <c r="E245" s="611" t="s">
        <v>177</v>
      </c>
      <c r="F245" s="612" t="s">
        <v>761</v>
      </c>
      <c r="G245" s="753">
        <v>372</v>
      </c>
      <c r="H245" s="753">
        <v>8.2200000000000006</v>
      </c>
      <c r="I245" s="753">
        <v>0.54</v>
      </c>
      <c r="J245" s="753">
        <v>41</v>
      </c>
      <c r="K245" s="753">
        <v>0.10199999999999999</v>
      </c>
      <c r="L245" s="753"/>
      <c r="M245" s="753">
        <v>1.0900000000000001</v>
      </c>
      <c r="N245" s="753">
        <v>98</v>
      </c>
      <c r="O245" s="753">
        <v>27.1</v>
      </c>
      <c r="P245" s="753">
        <v>0.91</v>
      </c>
      <c r="Q245" s="753">
        <v>1</v>
      </c>
      <c r="R245" s="1060">
        <v>0.45300000000000001</v>
      </c>
      <c r="S245" s="1060">
        <v>0.253</v>
      </c>
      <c r="T245" s="753">
        <v>4.7649999999999997</v>
      </c>
      <c r="U245" s="628">
        <v>0.34499999999999997</v>
      </c>
      <c r="V245" s="628">
        <v>0.86099999999999999</v>
      </c>
      <c r="W245" s="1006">
        <v>40</v>
      </c>
      <c r="X245" s="1033">
        <v>0</v>
      </c>
      <c r="Y245" s="1020">
        <v>0</v>
      </c>
      <c r="Z245" s="753">
        <v>37</v>
      </c>
      <c r="AA245" s="628">
        <v>0</v>
      </c>
      <c r="AB245" s="628">
        <v>0.27</v>
      </c>
      <c r="AC245" s="628">
        <v>9</v>
      </c>
    </row>
    <row r="246" spans="2:29" s="35" customFormat="1" ht="14.1" hidden="1" customHeight="1" x14ac:dyDescent="0.25">
      <c r="B246" s="405"/>
      <c r="C246" s="774" t="s">
        <v>93</v>
      </c>
      <c r="D246" s="598" t="s">
        <v>94</v>
      </c>
      <c r="E246" s="607" t="s">
        <v>247</v>
      </c>
      <c r="F246" s="639" t="s">
        <v>757</v>
      </c>
      <c r="G246" s="758">
        <v>385.06</v>
      </c>
      <c r="H246" s="758">
        <v>15.93</v>
      </c>
      <c r="I246" s="758">
        <v>7.46</v>
      </c>
      <c r="J246" s="758">
        <v>411.82</v>
      </c>
      <c r="K246" s="758">
        <v>0.41</v>
      </c>
      <c r="L246" s="758">
        <v>40.68</v>
      </c>
      <c r="M246" s="758">
        <v>7.92</v>
      </c>
      <c r="N246" s="758"/>
      <c r="O246" s="758">
        <v>16.09</v>
      </c>
      <c r="P246" s="758">
        <v>6.98</v>
      </c>
      <c r="Q246" s="758">
        <v>504.24</v>
      </c>
      <c r="R246" s="1063">
        <v>0.42</v>
      </c>
      <c r="S246" s="1063">
        <v>0.64</v>
      </c>
      <c r="T246" s="758">
        <v>13.62</v>
      </c>
      <c r="U246" s="645">
        <v>2.2999999999999998</v>
      </c>
      <c r="V246" s="645">
        <v>1.37</v>
      </c>
      <c r="W246" s="1009">
        <v>166.23</v>
      </c>
      <c r="X246" s="1036">
        <v>60</v>
      </c>
      <c r="Y246" s="1023">
        <v>2</v>
      </c>
      <c r="Z246" s="758">
        <v>101.38</v>
      </c>
      <c r="AA246" s="645">
        <v>6</v>
      </c>
      <c r="AB246" s="645">
        <v>9.76</v>
      </c>
      <c r="AC246" s="645"/>
    </row>
    <row r="247" spans="2:29" s="35" customFormat="1" ht="14.1" hidden="1" customHeight="1" x14ac:dyDescent="0.25">
      <c r="B247" s="405"/>
      <c r="C247" s="588" t="s">
        <v>935</v>
      </c>
      <c r="D247" s="570" t="s">
        <v>934</v>
      </c>
      <c r="E247" s="571" t="s">
        <v>175</v>
      </c>
      <c r="F247" s="572" t="s">
        <v>933</v>
      </c>
      <c r="G247" s="749">
        <v>362</v>
      </c>
      <c r="H247" s="749">
        <v>7.5</v>
      </c>
      <c r="I247" s="749">
        <v>2.68</v>
      </c>
      <c r="J247" s="749">
        <v>33</v>
      </c>
      <c r="K247" s="749">
        <v>0.27700000000000002</v>
      </c>
      <c r="L247" s="749"/>
      <c r="M247" s="749">
        <v>1.8</v>
      </c>
      <c r="N247" s="749">
        <v>143</v>
      </c>
      <c r="O247" s="749"/>
      <c r="P247" s="749">
        <v>2.02</v>
      </c>
      <c r="Q247" s="749">
        <v>0</v>
      </c>
      <c r="R247" s="785">
        <v>0.41299999999999998</v>
      </c>
      <c r="S247" s="785">
        <v>0.04</v>
      </c>
      <c r="T247" s="749">
        <v>4.3079999999999998</v>
      </c>
      <c r="U247" s="592">
        <v>1.4930000000000001</v>
      </c>
      <c r="V247" s="592">
        <v>0.50900000000000001</v>
      </c>
      <c r="W247" s="1004">
        <v>20</v>
      </c>
      <c r="X247" s="1031">
        <v>0</v>
      </c>
      <c r="Y247" s="1018">
        <v>0</v>
      </c>
      <c r="Z247" s="749">
        <v>0</v>
      </c>
      <c r="AA247" s="592">
        <v>0</v>
      </c>
      <c r="AB247" s="592"/>
      <c r="AC247" s="592"/>
    </row>
    <row r="248" spans="2:29" s="35" customFormat="1" ht="14.1" hidden="1" customHeight="1" x14ac:dyDescent="0.25">
      <c r="B248" s="405"/>
      <c r="C248" s="773" t="s">
        <v>932</v>
      </c>
      <c r="D248" s="604" t="s">
        <v>929</v>
      </c>
      <c r="E248" s="1075" t="s">
        <v>175</v>
      </c>
      <c r="F248" s="1076" t="s">
        <v>931</v>
      </c>
      <c r="G248" s="758">
        <v>360</v>
      </c>
      <c r="H248" s="758">
        <v>6.61</v>
      </c>
      <c r="I248" s="758">
        <v>0.57999999999999996</v>
      </c>
      <c r="J248" s="758">
        <v>9</v>
      </c>
      <c r="K248" s="758">
        <v>0.11</v>
      </c>
      <c r="L248" s="758"/>
      <c r="M248" s="758">
        <f>0.8+6</f>
        <v>6.8</v>
      </c>
      <c r="N248" s="758">
        <v>35</v>
      </c>
      <c r="O248" s="758"/>
      <c r="P248" s="758">
        <f>1.2+4</f>
        <v>5.2</v>
      </c>
      <c r="Q248" s="758">
        <f>0+195</f>
        <v>195</v>
      </c>
      <c r="R248" s="1063">
        <f>0.07+0.4</f>
        <v>0.47000000000000003</v>
      </c>
      <c r="S248" s="1063">
        <v>4.8000000000000001E-2</v>
      </c>
      <c r="T248" s="758">
        <f>1.6</f>
        <v>1.6</v>
      </c>
      <c r="U248" s="645">
        <v>1.3420000000000001</v>
      </c>
      <c r="V248" s="645">
        <f>0.1</f>
        <v>0.1</v>
      </c>
      <c r="W248" s="1009">
        <f>9+(130*1.7)</f>
        <v>230</v>
      </c>
      <c r="X248" s="1036">
        <v>130</v>
      </c>
      <c r="Y248" s="1023">
        <f>0+1</f>
        <v>1</v>
      </c>
      <c r="Z248" s="758">
        <v>0</v>
      </c>
      <c r="AA248" s="645">
        <v>0</v>
      </c>
      <c r="AB248" s="645"/>
      <c r="AC248" s="645"/>
    </row>
    <row r="249" spans="2:29" s="35" customFormat="1" ht="14.1" hidden="1" customHeight="1" x14ac:dyDescent="0.25">
      <c r="B249" s="405"/>
      <c r="C249" s="1072" t="s">
        <v>930</v>
      </c>
      <c r="D249" s="610" t="s">
        <v>929</v>
      </c>
      <c r="E249" s="1073" t="s">
        <v>175</v>
      </c>
      <c r="F249" s="1074" t="s">
        <v>928</v>
      </c>
      <c r="G249" s="753">
        <v>360</v>
      </c>
      <c r="H249" s="753">
        <v>6.61</v>
      </c>
      <c r="I249" s="753">
        <v>0.57999999999999996</v>
      </c>
      <c r="J249" s="753">
        <v>9</v>
      </c>
      <c r="K249" s="753">
        <v>0.11</v>
      </c>
      <c r="L249" s="753"/>
      <c r="M249" s="753">
        <f>0.8+4.8</f>
        <v>5.6</v>
      </c>
      <c r="N249" s="753">
        <v>35</v>
      </c>
      <c r="O249" s="753"/>
      <c r="P249" s="753">
        <f>1.2+3.5</f>
        <v>4.7</v>
      </c>
      <c r="Q249" s="753">
        <f>0+111</f>
        <v>111</v>
      </c>
      <c r="R249" s="1060">
        <f>0.07+0.47</f>
        <v>0.54</v>
      </c>
      <c r="S249" s="1060">
        <v>4.8000000000000001E-2</v>
      </c>
      <c r="T249" s="753">
        <f>1.6+5.6</f>
        <v>7.1999999999999993</v>
      </c>
      <c r="U249" s="628">
        <v>1.3420000000000001</v>
      </c>
      <c r="V249" s="628">
        <f>0.1+0.6</f>
        <v>0.7</v>
      </c>
      <c r="W249" s="1006">
        <f>9+(150*1.7)</f>
        <v>264</v>
      </c>
      <c r="X249" s="1033">
        <v>150</v>
      </c>
      <c r="Y249" s="1020">
        <f>0+1.1</f>
        <v>1.1000000000000001</v>
      </c>
      <c r="Z249" s="753">
        <v>0</v>
      </c>
      <c r="AA249" s="628">
        <v>0</v>
      </c>
      <c r="AB249" s="628"/>
      <c r="AC249" s="628"/>
    </row>
    <row r="250" spans="2:29" s="35" customFormat="1" ht="14.1" hidden="1" customHeight="1" x14ac:dyDescent="0.25">
      <c r="B250" s="405"/>
      <c r="C250" s="777" t="s">
        <v>923</v>
      </c>
      <c r="D250" s="604" t="s">
        <v>921</v>
      </c>
      <c r="E250" s="607" t="s">
        <v>175</v>
      </c>
      <c r="F250" s="639" t="s">
        <v>922</v>
      </c>
      <c r="G250" s="758">
        <v>360</v>
      </c>
      <c r="H250" s="758">
        <v>6.61</v>
      </c>
      <c r="I250" s="758">
        <v>0.57999999999999996</v>
      </c>
      <c r="J250" s="758">
        <v>9</v>
      </c>
      <c r="K250" s="758">
        <v>0.11</v>
      </c>
      <c r="L250" s="758"/>
      <c r="M250" s="758">
        <f>0.8+4</f>
        <v>4.8</v>
      </c>
      <c r="N250" s="758">
        <v>35</v>
      </c>
      <c r="O250" s="758"/>
      <c r="P250" s="758">
        <f>1.2+6</f>
        <v>7.2</v>
      </c>
      <c r="Q250" s="758">
        <f>0+195</f>
        <v>195</v>
      </c>
      <c r="R250" s="1063">
        <f>0.07+0.65</f>
        <v>0.72</v>
      </c>
      <c r="S250" s="1063">
        <v>4.8000000000000001E-2</v>
      </c>
      <c r="T250" s="758">
        <f>1.6+0.91</f>
        <v>2.5100000000000002</v>
      </c>
      <c r="U250" s="645">
        <v>1.3420000000000001</v>
      </c>
      <c r="V250" s="645">
        <f>0.1+0.78</f>
        <v>0.88</v>
      </c>
      <c r="W250" s="1009">
        <f>9+(169*1.7)</f>
        <v>296.3</v>
      </c>
      <c r="X250" s="1036">
        <v>169</v>
      </c>
      <c r="Y250" s="1023">
        <f>0+1.3</f>
        <v>1.3</v>
      </c>
      <c r="Z250" s="758">
        <v>0</v>
      </c>
      <c r="AA250" s="645">
        <v>0</v>
      </c>
      <c r="AB250" s="645"/>
      <c r="AC250" s="645"/>
    </row>
    <row r="251" spans="2:29" s="35" customFormat="1" ht="14.1" hidden="1" customHeight="1" x14ac:dyDescent="0.25">
      <c r="B251" s="405"/>
      <c r="C251" s="569" t="s">
        <v>466</v>
      </c>
      <c r="D251" s="570" t="s">
        <v>376</v>
      </c>
      <c r="E251" s="571" t="s">
        <v>175</v>
      </c>
      <c r="F251" s="572" t="s">
        <v>468</v>
      </c>
      <c r="G251" s="749">
        <v>374</v>
      </c>
      <c r="H251" s="749">
        <v>7.51</v>
      </c>
      <c r="I251" s="749">
        <v>1.03</v>
      </c>
      <c r="J251" s="749">
        <v>71</v>
      </c>
      <c r="K251" s="749">
        <v>0.28399999999999997</v>
      </c>
      <c r="L251" s="749"/>
      <c r="M251" s="749">
        <v>0.74</v>
      </c>
      <c r="N251" s="749">
        <v>27</v>
      </c>
      <c r="O251" s="749">
        <v>19.899999999999999</v>
      </c>
      <c r="P251" s="749">
        <v>1.02</v>
      </c>
      <c r="Q251" s="749"/>
      <c r="R251" s="785">
        <v>0.224</v>
      </c>
      <c r="S251" s="785">
        <v>0.05</v>
      </c>
      <c r="T251" s="749">
        <v>5.048</v>
      </c>
      <c r="U251" s="592">
        <v>0.67200000000000004</v>
      </c>
      <c r="V251" s="592">
        <v>0.45200000000000001</v>
      </c>
      <c r="W251" s="1004">
        <v>8</v>
      </c>
      <c r="X251" s="1031">
        <v>0</v>
      </c>
      <c r="Y251" s="1018">
        <v>0</v>
      </c>
      <c r="Z251" s="749">
        <v>0</v>
      </c>
      <c r="AA251" s="592">
        <v>0</v>
      </c>
      <c r="AB251" s="592">
        <v>0.03</v>
      </c>
      <c r="AC251" s="592">
        <v>0.1</v>
      </c>
    </row>
    <row r="252" spans="2:29" s="35" customFormat="1" ht="14.1" hidden="1" customHeight="1" x14ac:dyDescent="0.25">
      <c r="B252" s="405"/>
      <c r="C252" s="569" t="s">
        <v>469</v>
      </c>
      <c r="D252" s="570" t="s">
        <v>376</v>
      </c>
      <c r="E252" s="571" t="s">
        <v>175</v>
      </c>
      <c r="F252" s="572" t="s">
        <v>467</v>
      </c>
      <c r="G252" s="592">
        <v>360</v>
      </c>
      <c r="H252" s="592">
        <v>6.61</v>
      </c>
      <c r="I252" s="592">
        <v>0.57999999999999996</v>
      </c>
      <c r="J252" s="749">
        <v>9</v>
      </c>
      <c r="K252" s="749">
        <v>0.11</v>
      </c>
      <c r="L252" s="749"/>
      <c r="M252" s="749">
        <v>0.8</v>
      </c>
      <c r="N252" s="749">
        <v>35</v>
      </c>
      <c r="O252" s="749"/>
      <c r="P252" s="749">
        <v>1.1599999999999999</v>
      </c>
      <c r="Q252" s="749"/>
      <c r="R252" s="785">
        <v>7.0000000000000007E-2</v>
      </c>
      <c r="S252" s="785">
        <v>4.8000000000000001E-2</v>
      </c>
      <c r="T252" s="749">
        <v>1.6</v>
      </c>
      <c r="U252" s="592">
        <v>1.3420000000000001</v>
      </c>
      <c r="V252" s="592">
        <v>0.14499999999999999</v>
      </c>
      <c r="W252" s="1004">
        <v>9</v>
      </c>
      <c r="X252" s="1031">
        <v>0</v>
      </c>
      <c r="Y252" s="1018">
        <v>0</v>
      </c>
      <c r="Z252" s="749">
        <v>0</v>
      </c>
      <c r="AA252" s="592">
        <v>0</v>
      </c>
      <c r="AB252" s="592"/>
      <c r="AC252" s="592"/>
    </row>
    <row r="253" spans="2:29" s="35" customFormat="1" ht="14.1" hidden="1" customHeight="1" x14ac:dyDescent="0.25">
      <c r="B253" s="405"/>
      <c r="C253" s="596" t="s">
        <v>93</v>
      </c>
      <c r="D253" s="598" t="s">
        <v>94</v>
      </c>
      <c r="E253" s="607" t="s">
        <v>247</v>
      </c>
      <c r="F253" s="639" t="s">
        <v>669</v>
      </c>
      <c r="G253" s="758">
        <v>403.1</v>
      </c>
      <c r="H253" s="758">
        <v>15.9</v>
      </c>
      <c r="I253" s="758">
        <v>10.210000000000001</v>
      </c>
      <c r="J253" s="758">
        <v>503.87</v>
      </c>
      <c r="K253" s="758">
        <v>0.34</v>
      </c>
      <c r="L253" s="758">
        <v>59.32</v>
      </c>
      <c r="M253" s="758">
        <v>7.7</v>
      </c>
      <c r="N253" s="758"/>
      <c r="O253" s="758">
        <v>14.95</v>
      </c>
      <c r="P253" s="758">
        <v>6.94</v>
      </c>
      <c r="Q253" s="758">
        <v>504.78</v>
      </c>
      <c r="R253" s="1063">
        <v>0.41</v>
      </c>
      <c r="S253" s="1063">
        <v>0.73</v>
      </c>
      <c r="T253" s="758">
        <v>9.69</v>
      </c>
      <c r="U253" s="645">
        <v>2.4300000000000002</v>
      </c>
      <c r="V253" s="645">
        <v>1.31</v>
      </c>
      <c r="W253" s="1009">
        <v>159.34</v>
      </c>
      <c r="X253" s="1036">
        <v>60</v>
      </c>
      <c r="Y253" s="1023">
        <v>2.3199999999999998</v>
      </c>
      <c r="Z253" s="758">
        <v>101.69</v>
      </c>
      <c r="AA253" s="645">
        <v>6.66</v>
      </c>
      <c r="AB253" s="645">
        <v>9.8800000000000008</v>
      </c>
      <c r="AC253" s="645"/>
    </row>
    <row r="254" spans="2:29" s="35" customFormat="1" ht="14.1" hidden="1" customHeight="1" x14ac:dyDescent="0.25">
      <c r="B254" s="405"/>
      <c r="C254" s="596" t="s">
        <v>93</v>
      </c>
      <c r="D254" s="598" t="s">
        <v>94</v>
      </c>
      <c r="E254" s="607" t="s">
        <v>247</v>
      </c>
      <c r="F254" s="639" t="s">
        <v>670</v>
      </c>
      <c r="G254" s="758">
        <v>386.95</v>
      </c>
      <c r="H254" s="758">
        <v>15.4</v>
      </c>
      <c r="I254" s="758">
        <v>7.33</v>
      </c>
      <c r="J254" s="758">
        <v>411.01</v>
      </c>
      <c r="K254" s="758">
        <v>0.4</v>
      </c>
      <c r="L254" s="758">
        <v>40.590000000000003</v>
      </c>
      <c r="M254" s="758">
        <v>7.89</v>
      </c>
      <c r="N254" s="758"/>
      <c r="O254" s="758">
        <v>14.79</v>
      </c>
      <c r="P254" s="758">
        <v>6.9</v>
      </c>
      <c r="Q254" s="758">
        <v>504.24</v>
      </c>
      <c r="R254" s="1063">
        <v>0.41</v>
      </c>
      <c r="S254" s="1063">
        <v>0.64</v>
      </c>
      <c r="T254" s="758">
        <v>9.85</v>
      </c>
      <c r="U254" s="645">
        <v>2.23</v>
      </c>
      <c r="V254" s="645">
        <v>1.33</v>
      </c>
      <c r="W254" s="1009">
        <v>165.87</v>
      </c>
      <c r="X254" s="1036">
        <v>60</v>
      </c>
      <c r="Y254" s="1023">
        <v>2</v>
      </c>
      <c r="Z254" s="758">
        <v>101.38</v>
      </c>
      <c r="AA254" s="645">
        <v>6</v>
      </c>
      <c r="AB254" s="645">
        <v>9.75</v>
      </c>
      <c r="AC254" s="645"/>
    </row>
    <row r="255" spans="2:29" s="35" customFormat="1" ht="14.1" hidden="1" customHeight="1" x14ac:dyDescent="0.25">
      <c r="B255" s="405"/>
      <c r="C255" s="601" t="s">
        <v>96</v>
      </c>
      <c r="D255" s="599" t="s">
        <v>557</v>
      </c>
      <c r="E255" s="618" t="s">
        <v>954</v>
      </c>
      <c r="F255" s="638" t="s">
        <v>97</v>
      </c>
      <c r="G255" s="762">
        <v>550</v>
      </c>
      <c r="H255" s="762">
        <v>14</v>
      </c>
      <c r="I255" s="762">
        <v>34</v>
      </c>
      <c r="J255" s="762">
        <v>545</v>
      </c>
      <c r="K255" s="762">
        <v>0.8</v>
      </c>
      <c r="L255" s="762">
        <v>100</v>
      </c>
      <c r="M255" s="762">
        <v>7</v>
      </c>
      <c r="N255" s="762">
        <v>120</v>
      </c>
      <c r="O255" s="762">
        <v>22</v>
      </c>
      <c r="P255" s="762">
        <v>7</v>
      </c>
      <c r="Q255" s="762">
        <v>435</v>
      </c>
      <c r="R255" s="1067">
        <v>0.8</v>
      </c>
      <c r="S255" s="1067">
        <v>0.8</v>
      </c>
      <c r="T255" s="762">
        <v>6.5</v>
      </c>
      <c r="U255" s="752">
        <v>2.7</v>
      </c>
      <c r="V255" s="752">
        <v>0.9</v>
      </c>
      <c r="W255" s="1005">
        <f>X255*1.7</f>
        <v>416.5</v>
      </c>
      <c r="X255" s="1032">
        <v>245</v>
      </c>
      <c r="Y255" s="1019">
        <v>1.3</v>
      </c>
      <c r="Z255" s="762">
        <v>32.6</v>
      </c>
      <c r="AA255" s="752">
        <v>5.4</v>
      </c>
      <c r="AB255" s="752">
        <v>13</v>
      </c>
      <c r="AC255" s="752">
        <v>32.6</v>
      </c>
    </row>
    <row r="256" spans="2:29" s="35" customFormat="1" ht="14.1" hidden="1" customHeight="1" x14ac:dyDescent="0.25">
      <c r="B256" s="405"/>
      <c r="C256" s="601" t="s">
        <v>579</v>
      </c>
      <c r="D256" s="599" t="s">
        <v>577</v>
      </c>
      <c r="E256" s="618" t="s">
        <v>954</v>
      </c>
      <c r="F256" s="638" t="s">
        <v>241</v>
      </c>
      <c r="G256" s="762">
        <v>535</v>
      </c>
      <c r="H256" s="762">
        <v>14</v>
      </c>
      <c r="I256" s="762">
        <v>35.1</v>
      </c>
      <c r="J256" s="762">
        <v>325</v>
      </c>
      <c r="K256" s="762">
        <v>1.8</v>
      </c>
      <c r="L256" s="762">
        <v>100</v>
      </c>
      <c r="M256" s="762">
        <v>11.5</v>
      </c>
      <c r="N256" s="762">
        <v>90</v>
      </c>
      <c r="O256" s="762">
        <v>31</v>
      </c>
      <c r="P256" s="762">
        <v>13.5</v>
      </c>
      <c r="Q256" s="762">
        <v>950</v>
      </c>
      <c r="R256" s="1067">
        <v>1</v>
      </c>
      <c r="S256" s="1067">
        <v>1.9</v>
      </c>
      <c r="T256" s="762">
        <v>5.9</v>
      </c>
      <c r="U256" s="752">
        <v>3.8</v>
      </c>
      <c r="V256" s="752">
        <v>0.7</v>
      </c>
      <c r="W256" s="1005">
        <f>X256*1.7</f>
        <v>394.4</v>
      </c>
      <c r="X256" s="1032">
        <v>232</v>
      </c>
      <c r="Y256" s="1019">
        <v>2</v>
      </c>
      <c r="Z256" s="762">
        <v>92.5</v>
      </c>
      <c r="AA256" s="752">
        <v>19.5</v>
      </c>
      <c r="AB256" s="752">
        <v>25</v>
      </c>
      <c r="AC256" s="752">
        <v>25</v>
      </c>
    </row>
    <row r="257" spans="2:29" s="35" customFormat="1" ht="14.1" hidden="1" customHeight="1" x14ac:dyDescent="0.25">
      <c r="B257" s="405"/>
      <c r="C257" s="597" t="s">
        <v>584</v>
      </c>
      <c r="D257" s="598" t="s">
        <v>577</v>
      </c>
      <c r="E257" s="605" t="s">
        <v>173</v>
      </c>
      <c r="F257" s="641" t="s">
        <v>672</v>
      </c>
      <c r="G257" s="758">
        <v>520</v>
      </c>
      <c r="H257" s="758">
        <v>13</v>
      </c>
      <c r="I257" s="758">
        <v>29</v>
      </c>
      <c r="J257" s="758">
        <v>839.78</v>
      </c>
      <c r="K257" s="758">
        <v>0.65</v>
      </c>
      <c r="L257" s="758">
        <v>204</v>
      </c>
      <c r="M257" s="758">
        <v>20.399999999999999</v>
      </c>
      <c r="N257" s="758">
        <v>136</v>
      </c>
      <c r="O257" s="758">
        <v>38.5</v>
      </c>
      <c r="P257" s="758">
        <v>20.399999999999999</v>
      </c>
      <c r="Q257" s="758">
        <v>950</v>
      </c>
      <c r="R257" s="1063">
        <v>1.65</v>
      </c>
      <c r="S257" s="1063">
        <v>1.21</v>
      </c>
      <c r="T257" s="758">
        <v>13.9</v>
      </c>
      <c r="U257" s="645">
        <v>4.95</v>
      </c>
      <c r="V257" s="645">
        <v>1.21</v>
      </c>
      <c r="W257" s="1009">
        <v>389</v>
      </c>
      <c r="X257" s="1036">
        <v>389</v>
      </c>
      <c r="Y257" s="1023">
        <v>2.2000000000000002</v>
      </c>
      <c r="Z257" s="758">
        <v>64.8</v>
      </c>
      <c r="AA257" s="645">
        <v>5.8</v>
      </c>
      <c r="AB257" s="645"/>
      <c r="AC257" s="645">
        <v>30</v>
      </c>
    </row>
    <row r="258" spans="2:29" s="35" customFormat="1" ht="14.1" hidden="1" customHeight="1" x14ac:dyDescent="0.25">
      <c r="B258" s="405"/>
      <c r="C258" s="601" t="s">
        <v>91</v>
      </c>
      <c r="D258" s="599" t="s">
        <v>557</v>
      </c>
      <c r="E258" s="618" t="s">
        <v>954</v>
      </c>
      <c r="F258" s="638" t="s">
        <v>89</v>
      </c>
      <c r="G258" s="762">
        <v>527</v>
      </c>
      <c r="H258" s="762">
        <v>14.5</v>
      </c>
      <c r="I258" s="762">
        <v>31</v>
      </c>
      <c r="J258" s="762">
        <v>470</v>
      </c>
      <c r="K258" s="762">
        <v>1.5</v>
      </c>
      <c r="L258" s="762">
        <v>50</v>
      </c>
      <c r="M258" s="762">
        <v>10</v>
      </c>
      <c r="N258" s="762">
        <v>110</v>
      </c>
      <c r="O258" s="762">
        <v>25</v>
      </c>
      <c r="P258" s="762">
        <v>12</v>
      </c>
      <c r="Q258" s="762">
        <v>900</v>
      </c>
      <c r="R258" s="1067">
        <v>0.5</v>
      </c>
      <c r="S258" s="1067">
        <v>1.8</v>
      </c>
      <c r="T258" s="762">
        <v>5.8</v>
      </c>
      <c r="U258" s="752">
        <v>3</v>
      </c>
      <c r="V258" s="752">
        <v>0.7</v>
      </c>
      <c r="W258" s="1005">
        <f>X258*1.7</f>
        <v>382.5</v>
      </c>
      <c r="X258" s="1032">
        <v>225</v>
      </c>
      <c r="Y258" s="1019">
        <v>1.6</v>
      </c>
      <c r="Z258" s="762">
        <v>54</v>
      </c>
      <c r="AA258" s="752">
        <v>18</v>
      </c>
      <c r="AB258" s="752">
        <v>27</v>
      </c>
      <c r="AC258" s="752">
        <v>21</v>
      </c>
    </row>
    <row r="259" spans="2:29" s="35" customFormat="1" ht="14.1" hidden="1" customHeight="1" x14ac:dyDescent="0.25">
      <c r="B259" s="405"/>
      <c r="C259" s="601" t="s">
        <v>98</v>
      </c>
      <c r="D259" s="599" t="s">
        <v>557</v>
      </c>
      <c r="E259" s="618" t="s">
        <v>954</v>
      </c>
      <c r="F259" s="638" t="s">
        <v>99</v>
      </c>
      <c r="G259" s="762">
        <v>544</v>
      </c>
      <c r="H259" s="762">
        <v>15</v>
      </c>
      <c r="I259" s="762">
        <v>34</v>
      </c>
      <c r="J259" s="762">
        <v>400</v>
      </c>
      <c r="K259" s="762">
        <v>1.5</v>
      </c>
      <c r="L259" s="762">
        <v>100</v>
      </c>
      <c r="M259" s="762">
        <v>10</v>
      </c>
      <c r="N259" s="762">
        <v>110</v>
      </c>
      <c r="O259" s="762">
        <v>30</v>
      </c>
      <c r="P259" s="762">
        <v>12</v>
      </c>
      <c r="Q259" s="762">
        <v>900</v>
      </c>
      <c r="R259" s="1067">
        <v>0.5</v>
      </c>
      <c r="S259" s="1067">
        <v>1.8</v>
      </c>
      <c r="T259" s="762">
        <v>5.8</v>
      </c>
      <c r="U259" s="752">
        <v>3</v>
      </c>
      <c r="V259" s="752">
        <v>0.7</v>
      </c>
      <c r="W259" s="1005">
        <f>X259*1.7</f>
        <v>382.5</v>
      </c>
      <c r="X259" s="1032">
        <v>225</v>
      </c>
      <c r="Y259" s="1019">
        <v>1.6</v>
      </c>
      <c r="Z259" s="762">
        <v>54</v>
      </c>
      <c r="AA259" s="752">
        <v>18</v>
      </c>
      <c r="AB259" s="752">
        <v>27</v>
      </c>
      <c r="AC259" s="752">
        <v>21</v>
      </c>
    </row>
    <row r="260" spans="2:29" s="35" customFormat="1" ht="14.1" hidden="1" customHeight="1" x14ac:dyDescent="0.25">
      <c r="B260" s="405"/>
      <c r="C260" s="601" t="s">
        <v>580</v>
      </c>
      <c r="D260" s="599" t="s">
        <v>577</v>
      </c>
      <c r="E260" s="618" t="s">
        <v>954</v>
      </c>
      <c r="F260" s="638" t="s">
        <v>90</v>
      </c>
      <c r="G260" s="762">
        <v>543</v>
      </c>
      <c r="H260" s="762">
        <v>14.5</v>
      </c>
      <c r="I260" s="762">
        <v>31</v>
      </c>
      <c r="J260" s="762">
        <v>400</v>
      </c>
      <c r="K260" s="762">
        <v>1.6</v>
      </c>
      <c r="L260" s="762">
        <v>105</v>
      </c>
      <c r="M260" s="762">
        <v>12</v>
      </c>
      <c r="N260" s="762">
        <v>90</v>
      </c>
      <c r="O260" s="762">
        <v>30</v>
      </c>
      <c r="P260" s="762">
        <v>12.5</v>
      </c>
      <c r="Q260" s="762">
        <v>1000</v>
      </c>
      <c r="R260" s="1067">
        <v>1</v>
      </c>
      <c r="S260" s="1067">
        <v>1.8</v>
      </c>
      <c r="T260" s="762">
        <v>5.5</v>
      </c>
      <c r="U260" s="752">
        <v>3.4</v>
      </c>
      <c r="V260" s="752">
        <v>0.8</v>
      </c>
      <c r="W260" s="1005">
        <f>X260*1.7</f>
        <v>510</v>
      </c>
      <c r="X260" s="1032">
        <v>300</v>
      </c>
      <c r="Y260" s="1019">
        <v>2.2999999999999998</v>
      </c>
      <c r="Z260" s="762">
        <v>91</v>
      </c>
      <c r="AA260" s="752">
        <v>17.5</v>
      </c>
      <c r="AB260" s="752">
        <v>30</v>
      </c>
      <c r="AC260" s="752">
        <v>22.5</v>
      </c>
    </row>
    <row r="261" spans="2:29" s="35" customFormat="1" ht="14.1" hidden="1" customHeight="1" x14ac:dyDescent="0.25">
      <c r="B261" s="405"/>
      <c r="C261" s="777" t="s">
        <v>100</v>
      </c>
      <c r="D261" s="598" t="s">
        <v>574</v>
      </c>
      <c r="E261" s="605" t="s">
        <v>954</v>
      </c>
      <c r="F261" s="641" t="s">
        <v>101</v>
      </c>
      <c r="G261" s="758">
        <v>535</v>
      </c>
      <c r="H261" s="758">
        <v>14.7</v>
      </c>
      <c r="I261" s="758">
        <v>31.2</v>
      </c>
      <c r="J261" s="758">
        <v>450</v>
      </c>
      <c r="K261" s="758">
        <v>1.6</v>
      </c>
      <c r="L261" s="758">
        <v>105</v>
      </c>
      <c r="M261" s="758">
        <v>12</v>
      </c>
      <c r="N261" s="758">
        <v>110</v>
      </c>
      <c r="O261" s="758">
        <v>30</v>
      </c>
      <c r="P261" s="758">
        <v>12.5</v>
      </c>
      <c r="Q261" s="758">
        <v>950</v>
      </c>
      <c r="R261" s="1063">
        <v>0.5</v>
      </c>
      <c r="S261" s="1063">
        <v>1.6</v>
      </c>
      <c r="T261" s="758">
        <v>5</v>
      </c>
      <c r="U261" s="645">
        <v>3</v>
      </c>
      <c r="V261" s="645">
        <v>0.6</v>
      </c>
      <c r="W261" s="1009">
        <f>X261*1.7</f>
        <v>340</v>
      </c>
      <c r="X261" s="1036">
        <v>200</v>
      </c>
      <c r="Y261" s="1023">
        <v>1.6</v>
      </c>
      <c r="Z261" s="758">
        <v>50</v>
      </c>
      <c r="AA261" s="645">
        <v>17.5</v>
      </c>
      <c r="AB261" s="645">
        <v>20</v>
      </c>
      <c r="AC261" s="645">
        <v>22.5</v>
      </c>
    </row>
    <row r="262" spans="2:29" s="35" customFormat="1" ht="14.1" hidden="1" customHeight="1" x14ac:dyDescent="0.25">
      <c r="B262" s="405"/>
      <c r="C262" s="597" t="s">
        <v>471</v>
      </c>
      <c r="D262" s="604" t="s">
        <v>449</v>
      </c>
      <c r="E262" s="605" t="s">
        <v>170</v>
      </c>
      <c r="F262" s="606" t="s">
        <v>664</v>
      </c>
      <c r="G262" s="759">
        <v>0</v>
      </c>
      <c r="H262" s="759">
        <v>0</v>
      </c>
      <c r="I262" s="759">
        <v>0</v>
      </c>
      <c r="J262" s="759"/>
      <c r="K262" s="759"/>
      <c r="L262" s="759">
        <v>4000</v>
      </c>
      <c r="M262" s="759"/>
      <c r="N262" s="759"/>
      <c r="O262" s="759"/>
      <c r="P262" s="759">
        <v>0</v>
      </c>
      <c r="Q262" s="759">
        <v>0</v>
      </c>
      <c r="R262" s="1064">
        <v>0</v>
      </c>
      <c r="S262" s="1064">
        <v>0</v>
      </c>
      <c r="T262" s="759">
        <v>0</v>
      </c>
      <c r="U262" s="645">
        <v>0</v>
      </c>
      <c r="V262" s="645">
        <v>0</v>
      </c>
      <c r="W262" s="1009">
        <v>0</v>
      </c>
      <c r="X262" s="1036">
        <v>0</v>
      </c>
      <c r="Y262" s="1023">
        <v>0</v>
      </c>
      <c r="Z262" s="759">
        <v>0</v>
      </c>
      <c r="AA262" s="645">
        <v>0</v>
      </c>
      <c r="AB262" s="645">
        <v>0</v>
      </c>
      <c r="AC262" s="645">
        <v>0</v>
      </c>
    </row>
    <row r="263" spans="2:29" s="35" customFormat="1" ht="14.1" hidden="1" customHeight="1" x14ac:dyDescent="0.25">
      <c r="B263" s="405"/>
      <c r="C263" s="588" t="s">
        <v>470</v>
      </c>
      <c r="D263" s="570" t="s">
        <v>449</v>
      </c>
      <c r="E263" s="571" t="s">
        <v>170</v>
      </c>
      <c r="F263" s="572" t="s">
        <v>472</v>
      </c>
      <c r="G263" s="749">
        <v>0</v>
      </c>
      <c r="H263" s="749">
        <v>0</v>
      </c>
      <c r="I263" s="749">
        <v>0</v>
      </c>
      <c r="J263" s="749">
        <v>24</v>
      </c>
      <c r="K263" s="749">
        <v>0.03</v>
      </c>
      <c r="L263" s="749"/>
      <c r="M263" s="749">
        <v>0.33</v>
      </c>
      <c r="N263" s="749">
        <v>1</v>
      </c>
      <c r="O263" s="749">
        <v>0.1</v>
      </c>
      <c r="P263" s="749">
        <v>0.1</v>
      </c>
      <c r="Q263" s="749">
        <v>0</v>
      </c>
      <c r="R263" s="785">
        <v>0</v>
      </c>
      <c r="S263" s="785">
        <v>0</v>
      </c>
      <c r="T263" s="749">
        <v>0</v>
      </c>
      <c r="U263" s="592">
        <v>0</v>
      </c>
      <c r="V263" s="592">
        <v>0</v>
      </c>
      <c r="W263" s="1004">
        <v>0</v>
      </c>
      <c r="X263" s="1031">
        <v>0</v>
      </c>
      <c r="Y263" s="1018">
        <v>0</v>
      </c>
      <c r="Z263" s="749">
        <v>0</v>
      </c>
      <c r="AA263" s="592">
        <v>0</v>
      </c>
      <c r="AB263" s="592">
        <v>0</v>
      </c>
      <c r="AC263" s="592">
        <v>0</v>
      </c>
    </row>
    <row r="264" spans="2:29" s="35" customFormat="1" ht="14.1" hidden="1" customHeight="1" x14ac:dyDescent="0.25">
      <c r="B264" s="405"/>
      <c r="C264" s="588" t="s">
        <v>375</v>
      </c>
      <c r="D264" s="570" t="s">
        <v>368</v>
      </c>
      <c r="E264" s="571" t="s">
        <v>171</v>
      </c>
      <c r="F264" s="572" t="s">
        <v>527</v>
      </c>
      <c r="G264" s="749">
        <v>208</v>
      </c>
      <c r="H264" s="749">
        <v>24.62</v>
      </c>
      <c r="I264" s="749">
        <v>11.45</v>
      </c>
      <c r="J264" s="749">
        <v>382</v>
      </c>
      <c r="K264" s="749">
        <v>0.186</v>
      </c>
      <c r="L264" s="749"/>
      <c r="M264" s="749">
        <v>2.92</v>
      </c>
      <c r="N264" s="749">
        <v>39</v>
      </c>
      <c r="O264" s="749">
        <v>52.7</v>
      </c>
      <c r="P264" s="749">
        <v>1.31</v>
      </c>
      <c r="Q264" s="749">
        <v>32</v>
      </c>
      <c r="R264" s="785">
        <v>0.08</v>
      </c>
      <c r="S264" s="785">
        <v>0.22700000000000001</v>
      </c>
      <c r="T264" s="749">
        <v>5.2450000000000001</v>
      </c>
      <c r="U264" s="592">
        <v>0.64200000000000002</v>
      </c>
      <c r="V264" s="592">
        <v>0.16700000000000001</v>
      </c>
      <c r="W264" s="1004">
        <v>10</v>
      </c>
      <c r="X264" s="1031">
        <v>0</v>
      </c>
      <c r="Y264" s="1018">
        <v>8.94</v>
      </c>
      <c r="Z264" s="749">
        <v>0</v>
      </c>
      <c r="AA264" s="592">
        <v>4.8</v>
      </c>
      <c r="AB264" s="592">
        <v>2.04</v>
      </c>
      <c r="AC264" s="592">
        <v>2.6</v>
      </c>
    </row>
    <row r="265" spans="2:29" s="35" customFormat="1" ht="14.1" hidden="1" customHeight="1" x14ac:dyDescent="0.25">
      <c r="B265" s="405"/>
      <c r="C265" s="569" t="s">
        <v>884</v>
      </c>
      <c r="D265" s="570" t="s">
        <v>882</v>
      </c>
      <c r="E265" s="571" t="s">
        <v>171</v>
      </c>
      <c r="F265" s="595" t="s">
        <v>885</v>
      </c>
      <c r="G265" s="749">
        <v>185</v>
      </c>
      <c r="H265" s="749">
        <v>20.86</v>
      </c>
      <c r="I265" s="749">
        <v>10.45</v>
      </c>
      <c r="J265" s="749">
        <v>240</v>
      </c>
      <c r="K265" s="749">
        <v>0.27200000000000002</v>
      </c>
      <c r="L265" s="749"/>
      <c r="M265" s="749">
        <v>2.2999999999999998</v>
      </c>
      <c r="N265" s="749">
        <v>34</v>
      </c>
      <c r="O265" s="749">
        <v>40.6</v>
      </c>
      <c r="P265" s="749">
        <v>1.4</v>
      </c>
      <c r="Q265" s="749">
        <v>34</v>
      </c>
      <c r="R265" s="785">
        <v>4.3999999999999997E-2</v>
      </c>
      <c r="S265" s="785">
        <v>0.23300000000000001</v>
      </c>
      <c r="T265" s="749">
        <v>4.2</v>
      </c>
      <c r="U265" s="592">
        <v>0.73</v>
      </c>
      <c r="V265" s="592">
        <v>0.123</v>
      </c>
      <c r="W265" s="1004">
        <v>24</v>
      </c>
      <c r="X265" s="1031">
        <v>0</v>
      </c>
      <c r="Y265" s="1018">
        <v>9</v>
      </c>
      <c r="Z265" s="749">
        <v>1</v>
      </c>
      <c r="AA265" s="592">
        <v>4.8</v>
      </c>
      <c r="AB265" s="592">
        <v>1.38</v>
      </c>
      <c r="AC265" s="592">
        <v>0.4</v>
      </c>
    </row>
    <row r="266" spans="2:29" s="35" customFormat="1" ht="14.1" hidden="1" customHeight="1" x14ac:dyDescent="0.25">
      <c r="B266" s="405"/>
      <c r="C266" s="774" t="s">
        <v>93</v>
      </c>
      <c r="D266" s="598" t="s">
        <v>577</v>
      </c>
      <c r="E266" s="607" t="s">
        <v>247</v>
      </c>
      <c r="F266" s="625" t="s">
        <v>671</v>
      </c>
      <c r="G266" s="758">
        <v>394.22</v>
      </c>
      <c r="H266" s="758">
        <v>13.33</v>
      </c>
      <c r="I266" s="758">
        <v>11.34</v>
      </c>
      <c r="J266" s="758">
        <v>391.31</v>
      </c>
      <c r="K266" s="758">
        <v>0.47</v>
      </c>
      <c r="L266" s="758">
        <v>40</v>
      </c>
      <c r="M266" s="758">
        <v>10.119999999999999</v>
      </c>
      <c r="N266" s="758"/>
      <c r="O266" s="758">
        <v>11.23</v>
      </c>
      <c r="P266" s="758">
        <v>7.84</v>
      </c>
      <c r="Q266" s="758">
        <v>540.57000000000005</v>
      </c>
      <c r="R266" s="1063">
        <v>0.6</v>
      </c>
      <c r="S266" s="1063">
        <v>0.56000000000000005</v>
      </c>
      <c r="T266" s="758">
        <v>12.73</v>
      </c>
      <c r="U266" s="645">
        <v>2.33</v>
      </c>
      <c r="V266" s="645">
        <v>1.44</v>
      </c>
      <c r="W266" s="1009">
        <v>251.79</v>
      </c>
      <c r="X266" s="1036">
        <v>60</v>
      </c>
      <c r="Y266" s="1023">
        <v>2</v>
      </c>
      <c r="Z266" s="758">
        <v>100.27</v>
      </c>
      <c r="AA266" s="645">
        <v>6</v>
      </c>
      <c r="AB266" s="645">
        <v>9.93</v>
      </c>
      <c r="AC266" s="645"/>
    </row>
    <row r="267" spans="2:29" s="35" customFormat="1" ht="14.1" hidden="1" customHeight="1" x14ac:dyDescent="0.25">
      <c r="B267" s="405"/>
      <c r="C267" s="588" t="s">
        <v>473</v>
      </c>
      <c r="D267" s="570" t="s">
        <v>449</v>
      </c>
      <c r="E267" s="571" t="s">
        <v>179</v>
      </c>
      <c r="F267" s="595" t="s">
        <v>474</v>
      </c>
      <c r="G267" s="749">
        <v>573</v>
      </c>
      <c r="H267" s="749">
        <v>17.73</v>
      </c>
      <c r="I267" s="749">
        <v>49.67</v>
      </c>
      <c r="J267" s="749">
        <v>975</v>
      </c>
      <c r="K267" s="749">
        <v>4.0819999999999999</v>
      </c>
      <c r="L267" s="749"/>
      <c r="M267" s="749">
        <v>14.55</v>
      </c>
      <c r="N267" s="749">
        <v>351</v>
      </c>
      <c r="O267" s="749">
        <v>34.4</v>
      </c>
      <c r="P267" s="749">
        <v>7.75</v>
      </c>
      <c r="Q267" s="749">
        <v>0</v>
      </c>
      <c r="R267" s="785">
        <v>0.79100000000000004</v>
      </c>
      <c r="S267" s="785">
        <v>0.247</v>
      </c>
      <c r="T267" s="749">
        <v>4.5149999999999997</v>
      </c>
      <c r="U267" s="592">
        <v>0.05</v>
      </c>
      <c r="V267" s="592">
        <v>0.79</v>
      </c>
      <c r="W267" s="1004">
        <v>97</v>
      </c>
      <c r="X267" s="1031">
        <v>0</v>
      </c>
      <c r="Y267" s="1018">
        <v>0</v>
      </c>
      <c r="Z267" s="749">
        <v>0</v>
      </c>
      <c r="AA267" s="592">
        <v>0</v>
      </c>
      <c r="AB267" s="592">
        <v>0.25</v>
      </c>
      <c r="AC267" s="592">
        <v>0</v>
      </c>
    </row>
    <row r="268" spans="2:29" s="35" customFormat="1" ht="14.1" hidden="1" customHeight="1" x14ac:dyDescent="0.25">
      <c r="B268" s="405"/>
      <c r="C268" s="588" t="s">
        <v>497</v>
      </c>
      <c r="D268" s="570" t="s">
        <v>449</v>
      </c>
      <c r="E268" s="571" t="s">
        <v>175</v>
      </c>
      <c r="F268" s="595" t="s">
        <v>496</v>
      </c>
      <c r="G268" s="749">
        <v>361</v>
      </c>
      <c r="H268" s="749">
        <v>7.87</v>
      </c>
      <c r="I268" s="749">
        <v>3.29</v>
      </c>
      <c r="J268" s="749">
        <v>12</v>
      </c>
      <c r="K268" s="749">
        <v>0.222</v>
      </c>
      <c r="L268" s="749"/>
      <c r="M268" s="749">
        <v>2.99</v>
      </c>
      <c r="N268" s="749">
        <v>120</v>
      </c>
      <c r="O268" s="749">
        <v>12.2</v>
      </c>
      <c r="P268" s="749">
        <v>1.44</v>
      </c>
      <c r="Q268" s="749"/>
      <c r="R268" s="785">
        <v>0.27700000000000002</v>
      </c>
      <c r="S268" s="785">
        <v>5.2999999999999999E-2</v>
      </c>
      <c r="T268" s="749">
        <v>5.1870000000000003</v>
      </c>
      <c r="U268" s="592">
        <v>0.93</v>
      </c>
      <c r="V268" s="592">
        <v>0.34499999999999997</v>
      </c>
      <c r="W268" s="1004">
        <v>25</v>
      </c>
      <c r="X268" s="1031">
        <v>0</v>
      </c>
      <c r="Y268" s="1018"/>
      <c r="Z268" s="749">
        <v>0</v>
      </c>
      <c r="AA268" s="592"/>
      <c r="AB268" s="592">
        <v>0.5</v>
      </c>
      <c r="AC268" s="592">
        <v>6.4</v>
      </c>
    </row>
    <row r="269" spans="2:29" s="35" customFormat="1" ht="14.1" hidden="1" customHeight="1" x14ac:dyDescent="0.25">
      <c r="B269" s="405"/>
      <c r="C269" s="588" t="s">
        <v>475</v>
      </c>
      <c r="D269" s="570" t="s">
        <v>449</v>
      </c>
      <c r="E269" s="571" t="s">
        <v>175</v>
      </c>
      <c r="F269" s="595" t="s">
        <v>864</v>
      </c>
      <c r="G269" s="749">
        <v>339</v>
      </c>
      <c r="H269" s="749">
        <v>11.3</v>
      </c>
      <c r="I269" s="749">
        <v>3.3</v>
      </c>
      <c r="J269" s="749">
        <v>28</v>
      </c>
      <c r="K269" s="749">
        <v>1.08</v>
      </c>
      <c r="L269" s="749"/>
      <c r="M269" s="749">
        <v>4.4000000000000004</v>
      </c>
      <c r="N269" s="749">
        <v>190</v>
      </c>
      <c r="O269" s="749">
        <v>12.2</v>
      </c>
      <c r="P269" s="749">
        <v>1.54</v>
      </c>
      <c r="Q269" s="749"/>
      <c r="R269" s="785">
        <v>0.23699999999999999</v>
      </c>
      <c r="S269" s="785">
        <v>0.14199999999999999</v>
      </c>
      <c r="T269" s="749">
        <v>2.927</v>
      </c>
      <c r="U269" s="592">
        <v>1.25</v>
      </c>
      <c r="V269" s="592">
        <v>0.59</v>
      </c>
      <c r="W269" s="1004">
        <v>20</v>
      </c>
      <c r="X269" s="1031">
        <v>0</v>
      </c>
      <c r="Y269" s="1018">
        <v>0</v>
      </c>
      <c r="Z269" s="749">
        <v>0</v>
      </c>
      <c r="AA269" s="592">
        <v>0</v>
      </c>
      <c r="AB269" s="592">
        <v>0.81</v>
      </c>
      <c r="AC269" s="592"/>
    </row>
    <row r="270" spans="2:29" s="35" customFormat="1" ht="14.1" hidden="1" customHeight="1" x14ac:dyDescent="0.25">
      <c r="B270" s="405"/>
      <c r="C270" s="588" t="s">
        <v>478</v>
      </c>
      <c r="D270" s="570" t="s">
        <v>449</v>
      </c>
      <c r="E270" s="571" t="s">
        <v>179</v>
      </c>
      <c r="F270" s="595" t="str">
        <f>"SOYA BEAN MEAL, DEFATTED"</f>
        <v>SOYA BEAN MEAL, DEFATTED</v>
      </c>
      <c r="G270" s="749">
        <v>339</v>
      </c>
      <c r="H270" s="749">
        <v>44.95</v>
      </c>
      <c r="I270" s="749">
        <v>2.39</v>
      </c>
      <c r="J270" s="749">
        <v>244</v>
      </c>
      <c r="K270" s="749">
        <v>2</v>
      </c>
      <c r="L270" s="749"/>
      <c r="M270" s="749">
        <v>13.7</v>
      </c>
      <c r="N270" s="749">
        <v>306</v>
      </c>
      <c r="O270" s="749">
        <v>3.3</v>
      </c>
      <c r="P270" s="749">
        <v>5.0599999999999996</v>
      </c>
      <c r="Q270" s="749">
        <v>2</v>
      </c>
      <c r="R270" s="785">
        <v>0.69099999999999995</v>
      </c>
      <c r="S270" s="785">
        <v>0.251</v>
      </c>
      <c r="T270" s="749">
        <v>2.5870000000000002</v>
      </c>
      <c r="U270" s="592">
        <v>1.976</v>
      </c>
      <c r="V270" s="592">
        <v>0.56899999999999995</v>
      </c>
      <c r="W270" s="1004">
        <v>303</v>
      </c>
      <c r="X270" s="1031">
        <v>0</v>
      </c>
      <c r="Y270" s="1018">
        <v>0</v>
      </c>
      <c r="Z270" s="749">
        <v>0</v>
      </c>
      <c r="AA270" s="592">
        <v>0</v>
      </c>
      <c r="AB270" s="592"/>
      <c r="AC270" s="592"/>
    </row>
    <row r="271" spans="2:29" s="35" customFormat="1" ht="14.1" hidden="1" customHeight="1" x14ac:dyDescent="0.25">
      <c r="B271" s="405"/>
      <c r="C271" s="588" t="s">
        <v>361</v>
      </c>
      <c r="D271" s="570" t="s">
        <v>449</v>
      </c>
      <c r="E271" s="571" t="s">
        <v>179</v>
      </c>
      <c r="F271" s="595" t="s">
        <v>476</v>
      </c>
      <c r="G271" s="592">
        <v>446</v>
      </c>
      <c r="H271" s="592">
        <v>36.49</v>
      </c>
      <c r="I271" s="592">
        <v>19.940000000000001</v>
      </c>
      <c r="J271" s="749">
        <v>277</v>
      </c>
      <c r="K271" s="749">
        <v>1.6579999999999999</v>
      </c>
      <c r="L271" s="749"/>
      <c r="M271" s="749">
        <v>15.7</v>
      </c>
      <c r="N271" s="749">
        <v>280</v>
      </c>
      <c r="O271" s="749">
        <v>17.8</v>
      </c>
      <c r="P271" s="749">
        <v>4.8899999999999997</v>
      </c>
      <c r="Q271" s="749">
        <v>1</v>
      </c>
      <c r="R271" s="785">
        <v>0.874</v>
      </c>
      <c r="S271" s="785">
        <v>0.87</v>
      </c>
      <c r="T271" s="749">
        <v>1.623</v>
      </c>
      <c r="U271" s="592">
        <v>0.79300000000000004</v>
      </c>
      <c r="V271" s="592">
        <v>0.377</v>
      </c>
      <c r="W271" s="1004">
        <v>375</v>
      </c>
      <c r="X271" s="1031">
        <v>0</v>
      </c>
      <c r="Y271" s="1018">
        <v>0</v>
      </c>
      <c r="Z271" s="749">
        <v>6</v>
      </c>
      <c r="AA271" s="592">
        <v>0</v>
      </c>
      <c r="AB271" s="592">
        <v>0.85</v>
      </c>
      <c r="AC271" s="592">
        <v>47</v>
      </c>
    </row>
    <row r="272" spans="2:29" s="35" customFormat="1" ht="14.1" hidden="1" customHeight="1" x14ac:dyDescent="0.25">
      <c r="B272" s="405"/>
      <c r="C272" s="569" t="s">
        <v>477</v>
      </c>
      <c r="D272" s="570" t="s">
        <v>449</v>
      </c>
      <c r="E272" s="571" t="s">
        <v>175</v>
      </c>
      <c r="F272" s="595" t="s">
        <v>7</v>
      </c>
      <c r="G272" s="592">
        <v>436</v>
      </c>
      <c r="H272" s="592">
        <v>34.54</v>
      </c>
      <c r="I272" s="592">
        <v>20.65</v>
      </c>
      <c r="J272" s="749">
        <v>206</v>
      </c>
      <c r="K272" s="749">
        <v>2.92</v>
      </c>
      <c r="L272" s="749"/>
      <c r="M272" s="749">
        <v>6.37</v>
      </c>
      <c r="N272" s="749">
        <v>429</v>
      </c>
      <c r="O272" s="749">
        <v>7.5</v>
      </c>
      <c r="P272" s="749">
        <v>3.92</v>
      </c>
      <c r="Q272" s="749">
        <v>6</v>
      </c>
      <c r="R272" s="785">
        <v>0.58099999999999996</v>
      </c>
      <c r="S272" s="785">
        <v>1.1599999999999999</v>
      </c>
      <c r="T272" s="749">
        <v>4.32</v>
      </c>
      <c r="U272" s="592">
        <v>1.59</v>
      </c>
      <c r="V272" s="592">
        <v>0.46100000000000002</v>
      </c>
      <c r="W272" s="1004">
        <v>345</v>
      </c>
      <c r="X272" s="1031">
        <v>0</v>
      </c>
      <c r="Y272" s="1018">
        <v>0</v>
      </c>
      <c r="Z272" s="749">
        <v>0</v>
      </c>
      <c r="AA272" s="592">
        <v>0</v>
      </c>
      <c r="AB272" s="592">
        <v>1.95</v>
      </c>
      <c r="AC272" s="592">
        <v>70</v>
      </c>
    </row>
    <row r="273" spans="2:29" s="35" customFormat="1" ht="14.1" hidden="1" customHeight="1" x14ac:dyDescent="0.25">
      <c r="B273" s="405"/>
      <c r="C273" s="609" t="s">
        <v>499</v>
      </c>
      <c r="D273" s="610" t="s">
        <v>449</v>
      </c>
      <c r="E273" s="611" t="s">
        <v>247</v>
      </c>
      <c r="F273" s="626" t="s">
        <v>508</v>
      </c>
      <c r="G273" s="628">
        <v>340.2</v>
      </c>
      <c r="H273" s="628">
        <v>17.5</v>
      </c>
      <c r="I273" s="628">
        <v>1.31</v>
      </c>
      <c r="J273" s="753">
        <v>159.78</v>
      </c>
      <c r="K273" s="753"/>
      <c r="L273" s="753"/>
      <c r="M273" s="753">
        <v>9.91</v>
      </c>
      <c r="N273" s="753">
        <v>182.9</v>
      </c>
      <c r="O273" s="753"/>
      <c r="P273" s="753">
        <v>4.41</v>
      </c>
      <c r="Q273" s="753">
        <v>116</v>
      </c>
      <c r="R273" s="1060">
        <v>1.63</v>
      </c>
      <c r="S273" s="1060">
        <v>0.76</v>
      </c>
      <c r="T273" s="753">
        <v>11.74</v>
      </c>
      <c r="U273" s="628"/>
      <c r="V273" s="628">
        <v>0.78</v>
      </c>
      <c r="W273" s="1006">
        <v>222.7</v>
      </c>
      <c r="X273" s="1033">
        <f>154/1.7</f>
        <v>90.588235294117652</v>
      </c>
      <c r="Y273" s="1020">
        <v>11</v>
      </c>
      <c r="Z273" s="753">
        <v>0</v>
      </c>
      <c r="AA273" s="628">
        <v>2</v>
      </c>
      <c r="AB273" s="628">
        <v>7.0000000000000007E-2</v>
      </c>
      <c r="AC273" s="628">
        <v>2.23</v>
      </c>
    </row>
    <row r="274" spans="2:29" s="35" customFormat="1" ht="14.1" hidden="1" customHeight="1" x14ac:dyDescent="0.25">
      <c r="B274" s="405"/>
      <c r="C274" s="779" t="s">
        <v>503</v>
      </c>
      <c r="D274" s="610" t="s">
        <v>449</v>
      </c>
      <c r="E274" s="611" t="s">
        <v>247</v>
      </c>
      <c r="F274" s="626" t="s">
        <v>509</v>
      </c>
      <c r="G274" s="753">
        <v>365.5</v>
      </c>
      <c r="H274" s="753">
        <v>13.42</v>
      </c>
      <c r="I274" s="753">
        <v>1.85</v>
      </c>
      <c r="J274" s="753">
        <v>2.5499999999999998</v>
      </c>
      <c r="K274" s="753"/>
      <c r="L274" s="753"/>
      <c r="M274" s="753">
        <v>6.99</v>
      </c>
      <c r="N274" s="753">
        <v>27.2</v>
      </c>
      <c r="O274" s="753"/>
      <c r="P274" s="753">
        <v>5.36</v>
      </c>
      <c r="Q274" s="753">
        <v>229.35</v>
      </c>
      <c r="R274" s="1060">
        <v>1.99</v>
      </c>
      <c r="S274" s="1060">
        <v>0.84</v>
      </c>
      <c r="T274" s="753">
        <v>8.85</v>
      </c>
      <c r="U274" s="628"/>
      <c r="V274" s="628">
        <v>0.95</v>
      </c>
      <c r="W274" s="1006">
        <v>333.5</v>
      </c>
      <c r="X274" s="1033">
        <f>154/1.7</f>
        <v>90.588235294117652</v>
      </c>
      <c r="Y274" s="1020">
        <v>22</v>
      </c>
      <c r="Z274" s="753">
        <v>0</v>
      </c>
      <c r="AA274" s="628">
        <v>4</v>
      </c>
      <c r="AB274" s="628">
        <v>0.1</v>
      </c>
      <c r="AC274" s="628">
        <v>0</v>
      </c>
    </row>
    <row r="275" spans="2:29" s="35" customFormat="1" ht="14.1" hidden="1" customHeight="1" x14ac:dyDescent="0.25">
      <c r="B275" s="405"/>
      <c r="C275" s="588" t="s">
        <v>621</v>
      </c>
      <c r="D275" s="570" t="s">
        <v>449</v>
      </c>
      <c r="E275" s="571" t="s">
        <v>170</v>
      </c>
      <c r="F275" s="595" t="s">
        <v>10</v>
      </c>
      <c r="G275" s="749">
        <v>387</v>
      </c>
      <c r="H275" s="749">
        <v>0</v>
      </c>
      <c r="I275" s="749">
        <v>0</v>
      </c>
      <c r="J275" s="749">
        <v>1</v>
      </c>
      <c r="K275" s="749">
        <v>7.0000000000000001E-3</v>
      </c>
      <c r="L275" s="749"/>
      <c r="M275" s="749">
        <v>0.05</v>
      </c>
      <c r="N275" s="749">
        <v>0</v>
      </c>
      <c r="O275" s="749">
        <v>0.6</v>
      </c>
      <c r="P275" s="749">
        <v>0.01</v>
      </c>
      <c r="Q275" s="749">
        <v>0</v>
      </c>
      <c r="R275" s="785">
        <v>0</v>
      </c>
      <c r="S275" s="785">
        <v>1.9E-2</v>
      </c>
      <c r="T275" s="749">
        <v>0</v>
      </c>
      <c r="U275" s="592">
        <v>0</v>
      </c>
      <c r="V275" s="592">
        <v>0</v>
      </c>
      <c r="W275" s="1004">
        <v>0</v>
      </c>
      <c r="X275" s="1031">
        <v>0</v>
      </c>
      <c r="Y275" s="1018">
        <v>0</v>
      </c>
      <c r="Z275" s="749">
        <v>0</v>
      </c>
      <c r="AA275" s="592">
        <v>0</v>
      </c>
      <c r="AB275" s="592">
        <v>0</v>
      </c>
      <c r="AC275" s="592">
        <v>0</v>
      </c>
    </row>
    <row r="276" spans="2:29" s="35" customFormat="1" ht="14.1" hidden="1" customHeight="1" x14ac:dyDescent="0.25">
      <c r="B276" s="405"/>
      <c r="C276" s="588" t="s">
        <v>481</v>
      </c>
      <c r="D276" s="570" t="s">
        <v>449</v>
      </c>
      <c r="E276" s="571" t="s">
        <v>179</v>
      </c>
      <c r="F276" s="595" t="s">
        <v>48</v>
      </c>
      <c r="G276" s="749">
        <v>584</v>
      </c>
      <c r="H276" s="749">
        <v>20.78</v>
      </c>
      <c r="I276" s="749">
        <v>51.46</v>
      </c>
      <c r="J276" s="749">
        <v>78</v>
      </c>
      <c r="K276" s="749">
        <v>1.8</v>
      </c>
      <c r="L276" s="749"/>
      <c r="M276" s="749">
        <v>5.25</v>
      </c>
      <c r="N276" s="749">
        <v>325</v>
      </c>
      <c r="O276" s="749">
        <v>53</v>
      </c>
      <c r="P276" s="749">
        <v>5</v>
      </c>
      <c r="Q276" s="749">
        <v>3</v>
      </c>
      <c r="R276" s="785">
        <v>1.48</v>
      </c>
      <c r="S276" s="785">
        <v>0.35499999999999998</v>
      </c>
      <c r="T276" s="749">
        <v>8.3350000000000009</v>
      </c>
      <c r="U276" s="592">
        <v>1.1299999999999999</v>
      </c>
      <c r="V276" s="592">
        <v>1.345</v>
      </c>
      <c r="W276" s="1004">
        <v>227</v>
      </c>
      <c r="X276" s="1031">
        <v>0</v>
      </c>
      <c r="Y276" s="1018">
        <v>0</v>
      </c>
      <c r="Z276" s="749">
        <v>1.4</v>
      </c>
      <c r="AA276" s="592">
        <v>0</v>
      </c>
      <c r="AB276" s="592">
        <v>35.17</v>
      </c>
      <c r="AC276" s="592">
        <v>0</v>
      </c>
    </row>
    <row r="277" spans="2:29" s="35" customFormat="1" ht="14.1" hidden="1" customHeight="1" x14ac:dyDescent="0.25">
      <c r="B277" s="405"/>
      <c r="C277" s="588" t="s">
        <v>924</v>
      </c>
      <c r="D277" s="570" t="s">
        <v>925</v>
      </c>
      <c r="E277" s="571" t="s">
        <v>173</v>
      </c>
      <c r="F277" s="595" t="s">
        <v>939</v>
      </c>
      <c r="G277" s="749">
        <v>595</v>
      </c>
      <c r="H277" s="749">
        <v>17</v>
      </c>
      <c r="I277" s="749">
        <v>53.76</v>
      </c>
      <c r="J277" s="749">
        <v>426</v>
      </c>
      <c r="K277" s="749">
        <v>1.61</v>
      </c>
      <c r="L277" s="749"/>
      <c r="M277" s="749">
        <v>8.9499999999999993</v>
      </c>
      <c r="N277" s="749">
        <v>95</v>
      </c>
      <c r="O277" s="749">
        <v>34.4</v>
      </c>
      <c r="P277" s="749">
        <v>4.62</v>
      </c>
      <c r="Q277" s="749">
        <v>3</v>
      </c>
      <c r="R277" s="785">
        <v>1.22</v>
      </c>
      <c r="S277" s="785">
        <v>0.47299999999999998</v>
      </c>
      <c r="T277" s="749">
        <v>5.45</v>
      </c>
      <c r="U277" s="592">
        <v>0.69299999999999995</v>
      </c>
      <c r="V277" s="592">
        <v>0.14899999999999999</v>
      </c>
      <c r="W277" s="1004">
        <v>98</v>
      </c>
      <c r="X277" s="1031">
        <v>0</v>
      </c>
      <c r="Y277" s="1018">
        <v>0</v>
      </c>
      <c r="Z277" s="749">
        <v>0</v>
      </c>
      <c r="AA277" s="592">
        <v>0</v>
      </c>
      <c r="AB277" s="592">
        <v>0.25</v>
      </c>
      <c r="AC277" s="592">
        <v>0</v>
      </c>
    </row>
    <row r="278" spans="2:29" s="35" customFormat="1" ht="14.1" hidden="1" customHeight="1" x14ac:dyDescent="0.25">
      <c r="B278" s="405"/>
      <c r="C278" s="588" t="s">
        <v>522</v>
      </c>
      <c r="D278" s="570" t="s">
        <v>449</v>
      </c>
      <c r="E278" s="571" t="s">
        <v>173</v>
      </c>
      <c r="F278" s="595" t="s">
        <v>755</v>
      </c>
      <c r="G278" s="749">
        <v>1</v>
      </c>
      <c r="H278" s="749">
        <v>0</v>
      </c>
      <c r="I278" s="749">
        <v>0</v>
      </c>
      <c r="J278" s="749">
        <v>0</v>
      </c>
      <c r="K278" s="749">
        <v>0.01</v>
      </c>
      <c r="L278" s="749"/>
      <c r="M278" s="749">
        <v>0.02</v>
      </c>
      <c r="N278" s="749">
        <v>3</v>
      </c>
      <c r="O278" s="749">
        <v>0</v>
      </c>
      <c r="P278" s="749">
        <v>0.02</v>
      </c>
      <c r="Q278" s="749">
        <v>0</v>
      </c>
      <c r="R278" s="785">
        <v>0</v>
      </c>
      <c r="S278" s="785">
        <v>1.4E-2</v>
      </c>
      <c r="T278" s="749">
        <v>0</v>
      </c>
      <c r="U278" s="592">
        <v>1.0999999999999999E-2</v>
      </c>
      <c r="V278" s="592">
        <v>0</v>
      </c>
      <c r="W278" s="1004">
        <v>5</v>
      </c>
      <c r="X278" s="1031">
        <v>0</v>
      </c>
      <c r="Y278" s="1018">
        <v>0</v>
      </c>
      <c r="Z278" s="749">
        <v>0</v>
      </c>
      <c r="AA278" s="592">
        <v>0</v>
      </c>
      <c r="AB278" s="592">
        <v>0</v>
      </c>
      <c r="AC278" s="592">
        <v>0</v>
      </c>
    </row>
    <row r="279" spans="2:29" s="35" customFormat="1" ht="14.1" hidden="1" customHeight="1" x14ac:dyDescent="0.25">
      <c r="B279" s="405"/>
      <c r="C279" s="588" t="s">
        <v>523</v>
      </c>
      <c r="D279" s="570" t="s">
        <v>449</v>
      </c>
      <c r="E279" s="571" t="s">
        <v>173</v>
      </c>
      <c r="F279" s="595" t="s">
        <v>941</v>
      </c>
      <c r="G279" s="749">
        <v>276</v>
      </c>
      <c r="H279" s="749">
        <v>9.11</v>
      </c>
      <c r="I279" s="749">
        <v>7.43</v>
      </c>
      <c r="J279" s="749">
        <v>1890</v>
      </c>
      <c r="K279" s="749">
        <v>0.86</v>
      </c>
      <c r="L279" s="749"/>
      <c r="M279" s="749">
        <v>123.6</v>
      </c>
      <c r="N279" s="749">
        <v>220</v>
      </c>
      <c r="O279" s="749">
        <v>4.5999999999999996</v>
      </c>
      <c r="P279" s="749">
        <v>6.18</v>
      </c>
      <c r="Q279" s="749">
        <v>190</v>
      </c>
      <c r="R279" s="785">
        <v>0.51300000000000001</v>
      </c>
      <c r="S279" s="785">
        <v>0.39900000000000002</v>
      </c>
      <c r="T279" s="749">
        <v>4.9400000000000004</v>
      </c>
      <c r="U279" s="592"/>
      <c r="V279" s="592">
        <v>0.55000000000000004</v>
      </c>
      <c r="W279" s="1004">
        <v>274</v>
      </c>
      <c r="X279" s="1031">
        <v>0</v>
      </c>
      <c r="Y279" s="1018">
        <v>0</v>
      </c>
      <c r="Z279" s="749">
        <v>50</v>
      </c>
      <c r="AA279" s="592">
        <v>0</v>
      </c>
      <c r="AB279" s="592">
        <v>7.48</v>
      </c>
      <c r="AC279" s="592">
        <v>1714.5</v>
      </c>
    </row>
    <row r="280" spans="2:29" s="35" customFormat="1" ht="14.1" hidden="1" customHeight="1" x14ac:dyDescent="0.25">
      <c r="B280" s="405"/>
      <c r="C280" s="588" t="s">
        <v>483</v>
      </c>
      <c r="D280" s="570" t="s">
        <v>449</v>
      </c>
      <c r="E280" s="571" t="s">
        <v>176</v>
      </c>
      <c r="F280" s="572" t="s">
        <v>482</v>
      </c>
      <c r="G280" s="749">
        <v>82</v>
      </c>
      <c r="H280" s="749">
        <v>4.32</v>
      </c>
      <c r="I280" s="749">
        <v>0.47</v>
      </c>
      <c r="J280" s="749">
        <v>36</v>
      </c>
      <c r="K280" s="749">
        <v>0.36499999999999999</v>
      </c>
      <c r="L280" s="749"/>
      <c r="M280" s="749">
        <v>2.98</v>
      </c>
      <c r="N280" s="749">
        <v>42</v>
      </c>
      <c r="O280" s="749">
        <v>5.3</v>
      </c>
      <c r="P280" s="749">
        <v>0.63</v>
      </c>
      <c r="Q280" s="749">
        <v>76</v>
      </c>
      <c r="R280" s="785">
        <v>0.06</v>
      </c>
      <c r="S280" s="785">
        <v>0.153</v>
      </c>
      <c r="T280" s="749">
        <v>3.0760000000000001</v>
      </c>
      <c r="U280" s="592">
        <v>0.14199999999999999</v>
      </c>
      <c r="V280" s="592">
        <v>0.216</v>
      </c>
      <c r="W280" s="1004">
        <v>12</v>
      </c>
      <c r="X280" s="1031">
        <v>0</v>
      </c>
      <c r="Y280" s="1018">
        <v>0</v>
      </c>
      <c r="Z280" s="749">
        <v>21.9</v>
      </c>
      <c r="AA280" s="592">
        <v>0</v>
      </c>
      <c r="AB280" s="592">
        <v>4.3</v>
      </c>
      <c r="AC280" s="592">
        <v>11.4</v>
      </c>
    </row>
    <row r="281" spans="2:29" s="35" customFormat="1" ht="14.1" hidden="1" customHeight="1" x14ac:dyDescent="0.25">
      <c r="B281" s="405"/>
      <c r="C281" s="588" t="s">
        <v>484</v>
      </c>
      <c r="D281" s="570" t="s">
        <v>449</v>
      </c>
      <c r="E281" s="571" t="s">
        <v>176</v>
      </c>
      <c r="F281" s="572" t="s">
        <v>102</v>
      </c>
      <c r="G281" s="749">
        <v>18</v>
      </c>
      <c r="H281" s="749">
        <v>0.88</v>
      </c>
      <c r="I281" s="749">
        <v>0.2</v>
      </c>
      <c r="J281" s="749">
        <v>10</v>
      </c>
      <c r="K281" s="749">
        <v>5.8999999999999997E-2</v>
      </c>
      <c r="L281" s="749"/>
      <c r="M281" s="749">
        <v>0.27</v>
      </c>
      <c r="N281" s="749">
        <v>11</v>
      </c>
      <c r="O281" s="749">
        <v>0</v>
      </c>
      <c r="P281" s="749">
        <v>0.17</v>
      </c>
      <c r="Q281" s="749">
        <v>42</v>
      </c>
      <c r="R281" s="785">
        <v>3.6999999999999998E-2</v>
      </c>
      <c r="S281" s="785">
        <v>1.9E-2</v>
      </c>
      <c r="T281" s="749">
        <v>0.59399999999999997</v>
      </c>
      <c r="U281" s="592">
        <v>8.8999999999999996E-2</v>
      </c>
      <c r="V281" s="592">
        <v>0.08</v>
      </c>
      <c r="W281" s="1004">
        <v>15</v>
      </c>
      <c r="X281" s="1031">
        <v>0</v>
      </c>
      <c r="Y281" s="1018">
        <v>0</v>
      </c>
      <c r="Z281" s="749">
        <v>13.7</v>
      </c>
      <c r="AA281" s="592">
        <v>0</v>
      </c>
      <c r="AB281" s="592">
        <v>0.54</v>
      </c>
      <c r="AC281" s="592">
        <v>7.9</v>
      </c>
    </row>
    <row r="282" spans="2:29" s="35" customFormat="1" ht="14.1" hidden="1" customHeight="1" x14ac:dyDescent="0.25">
      <c r="B282" s="405"/>
      <c r="C282" s="588" t="s">
        <v>485</v>
      </c>
      <c r="D282" s="570" t="s">
        <v>449</v>
      </c>
      <c r="E282" s="571" t="s">
        <v>176</v>
      </c>
      <c r="F282" s="572" t="s">
        <v>103</v>
      </c>
      <c r="G282" s="749">
        <v>258</v>
      </c>
      <c r="H282" s="749">
        <v>14.11</v>
      </c>
      <c r="I282" s="749">
        <v>2.97</v>
      </c>
      <c r="J282" s="749">
        <v>110</v>
      </c>
      <c r="K282" s="749">
        <v>1.423</v>
      </c>
      <c r="L282" s="749"/>
      <c r="M282" s="749">
        <v>9.09</v>
      </c>
      <c r="N282" s="749">
        <v>194</v>
      </c>
      <c r="O282" s="749">
        <v>5.5</v>
      </c>
      <c r="P282" s="749">
        <v>1.99</v>
      </c>
      <c r="Q282" s="749">
        <v>44</v>
      </c>
      <c r="R282" s="785">
        <v>0.52800000000000002</v>
      </c>
      <c r="S282" s="785">
        <v>0.48899999999999999</v>
      </c>
      <c r="T282" s="749">
        <v>9.0500000000000007</v>
      </c>
      <c r="U282" s="592">
        <v>2.0870000000000002</v>
      </c>
      <c r="V282" s="592">
        <v>0.33200000000000002</v>
      </c>
      <c r="W282" s="1004">
        <v>68</v>
      </c>
      <c r="X282" s="1031">
        <v>0</v>
      </c>
      <c r="Y282" s="1018">
        <v>0</v>
      </c>
      <c r="Z282" s="749">
        <v>39.200000000000003</v>
      </c>
      <c r="AA282" s="592">
        <v>0</v>
      </c>
      <c r="AB282" s="592">
        <v>0.01</v>
      </c>
      <c r="AC282" s="592">
        <v>43</v>
      </c>
    </row>
    <row r="283" spans="2:29" s="35" customFormat="1" ht="14.1" hidden="1" customHeight="1" x14ac:dyDescent="0.25">
      <c r="B283" s="405"/>
      <c r="C283" s="588" t="s">
        <v>374</v>
      </c>
      <c r="D283" s="570" t="s">
        <v>368</v>
      </c>
      <c r="E283" s="571" t="s">
        <v>171</v>
      </c>
      <c r="F283" s="572" t="s">
        <v>528</v>
      </c>
      <c r="G283" s="749">
        <v>198</v>
      </c>
      <c r="H283" s="749">
        <v>29.13</v>
      </c>
      <c r="I283" s="749">
        <v>8.2100000000000009</v>
      </c>
      <c r="J283" s="749">
        <v>13</v>
      </c>
      <c r="K283" s="749">
        <v>7.0999999999999994E-2</v>
      </c>
      <c r="L283" s="749"/>
      <c r="M283" s="749">
        <v>1.39</v>
      </c>
      <c r="N283" s="749">
        <v>31</v>
      </c>
      <c r="O283" s="749">
        <v>76</v>
      </c>
      <c r="P283" s="749">
        <v>0.9</v>
      </c>
      <c r="Q283" s="749"/>
      <c r="R283" s="785">
        <v>3.7999999999999999E-2</v>
      </c>
      <c r="S283" s="785">
        <v>0.12</v>
      </c>
      <c r="T283" s="749">
        <v>12.4</v>
      </c>
      <c r="U283" s="592">
        <v>0.37</v>
      </c>
      <c r="V283" s="592">
        <v>0.11</v>
      </c>
      <c r="W283" s="1004">
        <v>5</v>
      </c>
      <c r="X283" s="1031">
        <v>0</v>
      </c>
      <c r="Y283" s="1018">
        <v>2.2000000000000002</v>
      </c>
      <c r="Z283" s="749">
        <v>0</v>
      </c>
      <c r="AA283" s="592"/>
      <c r="AB283" s="592"/>
      <c r="AC283" s="592"/>
    </row>
    <row r="284" spans="2:29" s="35" customFormat="1" ht="14.1" hidden="1" customHeight="1" x14ac:dyDescent="0.25">
      <c r="B284" s="405"/>
      <c r="C284" s="588" t="s">
        <v>373</v>
      </c>
      <c r="D284" s="570" t="s">
        <v>368</v>
      </c>
      <c r="E284" s="571" t="s">
        <v>171</v>
      </c>
      <c r="F284" s="572" t="s">
        <v>529</v>
      </c>
      <c r="G284" s="749">
        <v>116</v>
      </c>
      <c r="H284" s="749">
        <v>25.51</v>
      </c>
      <c r="I284" s="749">
        <v>0.82</v>
      </c>
      <c r="J284" s="749">
        <v>11</v>
      </c>
      <c r="K284" s="749">
        <v>5.0999999999999997E-2</v>
      </c>
      <c r="L284" s="749"/>
      <c r="M284" s="749">
        <v>1.53</v>
      </c>
      <c r="N284" s="749">
        <v>27</v>
      </c>
      <c r="O284" s="749">
        <v>80.400000000000006</v>
      </c>
      <c r="P284" s="749">
        <v>0.77</v>
      </c>
      <c r="Q284" s="749"/>
      <c r="R284" s="785">
        <v>3.2000000000000001E-2</v>
      </c>
      <c r="S284" s="785">
        <v>7.3999999999999996E-2</v>
      </c>
      <c r="T284" s="749">
        <v>13.28</v>
      </c>
      <c r="U284" s="592">
        <v>0.214</v>
      </c>
      <c r="V284" s="592">
        <v>0.35</v>
      </c>
      <c r="W284" s="1004">
        <v>4</v>
      </c>
      <c r="X284" s="1031">
        <v>0</v>
      </c>
      <c r="Y284" s="1018">
        <v>2.99</v>
      </c>
      <c r="Z284" s="749">
        <v>0</v>
      </c>
      <c r="AA284" s="592"/>
      <c r="AB284" s="592"/>
      <c r="AC284" s="592"/>
    </row>
    <row r="285" spans="2:29" s="35" customFormat="1" ht="14.1" hidden="1" customHeight="1" x14ac:dyDescent="0.25">
      <c r="B285" s="405"/>
      <c r="C285" s="588" t="s">
        <v>486</v>
      </c>
      <c r="D285" s="570" t="s">
        <v>449</v>
      </c>
      <c r="E285" s="571" t="s">
        <v>248</v>
      </c>
      <c r="F285" s="572" t="s">
        <v>49</v>
      </c>
      <c r="G285" s="749">
        <v>30</v>
      </c>
      <c r="H285" s="749">
        <v>0.61</v>
      </c>
      <c r="I285" s="749">
        <v>0.15</v>
      </c>
      <c r="J285" s="749">
        <v>7</v>
      </c>
      <c r="K285" s="749">
        <v>4.2000000000000003E-2</v>
      </c>
      <c r="L285" s="749"/>
      <c r="M285" s="749">
        <v>0.24</v>
      </c>
      <c r="N285" s="749">
        <v>10</v>
      </c>
      <c r="O285" s="749">
        <v>0.4</v>
      </c>
      <c r="P285" s="749">
        <v>0.1</v>
      </c>
      <c r="Q285" s="749">
        <v>28</v>
      </c>
      <c r="R285" s="785">
        <v>3.3000000000000002E-2</v>
      </c>
      <c r="S285" s="785">
        <v>2.1000000000000001E-2</v>
      </c>
      <c r="T285" s="749">
        <v>0.17799999999999999</v>
      </c>
      <c r="U285" s="592">
        <v>0.221</v>
      </c>
      <c r="V285" s="592">
        <v>4.4999999999999998E-2</v>
      </c>
      <c r="W285" s="1004">
        <v>3</v>
      </c>
      <c r="X285" s="1031">
        <v>0</v>
      </c>
      <c r="Y285" s="1018">
        <v>0</v>
      </c>
      <c r="Z285" s="749">
        <v>8.1</v>
      </c>
      <c r="AA285" s="592">
        <v>0</v>
      </c>
      <c r="AB285" s="592">
        <v>0.05</v>
      </c>
      <c r="AC285" s="592">
        <v>0.1</v>
      </c>
    </row>
    <row r="286" spans="2:29" s="35" customFormat="1" ht="14.1" hidden="1" customHeight="1" x14ac:dyDescent="0.25">
      <c r="B286" s="405"/>
      <c r="C286" s="622" t="s">
        <v>524</v>
      </c>
      <c r="D286" s="610" t="s">
        <v>488</v>
      </c>
      <c r="E286" s="615" t="s">
        <v>175</v>
      </c>
      <c r="F286" s="616" t="s">
        <v>525</v>
      </c>
      <c r="G286" s="753">
        <v>364</v>
      </c>
      <c r="H286" s="753">
        <v>10.33</v>
      </c>
      <c r="I286" s="753">
        <v>0.98</v>
      </c>
      <c r="J286" s="753">
        <v>19</v>
      </c>
      <c r="K286" s="753"/>
      <c r="L286" s="753"/>
      <c r="M286" s="753">
        <v>5.46</v>
      </c>
      <c r="N286" s="753">
        <v>28</v>
      </c>
      <c r="O286" s="753"/>
      <c r="P286" s="753">
        <v>3.28</v>
      </c>
      <c r="Q286" s="753">
        <v>110</v>
      </c>
      <c r="R286" s="1060">
        <v>0.52</v>
      </c>
      <c r="S286" s="1060">
        <v>0.44</v>
      </c>
      <c r="T286" s="753">
        <v>5.25</v>
      </c>
      <c r="U286" s="628"/>
      <c r="V286" s="628">
        <v>0.44</v>
      </c>
      <c r="W286" s="1006">
        <v>180</v>
      </c>
      <c r="X286" s="1033">
        <f>154/1.7</f>
        <v>90.588235294117652</v>
      </c>
      <c r="Y286" s="1020">
        <v>11</v>
      </c>
      <c r="Z286" s="753">
        <v>0</v>
      </c>
      <c r="AA286" s="628">
        <v>2</v>
      </c>
      <c r="AB286" s="628">
        <v>0.06</v>
      </c>
      <c r="AC286" s="628">
        <v>0.3</v>
      </c>
    </row>
    <row r="287" spans="2:29" s="35" customFormat="1" ht="14.1" hidden="1" customHeight="1" x14ac:dyDescent="0.25">
      <c r="B287" s="405"/>
      <c r="C287" s="622" t="s">
        <v>524</v>
      </c>
      <c r="D287" s="610" t="s">
        <v>488</v>
      </c>
      <c r="E287" s="615" t="s">
        <v>175</v>
      </c>
      <c r="F287" s="616" t="s">
        <v>526</v>
      </c>
      <c r="G287" s="753">
        <v>361</v>
      </c>
      <c r="H287" s="753">
        <v>11.98</v>
      </c>
      <c r="I287" s="753">
        <v>1.66</v>
      </c>
      <c r="J287" s="753">
        <v>15</v>
      </c>
      <c r="K287" s="753"/>
      <c r="L287" s="753"/>
      <c r="M287" s="753">
        <v>4.9000000000000004</v>
      </c>
      <c r="N287" s="753">
        <v>25</v>
      </c>
      <c r="O287" s="753"/>
      <c r="P287" s="753">
        <v>3.25</v>
      </c>
      <c r="Q287" s="753">
        <v>110</v>
      </c>
      <c r="R287" s="1060">
        <v>1.2</v>
      </c>
      <c r="S287" s="1060">
        <v>1</v>
      </c>
      <c r="T287" s="753">
        <v>5</v>
      </c>
      <c r="U287" s="628"/>
      <c r="V287" s="628">
        <v>4.3999999999999997E-2</v>
      </c>
      <c r="W287" s="1006">
        <v>187</v>
      </c>
      <c r="X287" s="1033">
        <f>154/1.7</f>
        <v>90.588235294117652</v>
      </c>
      <c r="Y287" s="1020">
        <v>11</v>
      </c>
      <c r="Z287" s="753">
        <v>0</v>
      </c>
      <c r="AA287" s="628">
        <v>2</v>
      </c>
      <c r="AB287" s="628">
        <v>0.4</v>
      </c>
      <c r="AC287" s="628">
        <v>0.3</v>
      </c>
    </row>
    <row r="288" spans="2:29" s="35" customFormat="1" ht="14.1" hidden="1" customHeight="1" x14ac:dyDescent="0.25">
      <c r="B288" s="405"/>
      <c r="C288" s="596" t="s">
        <v>93</v>
      </c>
      <c r="D288" s="598" t="s">
        <v>577</v>
      </c>
      <c r="E288" s="607" t="s">
        <v>175</v>
      </c>
      <c r="F288" s="617" t="s">
        <v>673</v>
      </c>
      <c r="G288" s="758">
        <v>364</v>
      </c>
      <c r="H288" s="758">
        <v>10.33</v>
      </c>
      <c r="I288" s="758">
        <v>0.98</v>
      </c>
      <c r="J288" s="758">
        <v>15</v>
      </c>
      <c r="K288" s="758">
        <v>0.14000000000000001</v>
      </c>
      <c r="L288" s="758">
        <v>0</v>
      </c>
      <c r="M288" s="758">
        <v>2.67</v>
      </c>
      <c r="N288" s="758"/>
      <c r="O288" s="758">
        <v>33.9</v>
      </c>
      <c r="P288" s="758">
        <v>3.7</v>
      </c>
      <c r="Q288" s="758">
        <v>100</v>
      </c>
      <c r="R288" s="1063">
        <v>0.56000000000000005</v>
      </c>
      <c r="S288" s="1063">
        <v>0.3</v>
      </c>
      <c r="T288" s="758">
        <v>4.75</v>
      </c>
      <c r="U288" s="645">
        <v>0.4</v>
      </c>
      <c r="V288" s="645">
        <v>4.3999999999999997E-2</v>
      </c>
      <c r="W288" s="1009">
        <v>186</v>
      </c>
      <c r="X288" s="1036">
        <v>100</v>
      </c>
      <c r="Y288" s="1023">
        <v>0.8</v>
      </c>
      <c r="Z288" s="758">
        <v>0</v>
      </c>
      <c r="AA288" s="645">
        <v>0</v>
      </c>
      <c r="AB288" s="645">
        <v>0.1</v>
      </c>
      <c r="AC288" s="645"/>
    </row>
    <row r="289" spans="2:29" s="35" customFormat="1" ht="14.1" hidden="1" customHeight="1" x14ac:dyDescent="0.25">
      <c r="B289" s="405"/>
      <c r="C289" s="596" t="s">
        <v>93</v>
      </c>
      <c r="D289" s="598" t="s">
        <v>577</v>
      </c>
      <c r="E289" s="607" t="s">
        <v>175</v>
      </c>
      <c r="F289" s="617" t="s">
        <v>674</v>
      </c>
      <c r="G289" s="758">
        <v>364</v>
      </c>
      <c r="H289" s="758">
        <v>10.33</v>
      </c>
      <c r="I289" s="758">
        <v>0.98</v>
      </c>
      <c r="J289" s="758">
        <v>15</v>
      </c>
      <c r="K289" s="758">
        <v>0.14000000000000001</v>
      </c>
      <c r="L289" s="758">
        <v>0</v>
      </c>
      <c r="M289" s="758">
        <v>3.17</v>
      </c>
      <c r="N289" s="758"/>
      <c r="O289" s="758">
        <v>33.9</v>
      </c>
      <c r="P289" s="758">
        <v>4.0999999999999996</v>
      </c>
      <c r="Q289" s="758">
        <v>150</v>
      </c>
      <c r="R289" s="1063">
        <v>0.41</v>
      </c>
      <c r="S289" s="1063">
        <v>0.40300000000000002</v>
      </c>
      <c r="T289" s="758">
        <v>4.75</v>
      </c>
      <c r="U289" s="645">
        <v>0.4</v>
      </c>
      <c r="V289" s="645"/>
      <c r="W289" s="1009">
        <v>274</v>
      </c>
      <c r="X289" s="1036">
        <v>155</v>
      </c>
      <c r="Y289" s="1023">
        <v>0.4</v>
      </c>
      <c r="Z289" s="758">
        <v>0</v>
      </c>
      <c r="AA289" s="645">
        <v>2.2999999999999998</v>
      </c>
      <c r="AB289" s="645">
        <v>0.1</v>
      </c>
      <c r="AC289" s="645"/>
    </row>
    <row r="290" spans="2:29" s="35" customFormat="1" ht="14.1" hidden="1" customHeight="1" x14ac:dyDescent="0.25">
      <c r="B290" s="405"/>
      <c r="C290" s="588" t="s">
        <v>487</v>
      </c>
      <c r="D290" s="570" t="s">
        <v>449</v>
      </c>
      <c r="E290" s="571" t="s">
        <v>175</v>
      </c>
      <c r="F290" s="572" t="s">
        <v>50</v>
      </c>
      <c r="G290" s="749">
        <v>364</v>
      </c>
      <c r="H290" s="749">
        <v>10.33</v>
      </c>
      <c r="I290" s="749">
        <v>0.98</v>
      </c>
      <c r="J290" s="749">
        <v>15</v>
      </c>
      <c r="K290" s="749">
        <v>0.14399999999999999</v>
      </c>
      <c r="L290" s="749"/>
      <c r="M290" s="749">
        <v>1.17</v>
      </c>
      <c r="N290" s="749">
        <v>22</v>
      </c>
      <c r="O290" s="749">
        <v>33.9</v>
      </c>
      <c r="P290" s="749">
        <v>0.7</v>
      </c>
      <c r="Q290" s="749">
        <v>0</v>
      </c>
      <c r="R290" s="785">
        <v>0.12</v>
      </c>
      <c r="S290" s="785">
        <v>0.04</v>
      </c>
      <c r="T290" s="749">
        <v>1.25</v>
      </c>
      <c r="U290" s="592">
        <v>0.438</v>
      </c>
      <c r="V290" s="592">
        <v>4.3999999999999997E-2</v>
      </c>
      <c r="W290" s="1004">
        <v>26</v>
      </c>
      <c r="X290" s="1031">
        <v>0</v>
      </c>
      <c r="Y290" s="1018">
        <v>0</v>
      </c>
      <c r="Z290" s="749">
        <v>0</v>
      </c>
      <c r="AA290" s="592">
        <v>0</v>
      </c>
      <c r="AB290" s="592">
        <v>0.06</v>
      </c>
      <c r="AC290" s="592">
        <v>0.3</v>
      </c>
    </row>
    <row r="291" spans="2:29" s="35" customFormat="1" ht="14.1" hidden="1" customHeight="1" x14ac:dyDescent="0.25">
      <c r="B291" s="405"/>
      <c r="C291" s="588" t="s">
        <v>490</v>
      </c>
      <c r="D291" s="570" t="s">
        <v>449</v>
      </c>
      <c r="E291" s="571" t="s">
        <v>175</v>
      </c>
      <c r="F291" s="572" t="s">
        <v>489</v>
      </c>
      <c r="G291" s="749">
        <v>340</v>
      </c>
      <c r="H291" s="749">
        <v>13.21</v>
      </c>
      <c r="I291" s="749">
        <v>2.5</v>
      </c>
      <c r="J291" s="749">
        <v>34</v>
      </c>
      <c r="K291" s="749">
        <v>0.41</v>
      </c>
      <c r="L291" s="749"/>
      <c r="M291" s="749">
        <v>3.6</v>
      </c>
      <c r="N291" s="749">
        <v>137</v>
      </c>
      <c r="O291" s="749">
        <v>61.8</v>
      </c>
      <c r="P291" s="749">
        <v>2.6</v>
      </c>
      <c r="Q291" s="749">
        <v>0</v>
      </c>
      <c r="R291" s="785">
        <v>0.502</v>
      </c>
      <c r="S291" s="785">
        <v>0.16500000000000001</v>
      </c>
      <c r="T291" s="749">
        <v>4.9569999999999999</v>
      </c>
      <c r="U291" s="592">
        <v>0.60299999999999998</v>
      </c>
      <c r="V291" s="592">
        <v>0.40699999999999997</v>
      </c>
      <c r="W291" s="1004">
        <v>44</v>
      </c>
      <c r="X291" s="1031">
        <v>0</v>
      </c>
      <c r="Y291" s="1018">
        <v>0</v>
      </c>
      <c r="Z291" s="749">
        <v>0</v>
      </c>
      <c r="AA291" s="592">
        <v>0</v>
      </c>
      <c r="AB291" s="592">
        <v>0.71</v>
      </c>
      <c r="AC291" s="592">
        <v>1.9</v>
      </c>
    </row>
    <row r="292" spans="2:29" s="35" customFormat="1" ht="14.1" hidden="1" customHeight="1" x14ac:dyDescent="0.25">
      <c r="B292" s="405"/>
      <c r="C292" s="588" t="s">
        <v>491</v>
      </c>
      <c r="D292" s="570" t="s">
        <v>677</v>
      </c>
      <c r="E292" s="571" t="s">
        <v>175</v>
      </c>
      <c r="F292" s="608" t="s">
        <v>865</v>
      </c>
      <c r="G292" s="749">
        <v>334.66666666666669</v>
      </c>
      <c r="H292" s="749">
        <v>12.340000000000002</v>
      </c>
      <c r="I292" s="749">
        <v>1.8650000000000002</v>
      </c>
      <c r="J292" s="749">
        <v>30.166666666666668</v>
      </c>
      <c r="K292" s="749">
        <v>0.43933333333333335</v>
      </c>
      <c r="L292" s="749"/>
      <c r="M292" s="749">
        <v>3.9083333333333337</v>
      </c>
      <c r="N292" s="749">
        <v>117.16666666666667</v>
      </c>
      <c r="O292" s="749">
        <v>76.933333333333337</v>
      </c>
      <c r="P292" s="749">
        <v>3.1683333333333334</v>
      </c>
      <c r="Q292" s="749">
        <v>0</v>
      </c>
      <c r="R292" s="785">
        <v>0.41616666666666674</v>
      </c>
      <c r="S292" s="785">
        <v>0.10949999999999999</v>
      </c>
      <c r="T292" s="749">
        <v>5.3098333333333336</v>
      </c>
      <c r="U292" s="592">
        <v>0.91299999999999981</v>
      </c>
      <c r="V292" s="592">
        <v>0.34549999999999997</v>
      </c>
      <c r="W292" s="1004">
        <v>40.666666666666664</v>
      </c>
      <c r="X292" s="1031">
        <v>0</v>
      </c>
      <c r="Y292" s="1018">
        <v>0</v>
      </c>
      <c r="Z292" s="749">
        <v>0</v>
      </c>
      <c r="AA292" s="592">
        <v>0</v>
      </c>
      <c r="AB292" s="592">
        <v>1.01</v>
      </c>
      <c r="AC292" s="592">
        <v>1.9</v>
      </c>
    </row>
    <row r="293" spans="2:29" s="35" customFormat="1" ht="14.1" hidden="1" customHeight="1" x14ac:dyDescent="0.25">
      <c r="B293" s="405"/>
      <c r="C293" s="596" t="s">
        <v>93</v>
      </c>
      <c r="D293" s="598" t="s">
        <v>94</v>
      </c>
      <c r="E293" s="607" t="s">
        <v>247</v>
      </c>
      <c r="F293" s="639" t="s">
        <v>758</v>
      </c>
      <c r="G293" s="758">
        <v>378.75</v>
      </c>
      <c r="H293" s="758">
        <v>17.43</v>
      </c>
      <c r="I293" s="758">
        <v>6.12</v>
      </c>
      <c r="J293" s="758">
        <v>409</v>
      </c>
      <c r="K293" s="758">
        <v>0.375</v>
      </c>
      <c r="L293" s="758">
        <v>40</v>
      </c>
      <c r="M293" s="758">
        <v>8.34</v>
      </c>
      <c r="N293" s="758"/>
      <c r="O293" s="758">
        <v>29.52</v>
      </c>
      <c r="P293" s="758">
        <v>6.7</v>
      </c>
      <c r="Q293" s="758">
        <v>504.24</v>
      </c>
      <c r="R293" s="1063">
        <v>0.39800000000000002</v>
      </c>
      <c r="S293" s="1063">
        <v>0.61899999999999999</v>
      </c>
      <c r="T293" s="758">
        <v>9.1720000000000006</v>
      </c>
      <c r="U293" s="645">
        <v>2.04</v>
      </c>
      <c r="V293" s="645">
        <v>1.0920000000000001</v>
      </c>
      <c r="W293" s="1009">
        <v>172.25</v>
      </c>
      <c r="X293" s="1036">
        <v>60</v>
      </c>
      <c r="Y293" s="1023">
        <v>2</v>
      </c>
      <c r="Z293" s="758">
        <v>101.15</v>
      </c>
      <c r="AA293" s="645">
        <v>6</v>
      </c>
      <c r="AB293" s="645">
        <v>9.49</v>
      </c>
      <c r="AC293" s="645"/>
    </row>
    <row r="294" spans="2:29" s="35" customFormat="1" ht="14.1" hidden="1" customHeight="1" x14ac:dyDescent="0.25">
      <c r="B294" s="405"/>
      <c r="C294" s="596" t="s">
        <v>93</v>
      </c>
      <c r="D294" s="598" t="s">
        <v>94</v>
      </c>
      <c r="E294" s="607" t="s">
        <v>247</v>
      </c>
      <c r="F294" s="639" t="s">
        <v>675</v>
      </c>
      <c r="G294" s="758">
        <v>400.9</v>
      </c>
      <c r="H294" s="758">
        <v>18.149999999999999</v>
      </c>
      <c r="I294" s="758">
        <v>9.9700000000000006</v>
      </c>
      <c r="J294" s="758">
        <v>506.65</v>
      </c>
      <c r="K294" s="758">
        <v>0.34499999999999997</v>
      </c>
      <c r="L294" s="758">
        <v>58.8</v>
      </c>
      <c r="M294" s="758">
        <v>8.1300000000000008</v>
      </c>
      <c r="N294" s="758"/>
      <c r="O294" s="758">
        <v>24.65</v>
      </c>
      <c r="P294" s="758">
        <v>6.88</v>
      </c>
      <c r="Q294" s="758">
        <v>504.78</v>
      </c>
      <c r="R294" s="1063">
        <v>0.40200000000000002</v>
      </c>
      <c r="S294" s="1063">
        <v>0.73099999999999998</v>
      </c>
      <c r="T294" s="758">
        <v>8.99</v>
      </c>
      <c r="U294" s="645">
        <v>2.238</v>
      </c>
      <c r="V294" s="645">
        <v>1.113</v>
      </c>
      <c r="W294" s="1009">
        <v>171.25</v>
      </c>
      <c r="X294" s="1036">
        <v>60</v>
      </c>
      <c r="Y294" s="1023">
        <v>2.3199999999999998</v>
      </c>
      <c r="Z294" s="758">
        <v>101.69</v>
      </c>
      <c r="AA294" s="645">
        <v>6.66</v>
      </c>
      <c r="AB294" s="645">
        <v>9.85</v>
      </c>
      <c r="AC294" s="645"/>
    </row>
    <row r="295" spans="2:29" s="35" customFormat="1" ht="14.1" hidden="1" customHeight="1" x14ac:dyDescent="0.25">
      <c r="B295" s="405"/>
      <c r="C295" s="596" t="s">
        <v>93</v>
      </c>
      <c r="D295" s="598" t="s">
        <v>94</v>
      </c>
      <c r="E295" s="607" t="s">
        <v>247</v>
      </c>
      <c r="F295" s="640" t="s">
        <v>676</v>
      </c>
      <c r="G295" s="645">
        <v>381.3</v>
      </c>
      <c r="H295" s="645">
        <v>16.399999999999999</v>
      </c>
      <c r="I295" s="645">
        <v>6</v>
      </c>
      <c r="J295" s="645">
        <v>407.8</v>
      </c>
      <c r="K295" s="645">
        <v>0.4</v>
      </c>
      <c r="L295" s="645">
        <v>40</v>
      </c>
      <c r="M295" s="645">
        <v>8.1999999999999993</v>
      </c>
      <c r="N295" s="645"/>
      <c r="O295" s="645">
        <v>26.3</v>
      </c>
      <c r="P295" s="645">
        <v>6.6</v>
      </c>
      <c r="Q295" s="645">
        <v>504.24</v>
      </c>
      <c r="R295" s="1069">
        <v>0.4</v>
      </c>
      <c r="S295" s="1069">
        <v>0.6</v>
      </c>
      <c r="T295" s="645">
        <v>9.1</v>
      </c>
      <c r="U295" s="645">
        <v>2</v>
      </c>
      <c r="V295" s="645">
        <v>1.1000000000000001</v>
      </c>
      <c r="W295" s="1009">
        <v>170.3</v>
      </c>
      <c r="X295" s="1036">
        <v>60</v>
      </c>
      <c r="Y295" s="1023">
        <v>2</v>
      </c>
      <c r="Z295" s="645">
        <v>101.2</v>
      </c>
      <c r="AA295" s="645">
        <v>6</v>
      </c>
      <c r="AB295" s="645">
        <v>9.5</v>
      </c>
      <c r="AC295" s="645"/>
    </row>
    <row r="296" spans="2:29" s="35" customFormat="1" ht="14.1" hidden="1" customHeight="1" x14ac:dyDescent="0.25">
      <c r="B296" s="405"/>
      <c r="C296" s="588" t="s">
        <v>492</v>
      </c>
      <c r="D296" s="570" t="s">
        <v>449</v>
      </c>
      <c r="E296" s="571" t="s">
        <v>177</v>
      </c>
      <c r="F296" s="608" t="s">
        <v>493</v>
      </c>
      <c r="G296" s="749">
        <v>118</v>
      </c>
      <c r="H296" s="749">
        <v>1.53</v>
      </c>
      <c r="I296" s="749">
        <v>0.17</v>
      </c>
      <c r="J296" s="749">
        <v>17</v>
      </c>
      <c r="K296" s="749">
        <v>0.17799999999999999</v>
      </c>
      <c r="L296" s="749"/>
      <c r="M296" s="749">
        <v>0.54</v>
      </c>
      <c r="N296" s="749">
        <v>21</v>
      </c>
      <c r="O296" s="749">
        <v>0.7</v>
      </c>
      <c r="P296" s="749">
        <v>0.24</v>
      </c>
      <c r="Q296" s="749">
        <v>7</v>
      </c>
      <c r="R296" s="785">
        <v>0.112</v>
      </c>
      <c r="S296" s="785">
        <v>3.2000000000000001E-2</v>
      </c>
      <c r="T296" s="749">
        <v>0.55200000000000005</v>
      </c>
      <c r="U296" s="592">
        <v>0.314</v>
      </c>
      <c r="V296" s="592">
        <v>0.29299999999999998</v>
      </c>
      <c r="W296" s="1004">
        <v>23</v>
      </c>
      <c r="X296" s="1031">
        <v>0</v>
      </c>
      <c r="Y296" s="1018">
        <v>0</v>
      </c>
      <c r="Z296" s="749">
        <v>17.100000000000001</v>
      </c>
      <c r="AA296" s="592">
        <v>0</v>
      </c>
      <c r="AB296" s="592">
        <v>0.35</v>
      </c>
      <c r="AC296" s="592">
        <v>2.2999999999999998</v>
      </c>
    </row>
    <row r="297" spans="2:29" ht="14.1" hidden="1" customHeight="1" x14ac:dyDescent="0.25">
      <c r="B297" s="470"/>
      <c r="C297" s="588" t="s">
        <v>938</v>
      </c>
      <c r="D297" s="570" t="s">
        <v>937</v>
      </c>
      <c r="E297" s="1077" t="s">
        <v>178</v>
      </c>
      <c r="F297" s="608" t="s">
        <v>936</v>
      </c>
      <c r="G297" s="749">
        <v>61</v>
      </c>
      <c r="H297" s="749">
        <v>3.47</v>
      </c>
      <c r="I297" s="749">
        <v>3.25</v>
      </c>
      <c r="J297" s="749">
        <v>121</v>
      </c>
      <c r="K297" s="749">
        <v>8.9999999999999993E-3</v>
      </c>
      <c r="L297" s="749"/>
      <c r="M297" s="749">
        <v>0.05</v>
      </c>
      <c r="N297" s="749">
        <v>12</v>
      </c>
      <c r="O297" s="749">
        <v>2.2000000000000002</v>
      </c>
      <c r="P297" s="749">
        <v>0.59</v>
      </c>
      <c r="Q297" s="749">
        <v>27</v>
      </c>
      <c r="R297" s="785">
        <v>2.9000000000000001E-2</v>
      </c>
      <c r="S297" s="785">
        <v>0.14000000000000001</v>
      </c>
      <c r="T297" s="749">
        <v>7.4999999999999997E-2</v>
      </c>
      <c r="U297" s="592">
        <v>0.38900000000000001</v>
      </c>
      <c r="V297" s="592">
        <v>3.2000000000000001E-2</v>
      </c>
      <c r="W297" s="1004">
        <v>7</v>
      </c>
      <c r="X297" s="1031">
        <v>0</v>
      </c>
      <c r="Y297" s="1018">
        <v>0.37</v>
      </c>
      <c r="Z297" s="749">
        <v>0.5</v>
      </c>
      <c r="AA297" s="592">
        <v>0.1</v>
      </c>
      <c r="AB297" s="592">
        <v>0.06</v>
      </c>
      <c r="AC297" s="592">
        <v>0.2</v>
      </c>
    </row>
    <row r="298" spans="2:29" s="35" customFormat="1" ht="14.1" hidden="1" customHeight="1" x14ac:dyDescent="0.25">
      <c r="B298" s="405"/>
      <c r="C298" s="369"/>
      <c r="D298" s="465"/>
      <c r="E298" s="468"/>
      <c r="F298" s="465"/>
      <c r="G298" s="765"/>
      <c r="H298" s="765"/>
      <c r="I298" s="765"/>
      <c r="J298" s="765"/>
      <c r="K298" s="765"/>
      <c r="L298" s="765"/>
      <c r="M298" s="765"/>
      <c r="N298" s="765"/>
      <c r="O298" s="765"/>
      <c r="P298" s="765"/>
      <c r="Q298" s="765"/>
      <c r="R298" s="765"/>
      <c r="S298" s="765"/>
      <c r="T298" s="765"/>
      <c r="U298" s="766"/>
      <c r="V298" s="766"/>
      <c r="W298" s="1013"/>
      <c r="X298" s="1040"/>
      <c r="Y298" s="1026"/>
      <c r="Z298" s="765"/>
      <c r="AA298" s="766"/>
      <c r="AB298" s="766"/>
      <c r="AC298" s="766"/>
    </row>
    <row r="299" spans="2:29" s="35" customFormat="1" ht="14.1" hidden="1" customHeight="1" x14ac:dyDescent="0.25">
      <c r="B299" s="405"/>
      <c r="C299" s="373"/>
      <c r="D299" s="466"/>
      <c r="E299" s="403"/>
      <c r="F299" s="466"/>
      <c r="G299" s="767"/>
      <c r="H299" s="767"/>
      <c r="I299" s="767"/>
      <c r="J299" s="767"/>
      <c r="K299" s="767"/>
      <c r="L299" s="767"/>
      <c r="M299" s="767"/>
      <c r="N299" s="767"/>
      <c r="O299" s="767"/>
      <c r="P299" s="767"/>
      <c r="Q299" s="767"/>
      <c r="R299" s="767"/>
      <c r="S299" s="767"/>
      <c r="T299" s="767"/>
      <c r="U299" s="768"/>
      <c r="V299" s="768"/>
      <c r="W299" s="1014"/>
      <c r="X299" s="1041"/>
      <c r="Y299" s="1027"/>
      <c r="Z299" s="767"/>
      <c r="AA299" s="768"/>
      <c r="AB299" s="768"/>
      <c r="AC299" s="768"/>
    </row>
    <row r="300" spans="2:29" s="35" customFormat="1" ht="14.1" hidden="1" customHeight="1" x14ac:dyDescent="0.25">
      <c r="B300" s="405"/>
      <c r="C300" s="373"/>
      <c r="D300" s="466"/>
      <c r="E300" s="403"/>
      <c r="F300" s="466"/>
      <c r="G300" s="767"/>
      <c r="H300" s="767"/>
      <c r="I300" s="767"/>
      <c r="J300" s="767"/>
      <c r="K300" s="767"/>
      <c r="L300" s="767"/>
      <c r="M300" s="767"/>
      <c r="N300" s="767"/>
      <c r="O300" s="767"/>
      <c r="P300" s="767"/>
      <c r="Q300" s="767"/>
      <c r="R300" s="767"/>
      <c r="S300" s="767"/>
      <c r="T300" s="767"/>
      <c r="U300" s="768"/>
      <c r="V300" s="768"/>
      <c r="W300" s="1014"/>
      <c r="X300" s="1041"/>
      <c r="Y300" s="1027"/>
      <c r="Z300" s="767"/>
      <c r="AA300" s="768"/>
      <c r="AB300" s="768"/>
      <c r="AC300" s="768"/>
    </row>
    <row r="301" spans="2:29" s="35" customFormat="1" ht="14.1" hidden="1" customHeight="1" x14ac:dyDescent="0.25">
      <c r="B301" s="405"/>
      <c r="C301" s="373"/>
      <c r="D301" s="466"/>
      <c r="E301" s="403"/>
      <c r="F301" s="466"/>
      <c r="G301" s="767"/>
      <c r="H301" s="767"/>
      <c r="I301" s="767"/>
      <c r="J301" s="767"/>
      <c r="K301" s="767"/>
      <c r="L301" s="767"/>
      <c r="M301" s="767"/>
      <c r="N301" s="767"/>
      <c r="O301" s="767"/>
      <c r="P301" s="767"/>
      <c r="Q301" s="767"/>
      <c r="R301" s="767"/>
      <c r="S301" s="767"/>
      <c r="T301" s="767"/>
      <c r="U301" s="768"/>
      <c r="V301" s="768"/>
      <c r="W301" s="1014"/>
      <c r="X301" s="1041"/>
      <c r="Y301" s="1027"/>
      <c r="Z301" s="767"/>
      <c r="AA301" s="768"/>
      <c r="AB301" s="768"/>
      <c r="AC301" s="768"/>
    </row>
    <row r="302" spans="2:29" s="35" customFormat="1" ht="14.1" hidden="1" customHeight="1" x14ac:dyDescent="0.25">
      <c r="B302" s="405"/>
      <c r="C302" s="373"/>
      <c r="D302" s="466"/>
      <c r="E302" s="403"/>
      <c r="F302" s="466"/>
      <c r="G302" s="767"/>
      <c r="H302" s="767"/>
      <c r="I302" s="767"/>
      <c r="J302" s="767"/>
      <c r="K302" s="767"/>
      <c r="L302" s="767"/>
      <c r="M302" s="767"/>
      <c r="N302" s="767"/>
      <c r="O302" s="767"/>
      <c r="P302" s="767"/>
      <c r="Q302" s="767"/>
      <c r="R302" s="767"/>
      <c r="S302" s="767"/>
      <c r="T302" s="767"/>
      <c r="U302" s="768"/>
      <c r="V302" s="768"/>
      <c r="W302" s="1014"/>
      <c r="X302" s="1041"/>
      <c r="Y302" s="1027"/>
      <c r="Z302" s="767"/>
      <c r="AA302" s="768"/>
      <c r="AB302" s="768"/>
      <c r="AC302" s="768"/>
    </row>
    <row r="303" spans="2:29" s="35" customFormat="1" ht="14.1" hidden="1" customHeight="1" x14ac:dyDescent="0.25">
      <c r="B303" s="405"/>
      <c r="C303" s="373"/>
      <c r="D303" s="466"/>
      <c r="E303" s="403"/>
      <c r="F303" s="466"/>
      <c r="G303" s="767"/>
      <c r="H303" s="767"/>
      <c r="I303" s="767"/>
      <c r="J303" s="767"/>
      <c r="K303" s="767"/>
      <c r="L303" s="767"/>
      <c r="M303" s="767"/>
      <c r="N303" s="767"/>
      <c r="O303" s="767"/>
      <c r="P303" s="767"/>
      <c r="Q303" s="767"/>
      <c r="R303" s="767"/>
      <c r="S303" s="767"/>
      <c r="T303" s="767"/>
      <c r="U303" s="768"/>
      <c r="V303" s="768"/>
      <c r="W303" s="1014"/>
      <c r="X303" s="1041"/>
      <c r="Y303" s="1027"/>
      <c r="Z303" s="767"/>
      <c r="AA303" s="768"/>
      <c r="AB303" s="768"/>
      <c r="AC303" s="768"/>
    </row>
    <row r="304" spans="2:29" s="35" customFormat="1" ht="14.1" hidden="1" customHeight="1" x14ac:dyDescent="0.25">
      <c r="B304" s="405"/>
      <c r="C304" s="373"/>
      <c r="D304" s="466"/>
      <c r="E304" s="403"/>
      <c r="F304" s="466"/>
      <c r="G304" s="767"/>
      <c r="H304" s="767"/>
      <c r="I304" s="767"/>
      <c r="J304" s="767"/>
      <c r="K304" s="767"/>
      <c r="L304" s="767"/>
      <c r="M304" s="767"/>
      <c r="N304" s="767"/>
      <c r="O304" s="767"/>
      <c r="P304" s="767"/>
      <c r="Q304" s="767"/>
      <c r="R304" s="767"/>
      <c r="S304" s="767"/>
      <c r="T304" s="767"/>
      <c r="U304" s="768"/>
      <c r="V304" s="768"/>
      <c r="W304" s="1014"/>
      <c r="X304" s="1041"/>
      <c r="Y304" s="1027"/>
      <c r="Z304" s="767"/>
      <c r="AA304" s="768"/>
      <c r="AB304" s="768"/>
      <c r="AC304" s="768"/>
    </row>
    <row r="305" spans="2:29" s="35" customFormat="1" ht="14.1" hidden="1" customHeight="1" x14ac:dyDescent="0.25">
      <c r="B305" s="405"/>
      <c r="C305" s="373"/>
      <c r="D305" s="466"/>
      <c r="E305" s="403"/>
      <c r="F305" s="466"/>
      <c r="G305" s="767"/>
      <c r="H305" s="767"/>
      <c r="I305" s="767"/>
      <c r="J305" s="767"/>
      <c r="K305" s="767"/>
      <c r="L305" s="767"/>
      <c r="M305" s="767"/>
      <c r="N305" s="767"/>
      <c r="O305" s="767"/>
      <c r="P305" s="767"/>
      <c r="Q305" s="767"/>
      <c r="R305" s="767"/>
      <c r="S305" s="767"/>
      <c r="T305" s="767"/>
      <c r="U305" s="768"/>
      <c r="V305" s="768"/>
      <c r="W305" s="1014"/>
      <c r="X305" s="1041"/>
      <c r="Y305" s="1027"/>
      <c r="Z305" s="767"/>
      <c r="AA305" s="768"/>
      <c r="AB305" s="768"/>
      <c r="AC305" s="768"/>
    </row>
    <row r="306" spans="2:29" s="35" customFormat="1" ht="14.1" hidden="1" customHeight="1" x14ac:dyDescent="0.25">
      <c r="B306" s="405"/>
      <c r="C306" s="373"/>
      <c r="D306" s="466"/>
      <c r="E306" s="403"/>
      <c r="F306" s="466"/>
      <c r="G306" s="767"/>
      <c r="H306" s="767"/>
      <c r="I306" s="767"/>
      <c r="J306" s="767"/>
      <c r="K306" s="767"/>
      <c r="L306" s="767"/>
      <c r="M306" s="767"/>
      <c r="N306" s="767"/>
      <c r="O306" s="767"/>
      <c r="P306" s="767"/>
      <c r="Q306" s="767"/>
      <c r="R306" s="767"/>
      <c r="S306" s="767"/>
      <c r="T306" s="767"/>
      <c r="U306" s="768"/>
      <c r="V306" s="768"/>
      <c r="W306" s="1014"/>
      <c r="X306" s="1041"/>
      <c r="Y306" s="1027"/>
      <c r="Z306" s="767"/>
      <c r="AA306" s="768"/>
      <c r="AB306" s="768"/>
      <c r="AC306" s="768"/>
    </row>
    <row r="307" spans="2:29" s="35" customFormat="1" ht="14.1" hidden="1" customHeight="1" x14ac:dyDescent="0.25">
      <c r="B307" s="405"/>
      <c r="C307" s="373"/>
      <c r="D307" s="466"/>
      <c r="E307" s="403"/>
      <c r="F307" s="466"/>
      <c r="G307" s="767"/>
      <c r="H307" s="767"/>
      <c r="I307" s="767"/>
      <c r="J307" s="767"/>
      <c r="K307" s="767"/>
      <c r="L307" s="767"/>
      <c r="M307" s="767"/>
      <c r="N307" s="767"/>
      <c r="O307" s="767"/>
      <c r="P307" s="767"/>
      <c r="Q307" s="767"/>
      <c r="R307" s="767"/>
      <c r="S307" s="767"/>
      <c r="T307" s="767"/>
      <c r="U307" s="768"/>
      <c r="V307" s="768"/>
      <c r="W307" s="1014"/>
      <c r="X307" s="1041"/>
      <c r="Y307" s="1027"/>
      <c r="Z307" s="767"/>
      <c r="AA307" s="768"/>
      <c r="AB307" s="768"/>
      <c r="AC307" s="768"/>
    </row>
    <row r="308" spans="2:29" s="35" customFormat="1" ht="14.1" hidden="1" customHeight="1" x14ac:dyDescent="0.25">
      <c r="B308" s="405"/>
      <c r="C308" s="373"/>
      <c r="D308" s="466"/>
      <c r="E308" s="403"/>
      <c r="F308" s="466"/>
      <c r="G308" s="767"/>
      <c r="H308" s="767"/>
      <c r="I308" s="767"/>
      <c r="J308" s="767"/>
      <c r="K308" s="767"/>
      <c r="L308" s="767"/>
      <c r="M308" s="767"/>
      <c r="N308" s="767"/>
      <c r="O308" s="767"/>
      <c r="P308" s="767"/>
      <c r="Q308" s="767"/>
      <c r="R308" s="767"/>
      <c r="S308" s="767"/>
      <c r="T308" s="767"/>
      <c r="U308" s="768"/>
      <c r="V308" s="768"/>
      <c r="W308" s="1014"/>
      <c r="X308" s="1041"/>
      <c r="Y308" s="1027"/>
      <c r="Z308" s="767"/>
      <c r="AA308" s="768"/>
      <c r="AB308" s="768"/>
      <c r="AC308" s="768"/>
    </row>
    <row r="309" spans="2:29" s="35" customFormat="1" ht="14.1" hidden="1" customHeight="1" x14ac:dyDescent="0.25">
      <c r="B309" s="405"/>
      <c r="C309" s="373"/>
      <c r="D309" s="466"/>
      <c r="E309" s="403"/>
      <c r="F309" s="466"/>
      <c r="G309" s="767"/>
      <c r="H309" s="767"/>
      <c r="I309" s="767"/>
      <c r="J309" s="767"/>
      <c r="K309" s="767"/>
      <c r="L309" s="767"/>
      <c r="M309" s="767"/>
      <c r="N309" s="767"/>
      <c r="O309" s="767"/>
      <c r="P309" s="767"/>
      <c r="Q309" s="767"/>
      <c r="R309" s="767"/>
      <c r="S309" s="767"/>
      <c r="T309" s="767"/>
      <c r="U309" s="768"/>
      <c r="V309" s="768"/>
      <c r="W309" s="1014"/>
      <c r="X309" s="1041"/>
      <c r="Y309" s="1027"/>
      <c r="Z309" s="767"/>
      <c r="AA309" s="768"/>
      <c r="AB309" s="768"/>
      <c r="AC309" s="768"/>
    </row>
    <row r="310" spans="2:29" s="35" customFormat="1" ht="14.1" hidden="1" customHeight="1" x14ac:dyDescent="0.25">
      <c r="B310" s="405"/>
      <c r="C310" s="373"/>
      <c r="D310" s="466"/>
      <c r="E310" s="403"/>
      <c r="F310" s="466"/>
      <c r="G310" s="767"/>
      <c r="H310" s="767"/>
      <c r="I310" s="767"/>
      <c r="J310" s="767"/>
      <c r="K310" s="767"/>
      <c r="L310" s="767"/>
      <c r="M310" s="767"/>
      <c r="N310" s="767"/>
      <c r="O310" s="767"/>
      <c r="P310" s="767"/>
      <c r="Q310" s="767"/>
      <c r="R310" s="767"/>
      <c r="S310" s="767"/>
      <c r="T310" s="767"/>
      <c r="U310" s="768"/>
      <c r="V310" s="768"/>
      <c r="W310" s="1014"/>
      <c r="X310" s="1041"/>
      <c r="Y310" s="1027"/>
      <c r="Z310" s="767"/>
      <c r="AA310" s="768"/>
      <c r="AB310" s="768"/>
      <c r="AC310" s="768"/>
    </row>
    <row r="311" spans="2:29" s="35" customFormat="1" ht="14.1" hidden="1" customHeight="1" x14ac:dyDescent="0.25">
      <c r="B311" s="405"/>
      <c r="C311" s="373"/>
      <c r="D311" s="466"/>
      <c r="E311" s="403"/>
      <c r="F311" s="466"/>
      <c r="G311" s="767"/>
      <c r="H311" s="767"/>
      <c r="I311" s="767"/>
      <c r="J311" s="767"/>
      <c r="K311" s="767"/>
      <c r="L311" s="767"/>
      <c r="M311" s="767"/>
      <c r="N311" s="767"/>
      <c r="O311" s="767"/>
      <c r="P311" s="767"/>
      <c r="Q311" s="767"/>
      <c r="R311" s="767"/>
      <c r="S311" s="767"/>
      <c r="T311" s="767"/>
      <c r="U311" s="768"/>
      <c r="V311" s="768"/>
      <c r="W311" s="1014"/>
      <c r="X311" s="1041"/>
      <c r="Y311" s="1027"/>
      <c r="Z311" s="767"/>
      <c r="AA311" s="768"/>
      <c r="AB311" s="768"/>
      <c r="AC311" s="768"/>
    </row>
    <row r="312" spans="2:29" s="35" customFormat="1" ht="14.1" hidden="1" customHeight="1" x14ac:dyDescent="0.25">
      <c r="B312" s="405"/>
      <c r="C312" s="373"/>
      <c r="D312" s="466"/>
      <c r="E312" s="403"/>
      <c r="F312" s="466"/>
      <c r="G312" s="769"/>
      <c r="H312" s="769"/>
      <c r="I312" s="769"/>
      <c r="J312" s="769"/>
      <c r="K312" s="769"/>
      <c r="L312" s="769"/>
      <c r="M312" s="769"/>
      <c r="N312" s="769"/>
      <c r="O312" s="769"/>
      <c r="P312" s="769"/>
      <c r="Q312" s="769"/>
      <c r="R312" s="769"/>
      <c r="S312" s="769"/>
      <c r="T312" s="769"/>
      <c r="U312" s="768"/>
      <c r="V312" s="768"/>
      <c r="W312" s="1014"/>
      <c r="X312" s="1041"/>
      <c r="Y312" s="1027"/>
      <c r="Z312" s="769"/>
      <c r="AA312" s="768"/>
      <c r="AB312" s="768"/>
      <c r="AC312" s="768"/>
    </row>
    <row r="313" spans="2:29" s="35" customFormat="1" ht="14.1" hidden="1" customHeight="1" x14ac:dyDescent="0.25">
      <c r="B313" s="405"/>
      <c r="C313" s="373"/>
      <c r="D313" s="466"/>
      <c r="E313" s="403"/>
      <c r="F313" s="466"/>
      <c r="G313" s="769"/>
      <c r="H313" s="769"/>
      <c r="I313" s="769"/>
      <c r="J313" s="769"/>
      <c r="K313" s="769"/>
      <c r="L313" s="769"/>
      <c r="M313" s="769"/>
      <c r="N313" s="769"/>
      <c r="O313" s="769"/>
      <c r="P313" s="769"/>
      <c r="Q313" s="769"/>
      <c r="R313" s="769"/>
      <c r="S313" s="769"/>
      <c r="T313" s="769"/>
      <c r="U313" s="768"/>
      <c r="V313" s="768"/>
      <c r="W313" s="1014"/>
      <c r="X313" s="1041"/>
      <c r="Y313" s="1027"/>
      <c r="Z313" s="769"/>
      <c r="AA313" s="768"/>
      <c r="AB313" s="768"/>
      <c r="AC313" s="768"/>
    </row>
    <row r="314" spans="2:29" s="35" customFormat="1" ht="14.1" hidden="1" customHeight="1" x14ac:dyDescent="0.25">
      <c r="B314" s="405"/>
      <c r="C314" s="373"/>
      <c r="D314" s="466"/>
      <c r="E314" s="403"/>
      <c r="F314" s="466"/>
      <c r="G314" s="769"/>
      <c r="H314" s="769"/>
      <c r="I314" s="769"/>
      <c r="J314" s="769"/>
      <c r="K314" s="769"/>
      <c r="L314" s="769"/>
      <c r="M314" s="769"/>
      <c r="N314" s="769"/>
      <c r="O314" s="769"/>
      <c r="P314" s="769"/>
      <c r="Q314" s="769"/>
      <c r="R314" s="769"/>
      <c r="S314" s="769"/>
      <c r="T314" s="769"/>
      <c r="U314" s="768"/>
      <c r="V314" s="768"/>
      <c r="W314" s="1014"/>
      <c r="X314" s="1041"/>
      <c r="Y314" s="1027"/>
      <c r="Z314" s="769"/>
      <c r="AA314" s="768"/>
      <c r="AB314" s="768"/>
      <c r="AC314" s="768"/>
    </row>
    <row r="315" spans="2:29" s="35" customFormat="1" ht="14.1" hidden="1" customHeight="1" x14ac:dyDescent="0.25">
      <c r="B315" s="405"/>
      <c r="C315" s="373"/>
      <c r="D315" s="466"/>
      <c r="E315" s="403"/>
      <c r="F315" s="466"/>
      <c r="G315" s="769"/>
      <c r="H315" s="769"/>
      <c r="I315" s="769"/>
      <c r="J315" s="769"/>
      <c r="K315" s="769"/>
      <c r="L315" s="769"/>
      <c r="M315" s="769"/>
      <c r="N315" s="769"/>
      <c r="O315" s="769"/>
      <c r="P315" s="769"/>
      <c r="Q315" s="769"/>
      <c r="R315" s="769"/>
      <c r="S315" s="769"/>
      <c r="T315" s="769"/>
      <c r="U315" s="768"/>
      <c r="V315" s="768"/>
      <c r="W315" s="1014"/>
      <c r="X315" s="1041"/>
      <c r="Y315" s="1027"/>
      <c r="Z315" s="769"/>
      <c r="AA315" s="768"/>
      <c r="AB315" s="768"/>
      <c r="AC315" s="768"/>
    </row>
    <row r="316" spans="2:29" s="35" customFormat="1" ht="14.1" hidden="1" customHeight="1" x14ac:dyDescent="0.25">
      <c r="B316" s="405"/>
      <c r="C316" s="373"/>
      <c r="D316" s="466"/>
      <c r="E316" s="403"/>
      <c r="F316" s="466"/>
      <c r="G316" s="769"/>
      <c r="H316" s="769"/>
      <c r="I316" s="769"/>
      <c r="J316" s="769"/>
      <c r="K316" s="769"/>
      <c r="L316" s="769"/>
      <c r="M316" s="769"/>
      <c r="N316" s="769"/>
      <c r="O316" s="769"/>
      <c r="P316" s="769"/>
      <c r="Q316" s="769"/>
      <c r="R316" s="769"/>
      <c r="S316" s="769"/>
      <c r="T316" s="769"/>
      <c r="U316" s="768"/>
      <c r="V316" s="768"/>
      <c r="W316" s="1014"/>
      <c r="X316" s="1041"/>
      <c r="Y316" s="1027"/>
      <c r="Z316" s="769"/>
      <c r="AA316" s="768"/>
      <c r="AB316" s="768"/>
      <c r="AC316" s="768"/>
    </row>
    <row r="317" spans="2:29" s="35" customFormat="1" ht="14.1" hidden="1" customHeight="1" x14ac:dyDescent="0.25">
      <c r="B317" s="405"/>
      <c r="C317" s="373"/>
      <c r="D317" s="466"/>
      <c r="E317" s="403"/>
      <c r="F317" s="466"/>
      <c r="G317" s="769"/>
      <c r="H317" s="769"/>
      <c r="I317" s="769"/>
      <c r="J317" s="769"/>
      <c r="K317" s="769"/>
      <c r="L317" s="769"/>
      <c r="M317" s="769"/>
      <c r="N317" s="769"/>
      <c r="O317" s="769"/>
      <c r="P317" s="769"/>
      <c r="Q317" s="769"/>
      <c r="R317" s="769"/>
      <c r="S317" s="769"/>
      <c r="T317" s="769"/>
      <c r="U317" s="768"/>
      <c r="V317" s="768"/>
      <c r="W317" s="1014"/>
      <c r="X317" s="1041"/>
      <c r="Y317" s="1027"/>
      <c r="Z317" s="769"/>
      <c r="AA317" s="768"/>
      <c r="AB317" s="768"/>
      <c r="AC317" s="768"/>
    </row>
    <row r="318" spans="2:29" s="35" customFormat="1" ht="14.1" hidden="1" customHeight="1" x14ac:dyDescent="0.25">
      <c r="B318" s="405"/>
      <c r="C318" s="373"/>
      <c r="D318" s="466"/>
      <c r="E318" s="403"/>
      <c r="F318" s="466"/>
      <c r="G318" s="769"/>
      <c r="H318" s="769"/>
      <c r="I318" s="769"/>
      <c r="J318" s="769"/>
      <c r="K318" s="769"/>
      <c r="L318" s="769"/>
      <c r="M318" s="769"/>
      <c r="N318" s="769"/>
      <c r="O318" s="769"/>
      <c r="P318" s="769"/>
      <c r="Q318" s="769"/>
      <c r="R318" s="769"/>
      <c r="S318" s="769"/>
      <c r="T318" s="769"/>
      <c r="U318" s="768"/>
      <c r="V318" s="768"/>
      <c r="W318" s="1014"/>
      <c r="X318" s="1041"/>
      <c r="Y318" s="1027"/>
      <c r="Z318" s="769"/>
      <c r="AA318" s="768"/>
      <c r="AB318" s="768"/>
      <c r="AC318" s="768"/>
    </row>
    <row r="319" spans="2:29" s="35" customFormat="1" ht="14.1" hidden="1" customHeight="1" x14ac:dyDescent="0.25">
      <c r="B319" s="405"/>
      <c r="C319" s="373"/>
      <c r="D319" s="466"/>
      <c r="E319" s="403"/>
      <c r="F319" s="466"/>
      <c r="G319" s="769"/>
      <c r="H319" s="769"/>
      <c r="I319" s="769"/>
      <c r="J319" s="769"/>
      <c r="K319" s="769"/>
      <c r="L319" s="769"/>
      <c r="M319" s="769"/>
      <c r="N319" s="769"/>
      <c r="O319" s="769"/>
      <c r="P319" s="769"/>
      <c r="Q319" s="769"/>
      <c r="R319" s="769"/>
      <c r="S319" s="769"/>
      <c r="T319" s="769"/>
      <c r="U319" s="768"/>
      <c r="V319" s="768"/>
      <c r="W319" s="1014"/>
      <c r="X319" s="1041"/>
      <c r="Y319" s="1027"/>
      <c r="Z319" s="769"/>
      <c r="AA319" s="768"/>
      <c r="AB319" s="768"/>
      <c r="AC319" s="768"/>
    </row>
    <row r="320" spans="2:29" s="35" customFormat="1" ht="14.1" hidden="1" customHeight="1" x14ac:dyDescent="0.25">
      <c r="B320" s="405"/>
      <c r="C320" s="373"/>
      <c r="D320" s="466"/>
      <c r="E320" s="403"/>
      <c r="F320" s="466"/>
      <c r="G320" s="769"/>
      <c r="H320" s="769"/>
      <c r="I320" s="769"/>
      <c r="J320" s="769"/>
      <c r="K320" s="769"/>
      <c r="L320" s="769"/>
      <c r="M320" s="769"/>
      <c r="N320" s="769"/>
      <c r="O320" s="769"/>
      <c r="P320" s="769"/>
      <c r="Q320" s="769"/>
      <c r="R320" s="769"/>
      <c r="S320" s="769"/>
      <c r="T320" s="769"/>
      <c r="U320" s="768"/>
      <c r="V320" s="768"/>
      <c r="W320" s="1014"/>
      <c r="X320" s="1041"/>
      <c r="Y320" s="1027"/>
      <c r="Z320" s="769"/>
      <c r="AA320" s="768"/>
      <c r="AB320" s="768"/>
      <c r="AC320" s="768"/>
    </row>
    <row r="321" spans="2:29" s="35" customFormat="1" ht="14.1" hidden="1" customHeight="1" x14ac:dyDescent="0.25">
      <c r="B321" s="405"/>
      <c r="C321" s="373"/>
      <c r="D321" s="466"/>
      <c r="E321" s="403"/>
      <c r="F321" s="466"/>
      <c r="G321" s="769"/>
      <c r="H321" s="769"/>
      <c r="I321" s="769"/>
      <c r="J321" s="769"/>
      <c r="K321" s="769"/>
      <c r="L321" s="769"/>
      <c r="M321" s="769"/>
      <c r="N321" s="769"/>
      <c r="O321" s="769"/>
      <c r="P321" s="769"/>
      <c r="Q321" s="769"/>
      <c r="R321" s="769"/>
      <c r="S321" s="769"/>
      <c r="T321" s="769"/>
      <c r="U321" s="768"/>
      <c r="V321" s="768"/>
      <c r="W321" s="1014"/>
      <c r="X321" s="1041"/>
      <c r="Y321" s="1027"/>
      <c r="Z321" s="769"/>
      <c r="AA321" s="768"/>
      <c r="AB321" s="768"/>
      <c r="AC321" s="768"/>
    </row>
    <row r="322" spans="2:29" s="35" customFormat="1" ht="14.1" hidden="1" customHeight="1" x14ac:dyDescent="0.25">
      <c r="B322" s="405"/>
      <c r="C322" s="373"/>
      <c r="D322" s="466"/>
      <c r="E322" s="403"/>
      <c r="F322" s="466"/>
      <c r="G322" s="769"/>
      <c r="H322" s="769"/>
      <c r="I322" s="769"/>
      <c r="J322" s="769"/>
      <c r="K322" s="769"/>
      <c r="L322" s="769"/>
      <c r="M322" s="769"/>
      <c r="N322" s="769"/>
      <c r="O322" s="769"/>
      <c r="P322" s="769"/>
      <c r="Q322" s="769"/>
      <c r="R322" s="769"/>
      <c r="S322" s="769"/>
      <c r="T322" s="769"/>
      <c r="U322" s="768"/>
      <c r="V322" s="768"/>
      <c r="W322" s="1014"/>
      <c r="X322" s="1041"/>
      <c r="Y322" s="1027"/>
      <c r="Z322" s="769"/>
      <c r="AA322" s="768"/>
      <c r="AB322" s="768"/>
      <c r="AC322" s="768"/>
    </row>
    <row r="323" spans="2:29" s="35" customFormat="1" ht="14.1" hidden="1" customHeight="1" x14ac:dyDescent="0.25">
      <c r="B323" s="405"/>
      <c r="C323" s="373"/>
      <c r="D323" s="466"/>
      <c r="E323" s="403"/>
      <c r="F323" s="466"/>
      <c r="G323" s="769"/>
      <c r="H323" s="769"/>
      <c r="I323" s="769"/>
      <c r="J323" s="769"/>
      <c r="K323" s="769"/>
      <c r="L323" s="769"/>
      <c r="M323" s="769"/>
      <c r="N323" s="769"/>
      <c r="O323" s="769"/>
      <c r="P323" s="769"/>
      <c r="Q323" s="769"/>
      <c r="R323" s="769"/>
      <c r="S323" s="769"/>
      <c r="T323" s="769"/>
      <c r="U323" s="768"/>
      <c r="V323" s="768"/>
      <c r="W323" s="1014"/>
      <c r="X323" s="1041"/>
      <c r="Y323" s="1027"/>
      <c r="Z323" s="769"/>
      <c r="AA323" s="768"/>
      <c r="AB323" s="768"/>
      <c r="AC323" s="768"/>
    </row>
    <row r="324" spans="2:29" s="35" customFormat="1" ht="14.1" hidden="1" customHeight="1" x14ac:dyDescent="0.25">
      <c r="B324" s="405"/>
      <c r="C324" s="373"/>
      <c r="D324" s="466"/>
      <c r="E324" s="403"/>
      <c r="F324" s="466"/>
      <c r="G324" s="769"/>
      <c r="H324" s="769"/>
      <c r="I324" s="769"/>
      <c r="J324" s="769"/>
      <c r="K324" s="769"/>
      <c r="L324" s="769"/>
      <c r="M324" s="769"/>
      <c r="N324" s="769"/>
      <c r="O324" s="769"/>
      <c r="P324" s="769"/>
      <c r="Q324" s="769"/>
      <c r="R324" s="769"/>
      <c r="S324" s="769"/>
      <c r="T324" s="769"/>
      <c r="U324" s="768"/>
      <c r="V324" s="768"/>
      <c r="W324" s="1014"/>
      <c r="X324" s="1041"/>
      <c r="Y324" s="1027"/>
      <c r="Z324" s="769"/>
      <c r="AA324" s="768"/>
      <c r="AB324" s="768"/>
      <c r="AC324" s="768"/>
    </row>
    <row r="325" spans="2:29" s="35" customFormat="1" ht="14.1" hidden="1" customHeight="1" x14ac:dyDescent="0.25">
      <c r="B325" s="405"/>
      <c r="C325" s="373"/>
      <c r="D325" s="466"/>
      <c r="E325" s="403"/>
      <c r="F325" s="466"/>
      <c r="G325" s="769"/>
      <c r="H325" s="769"/>
      <c r="I325" s="769"/>
      <c r="J325" s="769"/>
      <c r="K325" s="769"/>
      <c r="L325" s="769"/>
      <c r="M325" s="769"/>
      <c r="N325" s="769"/>
      <c r="O325" s="769"/>
      <c r="P325" s="769"/>
      <c r="Q325" s="769"/>
      <c r="R325" s="769"/>
      <c r="S325" s="769"/>
      <c r="T325" s="769"/>
      <c r="U325" s="768"/>
      <c r="V325" s="768"/>
      <c r="W325" s="1014"/>
      <c r="X325" s="1041"/>
      <c r="Y325" s="1027"/>
      <c r="Z325" s="769"/>
      <c r="AA325" s="768"/>
      <c r="AB325" s="768"/>
      <c r="AC325" s="768"/>
    </row>
    <row r="326" spans="2:29" s="35" customFormat="1" ht="14.1" hidden="1" customHeight="1" x14ac:dyDescent="0.25">
      <c r="B326" s="405"/>
      <c r="C326" s="373"/>
      <c r="D326" s="466"/>
      <c r="E326" s="403"/>
      <c r="F326" s="466"/>
      <c r="G326" s="769"/>
      <c r="H326" s="769"/>
      <c r="I326" s="769"/>
      <c r="J326" s="769"/>
      <c r="K326" s="769"/>
      <c r="L326" s="769"/>
      <c r="M326" s="769"/>
      <c r="N326" s="769"/>
      <c r="O326" s="769"/>
      <c r="P326" s="769"/>
      <c r="Q326" s="769"/>
      <c r="R326" s="769"/>
      <c r="S326" s="769"/>
      <c r="T326" s="769"/>
      <c r="U326" s="768"/>
      <c r="V326" s="768"/>
      <c r="W326" s="1014"/>
      <c r="X326" s="1041"/>
      <c r="Y326" s="1027"/>
      <c r="Z326" s="769"/>
      <c r="AA326" s="768"/>
      <c r="AB326" s="768"/>
      <c r="AC326" s="768"/>
    </row>
    <row r="327" spans="2:29" s="35" customFormat="1" ht="14.1" hidden="1" customHeight="1" x14ac:dyDescent="0.25">
      <c r="B327" s="405"/>
      <c r="C327" s="373"/>
      <c r="D327" s="466"/>
      <c r="E327" s="403"/>
      <c r="F327" s="466"/>
      <c r="G327" s="769"/>
      <c r="H327" s="769"/>
      <c r="I327" s="769"/>
      <c r="J327" s="769"/>
      <c r="K327" s="769"/>
      <c r="L327" s="769"/>
      <c r="M327" s="769"/>
      <c r="N327" s="769"/>
      <c r="O327" s="769"/>
      <c r="P327" s="769"/>
      <c r="Q327" s="769"/>
      <c r="R327" s="769"/>
      <c r="S327" s="769"/>
      <c r="T327" s="769"/>
      <c r="U327" s="768"/>
      <c r="V327" s="768"/>
      <c r="W327" s="1014"/>
      <c r="X327" s="1041"/>
      <c r="Y327" s="1027"/>
      <c r="Z327" s="769"/>
      <c r="AA327" s="768"/>
      <c r="AB327" s="768"/>
      <c r="AC327" s="768"/>
    </row>
    <row r="328" spans="2:29" s="35" customFormat="1" ht="14.1" hidden="1" customHeight="1" x14ac:dyDescent="0.25">
      <c r="B328" s="405"/>
      <c r="C328" s="373"/>
      <c r="D328" s="466"/>
      <c r="E328" s="403"/>
      <c r="F328" s="466"/>
      <c r="G328" s="769"/>
      <c r="H328" s="769"/>
      <c r="I328" s="769"/>
      <c r="J328" s="769"/>
      <c r="K328" s="769"/>
      <c r="L328" s="769"/>
      <c r="M328" s="769"/>
      <c r="N328" s="769"/>
      <c r="O328" s="769"/>
      <c r="P328" s="769"/>
      <c r="Q328" s="769"/>
      <c r="R328" s="769"/>
      <c r="S328" s="769"/>
      <c r="T328" s="769"/>
      <c r="U328" s="768"/>
      <c r="V328" s="768"/>
      <c r="W328" s="1014"/>
      <c r="X328" s="1041"/>
      <c r="Y328" s="1027"/>
      <c r="Z328" s="769"/>
      <c r="AA328" s="768"/>
      <c r="AB328" s="768"/>
      <c r="AC328" s="768"/>
    </row>
    <row r="329" spans="2:29" s="35" customFormat="1" ht="14.1" hidden="1" customHeight="1" x14ac:dyDescent="0.25">
      <c r="B329" s="405"/>
      <c r="C329" s="373"/>
      <c r="D329" s="466"/>
      <c r="E329" s="403"/>
      <c r="F329" s="466"/>
      <c r="G329" s="769"/>
      <c r="H329" s="769"/>
      <c r="I329" s="769"/>
      <c r="J329" s="769"/>
      <c r="K329" s="769"/>
      <c r="L329" s="769"/>
      <c r="M329" s="769"/>
      <c r="N329" s="769"/>
      <c r="O329" s="769"/>
      <c r="P329" s="769"/>
      <c r="Q329" s="769"/>
      <c r="R329" s="769"/>
      <c r="S329" s="769"/>
      <c r="T329" s="769"/>
      <c r="U329" s="768"/>
      <c r="V329" s="768"/>
      <c r="W329" s="1014"/>
      <c r="X329" s="1041"/>
      <c r="Y329" s="1027"/>
      <c r="Z329" s="769"/>
      <c r="AA329" s="768"/>
      <c r="AB329" s="768"/>
      <c r="AC329" s="768"/>
    </row>
    <row r="330" spans="2:29" s="35" customFormat="1" ht="14.1" hidden="1" customHeight="1" x14ac:dyDescent="0.25">
      <c r="B330" s="405"/>
      <c r="C330" s="373"/>
      <c r="D330" s="466"/>
      <c r="E330" s="403"/>
      <c r="F330" s="466"/>
      <c r="G330" s="769"/>
      <c r="H330" s="769"/>
      <c r="I330" s="769"/>
      <c r="J330" s="769"/>
      <c r="K330" s="769"/>
      <c r="L330" s="769"/>
      <c r="M330" s="769"/>
      <c r="N330" s="769"/>
      <c r="O330" s="769"/>
      <c r="P330" s="769"/>
      <c r="Q330" s="769"/>
      <c r="R330" s="769"/>
      <c r="S330" s="769"/>
      <c r="T330" s="769"/>
      <c r="U330" s="768"/>
      <c r="V330" s="768"/>
      <c r="W330" s="1014"/>
      <c r="X330" s="1041"/>
      <c r="Y330" s="1027"/>
      <c r="Z330" s="769"/>
      <c r="AA330" s="768"/>
      <c r="AB330" s="768"/>
      <c r="AC330" s="768"/>
    </row>
    <row r="331" spans="2:29" s="35" customFormat="1" ht="14.1" hidden="1" customHeight="1" x14ac:dyDescent="0.25">
      <c r="B331" s="405"/>
      <c r="C331" s="373"/>
      <c r="D331" s="466"/>
      <c r="E331" s="403"/>
      <c r="F331" s="466"/>
      <c r="G331" s="769"/>
      <c r="H331" s="769"/>
      <c r="I331" s="769"/>
      <c r="J331" s="769"/>
      <c r="K331" s="769"/>
      <c r="L331" s="769"/>
      <c r="M331" s="769"/>
      <c r="N331" s="769"/>
      <c r="O331" s="769"/>
      <c r="P331" s="769"/>
      <c r="Q331" s="769"/>
      <c r="R331" s="769"/>
      <c r="S331" s="769"/>
      <c r="T331" s="769"/>
      <c r="U331" s="768"/>
      <c r="V331" s="768"/>
      <c r="W331" s="1014"/>
      <c r="X331" s="1041"/>
      <c r="Y331" s="1027"/>
      <c r="Z331" s="769"/>
      <c r="AA331" s="768"/>
      <c r="AB331" s="768"/>
      <c r="AC331" s="768"/>
    </row>
    <row r="332" spans="2:29" s="35" customFormat="1" ht="14.1" hidden="1" customHeight="1" x14ac:dyDescent="0.25">
      <c r="B332" s="405"/>
      <c r="C332" s="373"/>
      <c r="D332" s="466"/>
      <c r="E332" s="403"/>
      <c r="F332" s="466"/>
      <c r="G332" s="769"/>
      <c r="H332" s="769"/>
      <c r="I332" s="769"/>
      <c r="J332" s="769"/>
      <c r="K332" s="769"/>
      <c r="L332" s="769"/>
      <c r="M332" s="769"/>
      <c r="N332" s="769"/>
      <c r="O332" s="769"/>
      <c r="P332" s="769"/>
      <c r="Q332" s="769"/>
      <c r="R332" s="769"/>
      <c r="S332" s="769"/>
      <c r="T332" s="769"/>
      <c r="U332" s="768"/>
      <c r="V332" s="768"/>
      <c r="W332" s="1014"/>
      <c r="X332" s="1041"/>
      <c r="Y332" s="1027"/>
      <c r="Z332" s="769"/>
      <c r="AA332" s="768"/>
      <c r="AB332" s="768"/>
      <c r="AC332" s="768"/>
    </row>
    <row r="333" spans="2:29" s="35" customFormat="1" ht="14.1" hidden="1" customHeight="1" x14ac:dyDescent="0.25">
      <c r="B333" s="405"/>
      <c r="C333" s="373"/>
      <c r="D333" s="466"/>
      <c r="E333" s="403"/>
      <c r="F333" s="466"/>
      <c r="G333" s="769"/>
      <c r="H333" s="769"/>
      <c r="I333" s="769"/>
      <c r="J333" s="769"/>
      <c r="K333" s="769"/>
      <c r="L333" s="769"/>
      <c r="M333" s="769"/>
      <c r="N333" s="769"/>
      <c r="O333" s="769"/>
      <c r="P333" s="769"/>
      <c r="Q333" s="769"/>
      <c r="R333" s="769"/>
      <c r="S333" s="769"/>
      <c r="T333" s="769"/>
      <c r="U333" s="768"/>
      <c r="V333" s="768"/>
      <c r="W333" s="1014"/>
      <c r="X333" s="1041"/>
      <c r="Y333" s="1027"/>
      <c r="Z333" s="769"/>
      <c r="AA333" s="768"/>
      <c r="AB333" s="768"/>
      <c r="AC333" s="768"/>
    </row>
    <row r="334" spans="2:29" s="35" customFormat="1" ht="14.1" hidden="1" customHeight="1" x14ac:dyDescent="0.25">
      <c r="B334" s="405"/>
      <c r="C334" s="373"/>
      <c r="D334" s="466"/>
      <c r="E334" s="403"/>
      <c r="F334" s="466"/>
      <c r="G334" s="769"/>
      <c r="H334" s="769"/>
      <c r="I334" s="769"/>
      <c r="J334" s="769"/>
      <c r="K334" s="769"/>
      <c r="L334" s="769"/>
      <c r="M334" s="769"/>
      <c r="N334" s="769"/>
      <c r="O334" s="769"/>
      <c r="P334" s="769"/>
      <c r="Q334" s="769"/>
      <c r="R334" s="769"/>
      <c r="S334" s="769"/>
      <c r="T334" s="769"/>
      <c r="U334" s="768"/>
      <c r="V334" s="768"/>
      <c r="W334" s="1014"/>
      <c r="X334" s="1041"/>
      <c r="Y334" s="1027"/>
      <c r="Z334" s="769"/>
      <c r="AA334" s="768"/>
      <c r="AB334" s="768"/>
      <c r="AC334" s="768"/>
    </row>
    <row r="335" spans="2:29" s="35" customFormat="1" ht="14.1" hidden="1" customHeight="1" x14ac:dyDescent="0.25">
      <c r="B335" s="405"/>
      <c r="C335" s="373"/>
      <c r="D335" s="466"/>
      <c r="E335" s="403"/>
      <c r="F335" s="466"/>
      <c r="G335" s="769"/>
      <c r="H335" s="769"/>
      <c r="I335" s="769"/>
      <c r="J335" s="769"/>
      <c r="K335" s="769"/>
      <c r="L335" s="769"/>
      <c r="M335" s="769"/>
      <c r="N335" s="769"/>
      <c r="O335" s="769"/>
      <c r="P335" s="769"/>
      <c r="Q335" s="769"/>
      <c r="R335" s="769"/>
      <c r="S335" s="769"/>
      <c r="T335" s="769"/>
      <c r="U335" s="768"/>
      <c r="V335" s="768"/>
      <c r="W335" s="1014"/>
      <c r="X335" s="1041"/>
      <c r="Y335" s="1027"/>
      <c r="Z335" s="769"/>
      <c r="AA335" s="768"/>
      <c r="AB335" s="768"/>
      <c r="AC335" s="768"/>
    </row>
    <row r="336" spans="2:29" s="35" customFormat="1" ht="14.1" hidden="1" customHeight="1" x14ac:dyDescent="0.25">
      <c r="B336" s="405"/>
      <c r="C336" s="373"/>
      <c r="D336" s="466"/>
      <c r="E336" s="403"/>
      <c r="F336" s="466"/>
      <c r="G336" s="769"/>
      <c r="H336" s="769"/>
      <c r="I336" s="769"/>
      <c r="J336" s="769"/>
      <c r="K336" s="769"/>
      <c r="L336" s="769"/>
      <c r="M336" s="769"/>
      <c r="N336" s="769"/>
      <c r="O336" s="769"/>
      <c r="P336" s="769"/>
      <c r="Q336" s="769"/>
      <c r="R336" s="769"/>
      <c r="S336" s="769"/>
      <c r="T336" s="769"/>
      <c r="U336" s="768"/>
      <c r="V336" s="768"/>
      <c r="W336" s="1014"/>
      <c r="X336" s="1041"/>
      <c r="Y336" s="1027"/>
      <c r="Z336" s="769"/>
      <c r="AA336" s="768"/>
      <c r="AB336" s="768"/>
      <c r="AC336" s="768"/>
    </row>
    <row r="337" spans="2:33" s="35" customFormat="1" ht="14.1" hidden="1" customHeight="1" x14ac:dyDescent="0.25">
      <c r="B337" s="405"/>
      <c r="C337" s="373"/>
      <c r="D337" s="466"/>
      <c r="E337" s="403"/>
      <c r="F337" s="466"/>
      <c r="G337" s="769"/>
      <c r="H337" s="769"/>
      <c r="I337" s="769"/>
      <c r="J337" s="769"/>
      <c r="K337" s="769"/>
      <c r="L337" s="769"/>
      <c r="M337" s="769"/>
      <c r="N337" s="769"/>
      <c r="O337" s="769"/>
      <c r="P337" s="769"/>
      <c r="Q337" s="769"/>
      <c r="R337" s="769"/>
      <c r="S337" s="769"/>
      <c r="T337" s="769"/>
      <c r="U337" s="768"/>
      <c r="V337" s="768"/>
      <c r="W337" s="1014"/>
      <c r="X337" s="1041"/>
      <c r="Y337" s="1027"/>
      <c r="Z337" s="769"/>
      <c r="AA337" s="768"/>
      <c r="AB337" s="768"/>
      <c r="AC337" s="768"/>
    </row>
    <row r="338" spans="2:33" s="35" customFormat="1" ht="14.1" hidden="1" customHeight="1" x14ac:dyDescent="0.25">
      <c r="B338" s="405"/>
      <c r="C338" s="373"/>
      <c r="D338" s="466"/>
      <c r="E338" s="403"/>
      <c r="F338" s="466"/>
      <c r="G338" s="769"/>
      <c r="H338" s="769"/>
      <c r="I338" s="769"/>
      <c r="J338" s="769"/>
      <c r="K338" s="769"/>
      <c r="L338" s="769"/>
      <c r="M338" s="769"/>
      <c r="N338" s="769"/>
      <c r="O338" s="769"/>
      <c r="P338" s="769"/>
      <c r="Q338" s="769"/>
      <c r="R338" s="769"/>
      <c r="S338" s="769"/>
      <c r="T338" s="769"/>
      <c r="U338" s="768"/>
      <c r="V338" s="768"/>
      <c r="W338" s="1014"/>
      <c r="X338" s="1041"/>
      <c r="Y338" s="1027"/>
      <c r="Z338" s="769"/>
      <c r="AA338" s="768"/>
      <c r="AB338" s="768"/>
      <c r="AC338" s="768"/>
    </row>
    <row r="339" spans="2:33" s="35" customFormat="1" ht="14.1" hidden="1" customHeight="1" x14ac:dyDescent="0.25">
      <c r="B339" s="405"/>
      <c r="C339" s="373"/>
      <c r="D339" s="466"/>
      <c r="E339" s="403"/>
      <c r="F339" s="466"/>
      <c r="G339" s="769"/>
      <c r="H339" s="769"/>
      <c r="I339" s="769"/>
      <c r="J339" s="769"/>
      <c r="K339" s="769"/>
      <c r="L339" s="769"/>
      <c r="M339" s="769"/>
      <c r="N339" s="769"/>
      <c r="O339" s="769"/>
      <c r="P339" s="769"/>
      <c r="Q339" s="769"/>
      <c r="R339" s="769"/>
      <c r="S339" s="769"/>
      <c r="T339" s="769"/>
      <c r="U339" s="768"/>
      <c r="V339" s="768"/>
      <c r="W339" s="1014"/>
      <c r="X339" s="1041"/>
      <c r="Y339" s="1027"/>
      <c r="Z339" s="769"/>
      <c r="AA339" s="768"/>
      <c r="AB339" s="768"/>
      <c r="AC339" s="768"/>
    </row>
    <row r="340" spans="2:33" s="35" customFormat="1" ht="14.1" hidden="1" customHeight="1" x14ac:dyDescent="0.25">
      <c r="B340" s="405"/>
      <c r="C340" s="373"/>
      <c r="D340" s="466"/>
      <c r="E340" s="403"/>
      <c r="F340" s="466"/>
      <c r="G340" s="769"/>
      <c r="H340" s="769"/>
      <c r="I340" s="769"/>
      <c r="J340" s="769"/>
      <c r="K340" s="769"/>
      <c r="L340" s="769"/>
      <c r="M340" s="769"/>
      <c r="N340" s="769"/>
      <c r="O340" s="769"/>
      <c r="P340" s="769"/>
      <c r="Q340" s="769"/>
      <c r="R340" s="769"/>
      <c r="S340" s="769"/>
      <c r="T340" s="769"/>
      <c r="U340" s="768"/>
      <c r="V340" s="768"/>
      <c r="W340" s="1014"/>
      <c r="X340" s="1041"/>
      <c r="Y340" s="1027"/>
      <c r="Z340" s="769"/>
      <c r="AA340" s="768"/>
      <c r="AB340" s="768"/>
      <c r="AC340" s="768"/>
    </row>
    <row r="341" spans="2:33" s="35" customFormat="1" ht="14.1" hidden="1" customHeight="1" x14ac:dyDescent="0.25">
      <c r="B341" s="405"/>
      <c r="C341" s="373"/>
      <c r="D341" s="466"/>
      <c r="E341" s="403"/>
      <c r="F341" s="466"/>
      <c r="G341" s="769"/>
      <c r="H341" s="769"/>
      <c r="I341" s="769"/>
      <c r="J341" s="769"/>
      <c r="K341" s="769"/>
      <c r="L341" s="769"/>
      <c r="M341" s="769"/>
      <c r="N341" s="769"/>
      <c r="O341" s="769"/>
      <c r="P341" s="769"/>
      <c r="Q341" s="769"/>
      <c r="R341" s="769"/>
      <c r="S341" s="769"/>
      <c r="T341" s="769"/>
      <c r="U341" s="768"/>
      <c r="V341" s="768"/>
      <c r="W341" s="1014"/>
      <c r="X341" s="1041"/>
      <c r="Y341" s="1027"/>
      <c r="Z341" s="769"/>
      <c r="AA341" s="768"/>
      <c r="AB341" s="768"/>
      <c r="AC341" s="768"/>
    </row>
    <row r="342" spans="2:33" s="35" customFormat="1" ht="14.1" hidden="1" customHeight="1" x14ac:dyDescent="0.25">
      <c r="B342" s="405"/>
      <c r="C342" s="373"/>
      <c r="D342" s="466"/>
      <c r="E342" s="403"/>
      <c r="F342" s="466"/>
      <c r="G342" s="769"/>
      <c r="H342" s="769"/>
      <c r="I342" s="769"/>
      <c r="J342" s="769"/>
      <c r="K342" s="769"/>
      <c r="L342" s="769"/>
      <c r="M342" s="769"/>
      <c r="N342" s="769"/>
      <c r="O342" s="769"/>
      <c r="P342" s="769"/>
      <c r="Q342" s="769"/>
      <c r="R342" s="769"/>
      <c r="S342" s="769"/>
      <c r="T342" s="769"/>
      <c r="U342" s="768"/>
      <c r="V342" s="768"/>
      <c r="W342" s="1014"/>
      <c r="X342" s="1041"/>
      <c r="Y342" s="1027"/>
      <c r="Z342" s="769"/>
      <c r="AA342" s="768"/>
      <c r="AB342" s="768"/>
      <c r="AC342" s="768"/>
    </row>
    <row r="343" spans="2:33" s="35" customFormat="1" ht="14.1" hidden="1" customHeight="1" x14ac:dyDescent="0.25">
      <c r="B343" s="405"/>
      <c r="C343" s="373"/>
      <c r="D343" s="466"/>
      <c r="E343" s="403"/>
      <c r="F343" s="466"/>
      <c r="G343" s="769"/>
      <c r="H343" s="769"/>
      <c r="I343" s="769"/>
      <c r="J343" s="769"/>
      <c r="K343" s="769"/>
      <c r="L343" s="769"/>
      <c r="M343" s="769"/>
      <c r="N343" s="769"/>
      <c r="O343" s="769"/>
      <c r="P343" s="769"/>
      <c r="Q343" s="769"/>
      <c r="R343" s="769"/>
      <c r="S343" s="769"/>
      <c r="T343" s="769"/>
      <c r="U343" s="768"/>
      <c r="V343" s="768"/>
      <c r="W343" s="1014"/>
      <c r="X343" s="1041"/>
      <c r="Y343" s="1027"/>
      <c r="Z343" s="769"/>
      <c r="AA343" s="768"/>
      <c r="AB343" s="768"/>
      <c r="AC343" s="768"/>
    </row>
    <row r="344" spans="2:33" s="35" customFormat="1" ht="14.1" hidden="1" customHeight="1" x14ac:dyDescent="0.25">
      <c r="B344" s="405"/>
      <c r="C344" s="373"/>
      <c r="D344" s="466"/>
      <c r="E344" s="403"/>
      <c r="F344" s="466"/>
      <c r="G344" s="769"/>
      <c r="H344" s="769"/>
      <c r="I344" s="769"/>
      <c r="J344" s="769"/>
      <c r="K344" s="769"/>
      <c r="L344" s="769"/>
      <c r="M344" s="769"/>
      <c r="N344" s="769"/>
      <c r="O344" s="769"/>
      <c r="P344" s="769"/>
      <c r="Q344" s="769"/>
      <c r="R344" s="769"/>
      <c r="S344" s="769"/>
      <c r="T344" s="769"/>
      <c r="U344" s="768"/>
      <c r="V344" s="768"/>
      <c r="W344" s="1014"/>
      <c r="X344" s="1041"/>
      <c r="Y344" s="1027"/>
      <c r="Z344" s="769"/>
      <c r="AA344" s="768"/>
      <c r="AB344" s="768"/>
      <c r="AC344" s="768"/>
    </row>
    <row r="345" spans="2:33" s="35" customFormat="1" ht="14.1" hidden="1" customHeight="1" x14ac:dyDescent="0.25">
      <c r="B345" s="405"/>
      <c r="C345" s="373"/>
      <c r="D345" s="466"/>
      <c r="E345" s="403"/>
      <c r="F345" s="466"/>
      <c r="G345" s="769"/>
      <c r="H345" s="769"/>
      <c r="I345" s="769"/>
      <c r="J345" s="769"/>
      <c r="K345" s="769"/>
      <c r="L345" s="769"/>
      <c r="M345" s="769"/>
      <c r="N345" s="769"/>
      <c r="O345" s="769"/>
      <c r="P345" s="769"/>
      <c r="Q345" s="769"/>
      <c r="R345" s="769"/>
      <c r="S345" s="769"/>
      <c r="T345" s="769"/>
      <c r="U345" s="768"/>
      <c r="V345" s="768"/>
      <c r="W345" s="1014"/>
      <c r="X345" s="1041"/>
      <c r="Y345" s="1027"/>
      <c r="Z345" s="769"/>
      <c r="AA345" s="768"/>
      <c r="AB345" s="768"/>
      <c r="AC345" s="768"/>
    </row>
    <row r="346" spans="2:33" s="35" customFormat="1" ht="14.1" hidden="1" customHeight="1" x14ac:dyDescent="0.25">
      <c r="B346" s="405"/>
      <c r="C346" s="373"/>
      <c r="D346" s="466"/>
      <c r="E346" s="403"/>
      <c r="F346" s="466"/>
      <c r="G346" s="769"/>
      <c r="H346" s="769"/>
      <c r="I346" s="769"/>
      <c r="J346" s="769"/>
      <c r="K346" s="769"/>
      <c r="L346" s="769"/>
      <c r="M346" s="769"/>
      <c r="N346" s="769"/>
      <c r="O346" s="769"/>
      <c r="P346" s="769"/>
      <c r="Q346" s="769"/>
      <c r="R346" s="769"/>
      <c r="S346" s="769"/>
      <c r="T346" s="769"/>
      <c r="U346" s="768"/>
      <c r="V346" s="768"/>
      <c r="W346" s="1014"/>
      <c r="X346" s="1041"/>
      <c r="Y346" s="1027"/>
      <c r="Z346" s="769"/>
      <c r="AA346" s="768"/>
      <c r="AB346" s="768"/>
      <c r="AC346" s="768"/>
    </row>
    <row r="347" spans="2:33" s="35" customFormat="1" ht="14.1" hidden="1" customHeight="1" x14ac:dyDescent="0.25">
      <c r="B347" s="405"/>
      <c r="C347" s="371"/>
      <c r="D347" s="467"/>
      <c r="E347" s="469"/>
      <c r="F347" s="467"/>
      <c r="G347" s="770"/>
      <c r="H347" s="770"/>
      <c r="I347" s="770"/>
      <c r="J347" s="770"/>
      <c r="K347" s="770"/>
      <c r="L347" s="770"/>
      <c r="M347" s="770"/>
      <c r="N347" s="770"/>
      <c r="O347" s="770"/>
      <c r="P347" s="770"/>
      <c r="Q347" s="770"/>
      <c r="R347" s="770"/>
      <c r="S347" s="770"/>
      <c r="T347" s="770"/>
      <c r="U347" s="771"/>
      <c r="V347" s="771"/>
      <c r="W347" s="1015"/>
      <c r="X347" s="1042"/>
      <c r="Y347" s="1028"/>
      <c r="Z347" s="770"/>
      <c r="AA347" s="771"/>
      <c r="AB347" s="771"/>
      <c r="AC347" s="771"/>
    </row>
    <row r="348" spans="2:33" s="35" customFormat="1" ht="14.1" hidden="1" customHeight="1" x14ac:dyDescent="0.25">
      <c r="B348" s="405"/>
      <c r="C348" s="285"/>
      <c r="D348" s="285"/>
      <c r="E348" s="285"/>
      <c r="F348" s="285"/>
      <c r="G348" s="285"/>
      <c r="H348" s="285"/>
      <c r="I348" s="285"/>
      <c r="J348" s="285"/>
      <c r="K348" s="285"/>
      <c r="L348" s="285"/>
      <c r="M348" s="285"/>
      <c r="N348" s="285"/>
      <c r="O348" s="285"/>
      <c r="P348" s="285"/>
      <c r="Q348" s="285"/>
      <c r="R348" s="285"/>
      <c r="T348" s="285"/>
      <c r="U348" s="285"/>
      <c r="V348" s="285"/>
      <c r="W348" s="285"/>
      <c r="X348" s="285"/>
      <c r="Y348" s="285"/>
      <c r="Z348" s="285"/>
      <c r="AA348" s="285"/>
      <c r="AB348" s="285"/>
      <c r="AC348" s="285"/>
      <c r="AD348" s="285"/>
      <c r="AE348" s="285"/>
      <c r="AF348" s="285"/>
      <c r="AG348" s="285"/>
    </row>
    <row r="349" spans="2:33" s="35" customFormat="1" ht="14.1" customHeight="1" x14ac:dyDescent="0.25">
      <c r="B349" s="285"/>
      <c r="C349" s="285"/>
      <c r="D349" s="285"/>
      <c r="G349" s="285"/>
      <c r="H349" s="285"/>
      <c r="I349" s="285"/>
      <c r="J349" s="285"/>
      <c r="K349" s="285"/>
      <c r="L349" s="285"/>
      <c r="M349" s="285"/>
      <c r="N349" s="285"/>
      <c r="O349" s="285"/>
      <c r="P349" s="285"/>
      <c r="Q349" s="285"/>
      <c r="R349" s="285"/>
      <c r="T349" s="285"/>
      <c r="U349" s="285"/>
      <c r="V349" s="285"/>
      <c r="W349" s="285"/>
      <c r="X349" s="285"/>
      <c r="Y349" s="285"/>
      <c r="Z349" s="285"/>
      <c r="AA349" s="285"/>
      <c r="AB349" s="285"/>
      <c r="AC349" s="285"/>
      <c r="AD349" s="285"/>
      <c r="AE349" s="285"/>
      <c r="AF349" s="285"/>
      <c r="AG349" s="285"/>
    </row>
    <row r="350" spans="2:33" s="35" customFormat="1" ht="14.1" customHeight="1" x14ac:dyDescent="0.25">
      <c r="B350" s="285"/>
      <c r="C350" s="285"/>
      <c r="D350" s="285"/>
      <c r="E350" s="285"/>
      <c r="F350" s="285"/>
      <c r="G350" s="285"/>
      <c r="H350" s="285"/>
      <c r="I350" s="285"/>
      <c r="J350" s="285"/>
      <c r="K350" s="285"/>
      <c r="L350" s="285"/>
      <c r="M350" s="285"/>
      <c r="N350" s="285"/>
      <c r="O350" s="285"/>
      <c r="P350" s="285"/>
      <c r="Q350" s="285"/>
      <c r="R350" s="285"/>
      <c r="T350" s="285"/>
      <c r="U350" s="285"/>
      <c r="V350" s="285"/>
      <c r="W350" s="285"/>
      <c r="X350" s="285"/>
      <c r="Y350" s="285"/>
      <c r="Z350" s="285"/>
      <c r="AA350" s="285"/>
      <c r="AB350" s="285"/>
      <c r="AC350" s="285"/>
      <c r="AD350" s="285"/>
      <c r="AE350" s="285"/>
      <c r="AF350" s="285"/>
      <c r="AG350" s="285"/>
    </row>
    <row r="351" spans="2:33" s="35" customFormat="1" ht="14.1" customHeight="1" x14ac:dyDescent="0.25">
      <c r="B351" s="285"/>
      <c r="C351" s="285"/>
      <c r="D351" s="285"/>
      <c r="E351" s="285"/>
      <c r="F351" s="285"/>
      <c r="G351" s="285"/>
      <c r="H351" s="285"/>
      <c r="I351" s="285"/>
      <c r="J351" s="285"/>
      <c r="K351" s="285"/>
      <c r="L351" s="285"/>
      <c r="M351" s="285"/>
      <c r="N351" s="285"/>
      <c r="O351" s="285"/>
      <c r="P351" s="285"/>
      <c r="Q351" s="285"/>
      <c r="R351" s="285"/>
      <c r="T351" s="285"/>
      <c r="U351" s="285"/>
      <c r="V351" s="285"/>
      <c r="W351" s="285"/>
      <c r="X351" s="285"/>
      <c r="Y351" s="285"/>
      <c r="Z351" s="285"/>
      <c r="AA351" s="285"/>
      <c r="AB351" s="285"/>
      <c r="AC351" s="285"/>
      <c r="AD351" s="285"/>
      <c r="AE351" s="285"/>
      <c r="AF351" s="285"/>
      <c r="AG351" s="285"/>
    </row>
  </sheetData>
  <sheetProtection algorithmName="SHA-512" hashValue="tI8BTdxw2uZKL5VidTMlIXNMYKt7Avvg4CkgZ4R+2K/D2jwE2laZwgB/x9HWl9Gx/sRkDjISL5NbgEmlqfHjaw==" saltValue="rfsPqM0X6xiUZOYbmZZT1g==" spinCount="100000" sheet="1" objects="1" scenarios="1"/>
  <dataConsolidate/>
  <customSheetViews>
    <customSheetView guid="{662328B1-0775-4F70-9698-998A355FC5BA}" showGridLines="0" showRowCol="0" outlineSymbols="0" fitToPage="1" printArea="1" showRuler="0">
      <selection activeCell="N26" sqref="N26:P26"/>
      <pageMargins left="1.4" right="0.3" top="0.61" bottom="0.61" header="0.5" footer="1.1200000000000001"/>
      <pageSetup paperSize="9" scale="82" orientation="landscape" r:id="rId1"/>
      <headerFooter alignWithMargins="0"/>
    </customSheetView>
    <customSheetView guid="{0765DE49-5067-4ED5-85D4-D9739E06A59B}" showGridLines="0" fitToPage="1" printArea="1" showRuler="0">
      <pane ySplit="21" topLeftCell="A38" activePane="bottomLeft" state="frozenSplit"/>
      <selection pane="bottomLeft" activeCell="B19" sqref="B19"/>
      <pageMargins left="1.4" right="0.3" top="0.61" bottom="0.61" header="0.5" footer="1.1200000000000001"/>
      <pageSetup paperSize="9" scale="82" orientation="landscape" r:id="rId2"/>
      <headerFooter alignWithMargins="0"/>
    </customSheetView>
    <customSheetView guid="{05B716BD-D5FA-43A1-BE8D-50F5C9430082}" showGridLines="0" showRowCol="0" outlineSymbols="0" fitToPage="1" showRuler="0">
      <pane ySplit="21" topLeftCell="A22" activePane="bottomLeft" state="frozenSplit"/>
      <selection pane="bottomLeft" activeCell="B19" sqref="B19"/>
      <pageMargins left="1.4" right="0.3" top="0.61" bottom="0.61" header="0.5" footer="1.1200000000000001"/>
      <pageSetup paperSize="9" scale="82" orientation="landscape" r:id="rId3"/>
      <headerFooter alignWithMargins="0"/>
    </customSheetView>
    <customSheetView guid="{D9DE8450-BFB9-43C9-99CE-F387EC95D082}" showGridLines="0" showRowCol="0" fitToPage="1" printArea="1" showRuler="0">
      <selection activeCell="O2" sqref="O2"/>
      <pageMargins left="1.4" right="0.3" top="0.61" bottom="0.61" header="0.5" footer="1.1200000000000001"/>
      <pageSetup paperSize="9" scale="82" orientation="landscape" r:id="rId4"/>
      <headerFooter alignWithMargins="0"/>
    </customSheetView>
    <customSheetView guid="{5C3D267B-61EB-4FFE-BD22-532277CBABA0}" showGridLines="0" showRowCol="0" fitToPage="1" printArea="1" showRuler="0">
      <selection activeCell="B23" sqref="B23"/>
      <pageMargins left="1.4" right="0.3" top="0.61" bottom="0.61" header="0.5" footer="1.1200000000000001"/>
      <pageSetup paperSize="9" scale="82" orientation="landscape" r:id="rId5"/>
      <headerFooter alignWithMargins="0"/>
    </customSheetView>
    <customSheetView guid="{BA4F6A8B-B7E1-468F-AE8D-B0079A2D20E5}" showGridLines="0" showRowCol="0" fitToPage="1" printArea="1" showRuler="0">
      <selection activeCell="B23" sqref="B23"/>
      <pageMargins left="1.4" right="0.3" top="0.61" bottom="0.61" header="0.5" footer="1.1200000000000001"/>
      <pageSetup paperSize="9" scale="82" orientation="landscape" r:id="rId6"/>
      <headerFooter alignWithMargins="0"/>
    </customSheetView>
    <customSheetView guid="{93429E49-92B0-4925-8D04-D425145938FD}" showGridLines="0" fitToPage="1" printArea="1" showRuler="0">
      <selection activeCell="N24" sqref="N24:P24"/>
      <pageMargins left="1.4" right="0.3" top="0.61" bottom="0.61" header="0.5" footer="1.1200000000000001"/>
      <pageSetup paperSize="9" scale="82" orientation="landscape" r:id="rId7"/>
      <headerFooter alignWithMargins="0"/>
    </customSheetView>
    <customSheetView guid="{E422BA57-AFCC-4512-A22E-E75FB5198808}" showGridLines="0" fitToPage="1" printArea="1" showRuler="0">
      <selection activeCell="N24" sqref="N24:P24"/>
      <pageMargins left="1.4" right="0.3" top="0.61" bottom="0.61" header="0.5" footer="1.1200000000000001"/>
      <pageSetup paperSize="9" scale="82" orientation="landscape" r:id="rId8"/>
      <headerFooter alignWithMargins="0"/>
    </customSheetView>
    <customSheetView guid="{818A4ACB-56B8-4736-9E14-BA18A36B5B2F}" showGridLines="0" fitToPage="1" printArea="1" showRuler="0">
      <selection activeCell="H29" sqref="H29"/>
      <pageMargins left="1.4" right="0.3" top="0.61" bottom="0.61" header="0.5" footer="1.1200000000000001"/>
      <pageSetup paperSize="9" scale="82" orientation="landscape" r:id="rId9"/>
      <headerFooter alignWithMargins="0"/>
    </customSheetView>
    <customSheetView guid="{3EA4A73F-A388-49D1-AD67-268667AF56E2}" showGridLines="0" fitToPage="1" printArea="1" hiddenRows="1" showRuler="0">
      <selection activeCell="B29" sqref="B29"/>
      <pageMargins left="0.54" right="0.3" top="0.61" bottom="0.61" header="0.5" footer="1.1200000000000001"/>
      <pageSetup paperSize="9" orientation="landscape" r:id="rId10"/>
      <headerFooter alignWithMargins="0"/>
    </customSheetView>
  </customSheetViews>
  <mergeCells count="5">
    <mergeCell ref="P2:Q3"/>
    <mergeCell ref="C51:E51"/>
    <mergeCell ref="C52:E52"/>
    <mergeCell ref="D54:G54"/>
    <mergeCell ref="D56:F56"/>
  </mergeCells>
  <phoneticPr fontId="0" type="noConversion"/>
  <conditionalFormatting sqref="E49">
    <cfRule type="expression" dxfId="88" priority="205" stopIfTrue="1">
      <formula>F101&lt;&gt;1</formula>
    </cfRule>
  </conditionalFormatting>
  <conditionalFormatting sqref="J103">
    <cfRule type="cellIs" dxfId="87" priority="206" stopIfTrue="1" operator="lessThan">
      <formula>$J$102</formula>
    </cfRule>
  </conditionalFormatting>
  <conditionalFormatting sqref="M103">
    <cfRule type="cellIs" dxfId="86" priority="207" stopIfTrue="1" operator="lessThan">
      <formula>$M$102</formula>
    </cfRule>
  </conditionalFormatting>
  <conditionalFormatting sqref="Q53:AC53 J53 L53">
    <cfRule type="cellIs" dxfId="85" priority="210" stopIfTrue="1" operator="between">
      <formula>1</formula>
      <formula>1.2</formula>
    </cfRule>
    <cfRule type="cellIs" dxfId="84" priority="211" stopIfTrue="1" operator="between">
      <formula>0</formula>
      <formula>0.999999</formula>
    </cfRule>
    <cfRule type="cellIs" dxfId="83" priority="212" stopIfTrue="1" operator="greaterThan">
      <formula>1.2</formula>
    </cfRule>
  </conditionalFormatting>
  <conditionalFormatting sqref="H53">
    <cfRule type="cellIs" dxfId="82" priority="213" stopIfTrue="1" operator="lessThan">
      <formula>0.1</formula>
    </cfRule>
    <cfRule type="cellIs" dxfId="81" priority="214" stopIfTrue="1" operator="greaterThan">
      <formula>0.12</formula>
    </cfRule>
    <cfRule type="cellIs" dxfId="80" priority="215" stopIfTrue="1" operator="between">
      <formula>0.1</formula>
      <formula>0.12</formula>
    </cfRule>
  </conditionalFormatting>
  <conditionalFormatting sqref="I53">
    <cfRule type="cellIs" dxfId="79" priority="216" stopIfTrue="1" operator="lessThan">
      <formula>0.17</formula>
    </cfRule>
    <cfRule type="cellIs" dxfId="78" priority="217" stopIfTrue="1" operator="greaterThanOrEqual">
      <formula>0.17</formula>
    </cfRule>
  </conditionalFormatting>
  <conditionalFormatting sqref="F51">
    <cfRule type="cellIs" dxfId="77" priority="218" stopIfTrue="1" operator="between">
      <formula>1</formula>
      <formula>1.5</formula>
    </cfRule>
    <cfRule type="cellIs" dxfId="76" priority="219" stopIfTrue="1" operator="lessThan">
      <formula>1</formula>
    </cfRule>
    <cfRule type="cellIs" dxfId="75" priority="220" stopIfTrue="1" operator="greaterThan">
      <formula>2</formula>
    </cfRule>
  </conditionalFormatting>
  <conditionalFormatting sqref="L52 J52 Q52:AC52">
    <cfRule type="cellIs" dxfId="74" priority="190" stopIfTrue="1" operator="between">
      <formula>1</formula>
      <formula>1.2</formula>
    </cfRule>
    <cfRule type="cellIs" dxfId="73" priority="191" stopIfTrue="1" operator="between">
      <formula>0</formula>
      <formula>0.999999</formula>
    </cfRule>
    <cfRule type="cellIs" dxfId="72" priority="192" stopIfTrue="1" operator="greaterThan">
      <formula>1.2</formula>
    </cfRule>
  </conditionalFormatting>
  <conditionalFormatting sqref="I52">
    <cfRule type="cellIs" dxfId="71" priority="189" stopIfTrue="1" operator="between">
      <formula>$F$103</formula>
      <formula>$F$104</formula>
    </cfRule>
    <cfRule type="cellIs" dxfId="70" priority="193" stopIfTrue="1" operator="lessThan">
      <formula>$F$103</formula>
    </cfRule>
    <cfRule type="cellIs" dxfId="69" priority="195" stopIfTrue="1" operator="greaterThan">
      <formula>$F$104</formula>
    </cfRule>
  </conditionalFormatting>
  <conditionalFormatting sqref="H52">
    <cfRule type="cellIs" dxfId="68" priority="196" stopIfTrue="1" operator="lessThan">
      <formula>0.1</formula>
    </cfRule>
    <cfRule type="cellIs" dxfId="67" priority="197" stopIfTrue="1" operator="greaterThan">
      <formula>0.15</formula>
    </cfRule>
    <cfRule type="cellIs" dxfId="66" priority="198" stopIfTrue="1" operator="between">
      <formula>0.1</formula>
      <formula>0.15</formula>
    </cfRule>
  </conditionalFormatting>
  <conditionalFormatting sqref="L51">
    <cfRule type="cellIs" dxfId="65" priority="51" stopIfTrue="1" operator="lessThan">
      <formula>1</formula>
    </cfRule>
    <cfRule type="expression" dxfId="64" priority="52" stopIfTrue="1">
      <formula>L48&gt;L50</formula>
    </cfRule>
    <cfRule type="cellIs" dxfId="63" priority="53" stopIfTrue="1" operator="greaterThanOrEqual">
      <formula>1</formula>
    </cfRule>
  </conditionalFormatting>
  <conditionalFormatting sqref="M51">
    <cfRule type="cellIs" dxfId="62" priority="48" stopIfTrue="1" operator="lessThan">
      <formula>1</formula>
    </cfRule>
    <cfRule type="expression" dxfId="61" priority="49" stopIfTrue="1">
      <formula>M48&gt;M50</formula>
    </cfRule>
    <cfRule type="cellIs" dxfId="60" priority="50" stopIfTrue="1" operator="greaterThanOrEqual">
      <formula>1</formula>
    </cfRule>
  </conditionalFormatting>
  <conditionalFormatting sqref="N51">
    <cfRule type="cellIs" dxfId="59" priority="45" stopIfTrue="1" operator="lessThan">
      <formula>1</formula>
    </cfRule>
    <cfRule type="expression" dxfId="58" priority="46" stopIfTrue="1">
      <formula>N48&gt;N50</formula>
    </cfRule>
    <cfRule type="cellIs" dxfId="57" priority="47" stopIfTrue="1" operator="greaterThanOrEqual">
      <formula>1</formula>
    </cfRule>
  </conditionalFormatting>
  <conditionalFormatting sqref="O51">
    <cfRule type="cellIs" dxfId="56" priority="42" stopIfTrue="1" operator="lessThan">
      <formula>1</formula>
    </cfRule>
    <cfRule type="expression" dxfId="55" priority="43" stopIfTrue="1">
      <formula>O48&gt;O50</formula>
    </cfRule>
    <cfRule type="cellIs" dxfId="54" priority="44" stopIfTrue="1" operator="greaterThanOrEqual">
      <formula>1</formula>
    </cfRule>
  </conditionalFormatting>
  <conditionalFormatting sqref="P51">
    <cfRule type="cellIs" dxfId="53" priority="39" stopIfTrue="1" operator="lessThan">
      <formula>1</formula>
    </cfRule>
    <cfRule type="expression" dxfId="52" priority="40" stopIfTrue="1">
      <formula>P48&gt;P50</formula>
    </cfRule>
    <cfRule type="cellIs" dxfId="51" priority="41" stopIfTrue="1" operator="greaterThanOrEqual">
      <formula>1</formula>
    </cfRule>
  </conditionalFormatting>
  <conditionalFormatting sqref="Q51">
    <cfRule type="cellIs" dxfId="50" priority="36" stopIfTrue="1" operator="lessThan">
      <formula>1</formula>
    </cfRule>
    <cfRule type="expression" dxfId="49" priority="37" stopIfTrue="1">
      <formula>Q48&gt;Q50</formula>
    </cfRule>
    <cfRule type="cellIs" dxfId="48" priority="38" stopIfTrue="1" operator="greaterThanOrEqual">
      <formula>1</formula>
    </cfRule>
  </conditionalFormatting>
  <conditionalFormatting sqref="R51">
    <cfRule type="cellIs" dxfId="47" priority="33" stopIfTrue="1" operator="lessThan">
      <formula>1</formula>
    </cfRule>
    <cfRule type="expression" dxfId="46" priority="34" stopIfTrue="1">
      <formula>R48&gt;R50</formula>
    </cfRule>
    <cfRule type="cellIs" dxfId="45" priority="35" stopIfTrue="1" operator="greaterThanOrEqual">
      <formula>1</formula>
    </cfRule>
  </conditionalFormatting>
  <conditionalFormatting sqref="S51">
    <cfRule type="cellIs" dxfId="44" priority="30" stopIfTrue="1" operator="lessThan">
      <formula>1</formula>
    </cfRule>
    <cfRule type="expression" dxfId="43" priority="31" stopIfTrue="1">
      <formula>S48&gt;S50</formula>
    </cfRule>
    <cfRule type="cellIs" dxfId="42" priority="32" stopIfTrue="1" operator="greaterThanOrEqual">
      <formula>1</formula>
    </cfRule>
  </conditionalFormatting>
  <conditionalFormatting sqref="T51">
    <cfRule type="cellIs" dxfId="41" priority="27" stopIfTrue="1" operator="lessThan">
      <formula>1</formula>
    </cfRule>
    <cfRule type="expression" dxfId="40" priority="28" stopIfTrue="1">
      <formula>T48&gt;T50</formula>
    </cfRule>
    <cfRule type="cellIs" dxfId="39" priority="29" stopIfTrue="1" operator="greaterThanOrEqual">
      <formula>1</formula>
    </cfRule>
  </conditionalFormatting>
  <conditionalFormatting sqref="U51">
    <cfRule type="cellIs" dxfId="38" priority="24" stopIfTrue="1" operator="lessThan">
      <formula>1</formula>
    </cfRule>
    <cfRule type="expression" dxfId="37" priority="25" stopIfTrue="1">
      <formula>U48&gt;U50</formula>
    </cfRule>
    <cfRule type="cellIs" dxfId="36" priority="26" stopIfTrue="1" operator="greaterThanOrEqual">
      <formula>1</formula>
    </cfRule>
  </conditionalFormatting>
  <conditionalFormatting sqref="V51">
    <cfRule type="cellIs" dxfId="35" priority="1" stopIfTrue="1" operator="lessThan">
      <formula>1</formula>
    </cfRule>
    <cfRule type="expression" dxfId="34" priority="21" stopIfTrue="1">
      <formula>V48&gt;V50</formula>
    </cfRule>
    <cfRule type="cellIs" dxfId="33" priority="23" stopIfTrue="1" operator="greaterThanOrEqual">
      <formula>1</formula>
    </cfRule>
  </conditionalFormatting>
  <conditionalFormatting sqref="W51:X51">
    <cfRule type="cellIs" dxfId="32" priority="18" stopIfTrue="1" operator="lessThan">
      <formula>1</formula>
    </cfRule>
    <cfRule type="cellIs" dxfId="31" priority="20" stopIfTrue="1" operator="greaterThanOrEqual">
      <formula>1</formula>
    </cfRule>
  </conditionalFormatting>
  <conditionalFormatting sqref="Y51">
    <cfRule type="cellIs" dxfId="30" priority="15" stopIfTrue="1" operator="lessThan">
      <formula>1</formula>
    </cfRule>
    <cfRule type="expression" dxfId="29" priority="16" stopIfTrue="1">
      <formula>Y48&gt;Y50</formula>
    </cfRule>
    <cfRule type="cellIs" dxfId="28" priority="17" stopIfTrue="1" operator="greaterThanOrEqual">
      <formula>1</formula>
    </cfRule>
  </conditionalFormatting>
  <conditionalFormatting sqref="Z51">
    <cfRule type="cellIs" dxfId="27" priority="12" stopIfTrue="1" operator="lessThan">
      <formula>1</formula>
    </cfRule>
    <cfRule type="expression" dxfId="26" priority="13" stopIfTrue="1">
      <formula>Z48&gt;Z50</formula>
    </cfRule>
    <cfRule type="cellIs" dxfId="25" priority="14" stopIfTrue="1" operator="greaterThanOrEqual">
      <formula>1</formula>
    </cfRule>
  </conditionalFormatting>
  <conditionalFormatting sqref="AA51">
    <cfRule type="cellIs" dxfId="24" priority="9" stopIfTrue="1" operator="lessThan">
      <formula>1</formula>
    </cfRule>
    <cfRule type="expression" dxfId="23" priority="10" stopIfTrue="1">
      <formula>AA48&gt;AA50</formula>
    </cfRule>
    <cfRule type="cellIs" dxfId="22" priority="11" stopIfTrue="1" operator="greaterThanOrEqual">
      <formula>1</formula>
    </cfRule>
  </conditionalFormatting>
  <conditionalFormatting sqref="AB51">
    <cfRule type="cellIs" dxfId="21" priority="6" stopIfTrue="1" operator="lessThan">
      <formula>1</formula>
    </cfRule>
    <cfRule type="expression" dxfId="20" priority="7" stopIfTrue="1">
      <formula>AB48&gt;AB50</formula>
    </cfRule>
    <cfRule type="cellIs" dxfId="19" priority="8" stopIfTrue="1" operator="greaterThanOrEqual">
      <formula>1</formula>
    </cfRule>
  </conditionalFormatting>
  <conditionalFormatting sqref="AC51">
    <cfRule type="cellIs" dxfId="18" priority="3" stopIfTrue="1" operator="lessThan">
      <formula>1</formula>
    </cfRule>
    <cfRule type="expression" dxfId="17" priority="4" stopIfTrue="1">
      <formula>AC48&gt;AC50</formula>
    </cfRule>
    <cfRule type="cellIs" dxfId="16" priority="5" stopIfTrue="1" operator="greaterThanOrEqual">
      <formula>1</formula>
    </cfRule>
  </conditionalFormatting>
  <conditionalFormatting sqref="H51:I51">
    <cfRule type="cellIs" dxfId="15" priority="63" stopIfTrue="1" operator="between">
      <formula>1</formula>
      <formula>2</formula>
    </cfRule>
    <cfRule type="cellIs" dxfId="14" priority="64" stopIfTrue="1" operator="lessThan">
      <formula>1</formula>
    </cfRule>
    <cfRule type="cellIs" dxfId="13" priority="65" stopIfTrue="1" operator="greaterThan">
      <formula>2</formula>
    </cfRule>
  </conditionalFormatting>
  <conditionalFormatting sqref="G51">
    <cfRule type="cellIs" dxfId="12" priority="57" stopIfTrue="1" operator="between">
      <formula>1</formula>
      <formula>1.15</formula>
    </cfRule>
    <cfRule type="cellIs" dxfId="11" priority="58" stopIfTrue="1" operator="lessThan">
      <formula>1</formula>
    </cfRule>
    <cfRule type="cellIs" dxfId="10" priority="59" stopIfTrue="1" operator="greaterThan">
      <formula>1.15</formula>
    </cfRule>
  </conditionalFormatting>
  <conditionalFormatting sqref="J51">
    <cfRule type="cellIs" dxfId="9" priority="60" stopIfTrue="1" operator="lessThan">
      <formula>1</formula>
    </cfRule>
    <cfRule type="expression" dxfId="8" priority="61" stopIfTrue="1">
      <formula>J48&gt;J50</formula>
    </cfRule>
    <cfRule type="cellIs" dxfId="7" priority="62" stopIfTrue="1" operator="greaterThanOrEqual">
      <formula>1</formula>
    </cfRule>
  </conditionalFormatting>
  <conditionalFormatting sqref="K51">
    <cfRule type="cellIs" dxfId="6" priority="54" stopIfTrue="1" operator="lessThan">
      <formula>1</formula>
    </cfRule>
    <cfRule type="expression" dxfId="5" priority="55" stopIfTrue="1">
      <formula>K48&gt;K50</formula>
    </cfRule>
    <cfRule type="cellIs" dxfId="4" priority="56" stopIfTrue="1" operator="greaterThanOrEqual">
      <formula>1</formula>
    </cfRule>
  </conditionalFormatting>
  <conditionalFormatting sqref="W51">
    <cfRule type="expression" dxfId="3" priority="2" stopIfTrue="1">
      <formula>$X$48&gt;$X$50</formula>
    </cfRule>
  </conditionalFormatting>
  <dataValidations xWindow="265" yWindow="364" count="14">
    <dataValidation allowBlank="1" showInputMessage="1" showErrorMessage="1" prompt="To select only one type of food use the drop down list by clicking the arrow on the right_x000a_" sqref="E109"/>
    <dataValidation errorStyle="information" allowBlank="1" showInputMessage="1" showErrorMessage="1" sqref="C51"/>
    <dataValidation allowBlank="1" showErrorMessage="1" prompt="Type a name or reference for the calculated ration in this box" sqref="J54:J56"/>
    <dataValidation allowBlank="1" showErrorMessage="1" prompt="Type a date for the ration in this box.  This should usually be the start date for distribution of the ration." sqref="O54:O56"/>
    <dataValidation allowBlank="1" showInputMessage="1" showErrorMessage="1" promptTitle="RAE=Retinol Activity Equivalent" sqref="Q7"/>
    <dataValidation allowBlank="1" sqref="I52"/>
    <dataValidation allowBlank="1" showInputMessage="1" showErrorMessage="1" prompt="This row and the ones below are for entering food items that you cannot find in the database.  You will need to calculate and enter the amount of each nutrient in the row on the right._x000a__x000a_To add or remove additional rows click the + or - buttons." sqref="C28"/>
    <dataValidation allowBlank="1" showInputMessage="1" showErrorMessage="1" prompt="You can enter a name or reference number for the ration here" sqref="D54"/>
    <dataValidation type="whole" allowBlank="1" showInputMessage="1" showErrorMessage="1" errorTitle="  NutVal" error="You can only enter numbers in this cell!" sqref="F8:F27">
      <formula1>0</formula1>
      <formula2>10000</formula2>
    </dataValidation>
    <dataValidation type="whole" allowBlank="1" showInputMessage="1" showErrorMessage="1" errorTitle="  NutVal" error="You can only enter numbers in this cell!" prompt="Enter the number of grams/person/day here" sqref="F28">
      <formula1>0</formula1>
      <formula2>10000</formula2>
    </dataValidation>
    <dataValidation type="whole" allowBlank="1" showInputMessage="1" showErrorMessage="1" errorTitle="  NutVal" error="You can only enter whole numbers in this cell!" sqref="F29:F47">
      <formula1>0</formula1>
      <formula2>10000</formula2>
    </dataValidation>
    <dataValidation type="date" operator="greaterThan" allowBlank="1" showInputMessage="1" showErrorMessage="1" errorTitle="  NutVal" error="Make sure you have entered a date in the dd/mm/yyyy format!" prompt="You can enter a date for the ration here. Please use dd/mm/yyyy format." sqref="D56:F56">
      <formula1>1</formula1>
    </dataValidation>
    <dataValidation type="list" allowBlank="1" showInputMessage="1" showErrorMessage="1" errorTitle="  NutVal" error="Please enter an item from the NutVal database!" prompt="Select the required commodity from the alphebetical drop down list.  You can see the list by clicking the arrow on the right. _x000a__x000a_To add or remove additional rows click the + or - buttons." sqref="C8">
      <formula1>$F$110:$F$297</formula1>
    </dataValidation>
    <dataValidation type="list" allowBlank="1" showInputMessage="1" showErrorMessage="1" errorTitle="  NutVal" error="Please enter the name of a food item from the NutVal database. _x000a_You can select an item using by clicking the drop down arrow on the right." sqref="C9:C27">
      <formula1>$F$110:$F$297</formula1>
    </dataValidation>
  </dataValidations>
  <hyperlinks>
    <hyperlink ref="Q7" location="'Calculation Sheet'!Q7" tooltip="RAE = Retinol Activity Equivalent" display="µg RAE"/>
    <hyperlink ref="W7" location="'Calculation Sheet'!W7" tooltip="DFE = Dietary Folate Equivalent" display="µg DFE"/>
    <hyperlink ref="C196" r:id="rId11" display="http://www.usaid.gov/what-we-do/agriculture-and-food-security/food-assistance/resources/cornmeal-commodity-fact-sheet"/>
  </hyperlinks>
  <printOptions gridLinesSet="0"/>
  <pageMargins left="0.54" right="0.3" top="0.61" bottom="0.61" header="0.5" footer="1.1200000000000001"/>
  <pageSetup paperSize="9" scale="12" orientation="landscape" r:id="rId12"/>
  <headerFooter alignWithMargins="0"/>
  <ignoredErrors>
    <ignoredError sqref="F103:F104 Y70:AC70 G70:O70 T71 Q70:W70" unlockedFormula="1"/>
  </ignoredErrors>
  <drawing r:id="rId13"/>
  <legacyDrawing r:id="rId14"/>
  <mc:AlternateContent xmlns:mc="http://schemas.openxmlformats.org/markup-compatibility/2006">
    <mc:Choice Requires="x14">
      <controls>
        <mc:AlternateContent xmlns:mc="http://schemas.openxmlformats.org/markup-compatibility/2006">
          <mc:Choice Requires="x14">
            <control shapeId="53304" r:id="rId15" name="Button 1080">
              <controlPr defaultSize="0" print="0" autoFill="0" autoPict="0" macro="[0]!Goto_Menu1">
                <anchor>
                  <from>
                    <xdr:col>1</xdr:col>
                    <xdr:colOff>161925</xdr:colOff>
                    <xdr:row>1</xdr:row>
                    <xdr:rowOff>0</xdr:rowOff>
                  </from>
                  <to>
                    <xdr:col>2</xdr:col>
                    <xdr:colOff>1066800</xdr:colOff>
                    <xdr:row>1</xdr:row>
                    <xdr:rowOff>266700</xdr:rowOff>
                  </to>
                </anchor>
              </controlPr>
            </control>
          </mc:Choice>
        </mc:AlternateContent>
        <mc:AlternateContent xmlns:mc="http://schemas.openxmlformats.org/markup-compatibility/2006">
          <mc:Choice Requires="x14">
            <control shapeId="53305" r:id="rId16" name="Button 1081">
              <controlPr defaultSize="0" print="0" autoFill="0" autoPict="0" macro="[0]!Goto_Database1">
                <anchor>
                  <from>
                    <xdr:col>2</xdr:col>
                    <xdr:colOff>1095375</xdr:colOff>
                    <xdr:row>1</xdr:row>
                    <xdr:rowOff>0</xdr:rowOff>
                  </from>
                  <to>
                    <xdr:col>2</xdr:col>
                    <xdr:colOff>2171700</xdr:colOff>
                    <xdr:row>3</xdr:row>
                    <xdr:rowOff>19050</xdr:rowOff>
                  </to>
                </anchor>
              </controlPr>
            </control>
          </mc:Choice>
        </mc:AlternateContent>
        <mc:AlternateContent xmlns:mc="http://schemas.openxmlformats.org/markup-compatibility/2006">
          <mc:Choice Requires="x14">
            <control shapeId="53306" r:id="rId17" name="Button 1082">
              <controlPr defaultSize="0" print="0" autoFill="0" autoPict="0" macro="[0]!Goto_Help1">
                <anchor>
                  <from>
                    <xdr:col>1</xdr:col>
                    <xdr:colOff>161925</xdr:colOff>
                    <xdr:row>1</xdr:row>
                    <xdr:rowOff>285750</xdr:rowOff>
                  </from>
                  <to>
                    <xdr:col>2</xdr:col>
                    <xdr:colOff>1066800</xdr:colOff>
                    <xdr:row>3</xdr:row>
                    <xdr:rowOff>19050</xdr:rowOff>
                  </to>
                </anchor>
              </controlPr>
            </control>
          </mc:Choice>
        </mc:AlternateContent>
        <mc:AlternateContent xmlns:mc="http://schemas.openxmlformats.org/markup-compatibility/2006">
          <mc:Choice Requires="x14">
            <control shapeId="53307" r:id="rId18" name="Button 1083">
              <controlPr defaultSize="0" print="0" autoFill="0" autoPict="0" macro="[0]!DisplayVitamins">
                <anchor>
                  <from>
                    <xdr:col>12</xdr:col>
                    <xdr:colOff>276225</xdr:colOff>
                    <xdr:row>1</xdr:row>
                    <xdr:rowOff>0</xdr:rowOff>
                  </from>
                  <to>
                    <xdr:col>14</xdr:col>
                    <xdr:colOff>95250</xdr:colOff>
                    <xdr:row>3</xdr:row>
                    <xdr:rowOff>19050</xdr:rowOff>
                  </to>
                </anchor>
              </controlPr>
            </control>
          </mc:Choice>
        </mc:AlternateContent>
        <mc:AlternateContent xmlns:mc="http://schemas.openxmlformats.org/markup-compatibility/2006">
          <mc:Choice Requires="x14">
            <control shapeId="53308" r:id="rId19" name="Button 1084">
              <controlPr defaultSize="0" print="0" autoFill="0" autoPict="0" macro="[0]!DisplayMinerals">
                <anchor>
                  <from>
                    <xdr:col>14</xdr:col>
                    <xdr:colOff>114300</xdr:colOff>
                    <xdr:row>1</xdr:row>
                    <xdr:rowOff>0</xdr:rowOff>
                  </from>
                  <to>
                    <xdr:col>16</xdr:col>
                    <xdr:colOff>0</xdr:colOff>
                    <xdr:row>3</xdr:row>
                    <xdr:rowOff>19050</xdr:rowOff>
                  </to>
                </anchor>
              </controlPr>
            </control>
          </mc:Choice>
        </mc:AlternateContent>
        <mc:AlternateContent xmlns:mc="http://schemas.openxmlformats.org/markup-compatibility/2006">
          <mc:Choice Requires="x14">
            <control shapeId="358055" r:id="rId20" name="DropDownPop">
              <controlPr defaultSize="0" autoLine="0" autoPict="0" macro="[0]!CalculationSheet_DropDownPop_Change">
                <anchor moveWithCells="1">
                  <from>
                    <xdr:col>2</xdr:col>
                    <xdr:colOff>1638300</xdr:colOff>
                    <xdr:row>47</xdr:row>
                    <xdr:rowOff>171450</xdr:rowOff>
                  </from>
                  <to>
                    <xdr:col>3</xdr:col>
                    <xdr:colOff>28575</xdr:colOff>
                    <xdr:row>49</xdr:row>
                    <xdr:rowOff>0</xdr:rowOff>
                  </to>
                </anchor>
              </controlPr>
            </control>
          </mc:Choice>
        </mc:AlternateContent>
        <mc:AlternateContent xmlns:mc="http://schemas.openxmlformats.org/markup-compatibility/2006">
          <mc:Choice Requires="x14">
            <control shapeId="745146" r:id="rId21" name="Spinner1">
              <controlPr defaultSize="0" autoPict="0">
                <anchor>
                  <from>
                    <xdr:col>4</xdr:col>
                    <xdr:colOff>38100</xdr:colOff>
                    <xdr:row>7</xdr:row>
                    <xdr:rowOff>0</xdr:rowOff>
                  </from>
                  <to>
                    <xdr:col>5</xdr:col>
                    <xdr:colOff>19050</xdr:colOff>
                    <xdr:row>7</xdr:row>
                    <xdr:rowOff>247650</xdr:rowOff>
                  </to>
                </anchor>
              </controlPr>
            </control>
          </mc:Choice>
        </mc:AlternateContent>
        <mc:AlternateContent xmlns:mc="http://schemas.openxmlformats.org/markup-compatibility/2006">
          <mc:Choice Requires="x14">
            <control shapeId="745147" r:id="rId22" name="Spinner2">
              <controlPr defaultSize="0" autoPict="0">
                <anchor>
                  <from>
                    <xdr:col>4</xdr:col>
                    <xdr:colOff>38100</xdr:colOff>
                    <xdr:row>8</xdr:row>
                    <xdr:rowOff>0</xdr:rowOff>
                  </from>
                  <to>
                    <xdr:col>5</xdr:col>
                    <xdr:colOff>19050</xdr:colOff>
                    <xdr:row>8</xdr:row>
                    <xdr:rowOff>247650</xdr:rowOff>
                  </to>
                </anchor>
              </controlPr>
            </control>
          </mc:Choice>
        </mc:AlternateContent>
        <mc:AlternateContent xmlns:mc="http://schemas.openxmlformats.org/markup-compatibility/2006">
          <mc:Choice Requires="x14">
            <control shapeId="745148" r:id="rId23" name="Spinner3">
              <controlPr defaultSize="0" autoPict="0">
                <anchor>
                  <from>
                    <xdr:col>4</xdr:col>
                    <xdr:colOff>38100</xdr:colOff>
                    <xdr:row>9</xdr:row>
                    <xdr:rowOff>0</xdr:rowOff>
                  </from>
                  <to>
                    <xdr:col>5</xdr:col>
                    <xdr:colOff>19050</xdr:colOff>
                    <xdr:row>9</xdr:row>
                    <xdr:rowOff>247650</xdr:rowOff>
                  </to>
                </anchor>
              </controlPr>
            </control>
          </mc:Choice>
        </mc:AlternateContent>
        <mc:AlternateContent xmlns:mc="http://schemas.openxmlformats.org/markup-compatibility/2006">
          <mc:Choice Requires="x14">
            <control shapeId="745149" r:id="rId24" name="Spinner4">
              <controlPr defaultSize="0" autoPict="0">
                <anchor>
                  <from>
                    <xdr:col>4</xdr:col>
                    <xdr:colOff>38100</xdr:colOff>
                    <xdr:row>10</xdr:row>
                    <xdr:rowOff>0</xdr:rowOff>
                  </from>
                  <to>
                    <xdr:col>5</xdr:col>
                    <xdr:colOff>19050</xdr:colOff>
                    <xdr:row>11</xdr:row>
                    <xdr:rowOff>0</xdr:rowOff>
                  </to>
                </anchor>
              </controlPr>
            </control>
          </mc:Choice>
        </mc:AlternateContent>
        <mc:AlternateContent xmlns:mc="http://schemas.openxmlformats.org/markup-compatibility/2006">
          <mc:Choice Requires="x14">
            <control shapeId="745150" r:id="rId25" name="Spinner5">
              <controlPr defaultSize="0" autoPict="0">
                <anchor>
                  <from>
                    <xdr:col>4</xdr:col>
                    <xdr:colOff>38100</xdr:colOff>
                    <xdr:row>11</xdr:row>
                    <xdr:rowOff>0</xdr:rowOff>
                  </from>
                  <to>
                    <xdr:col>5</xdr:col>
                    <xdr:colOff>19050</xdr:colOff>
                    <xdr:row>11</xdr:row>
                    <xdr:rowOff>247650</xdr:rowOff>
                  </to>
                </anchor>
              </controlPr>
            </control>
          </mc:Choice>
        </mc:AlternateContent>
        <mc:AlternateContent xmlns:mc="http://schemas.openxmlformats.org/markup-compatibility/2006">
          <mc:Choice Requires="x14">
            <control shapeId="745151" r:id="rId26" name="Spinner6">
              <controlPr defaultSize="0" autoPict="0">
                <anchor>
                  <from>
                    <xdr:col>4</xdr:col>
                    <xdr:colOff>38100</xdr:colOff>
                    <xdr:row>12</xdr:row>
                    <xdr:rowOff>0</xdr:rowOff>
                  </from>
                  <to>
                    <xdr:col>5</xdr:col>
                    <xdr:colOff>19050</xdr:colOff>
                    <xdr:row>12</xdr:row>
                    <xdr:rowOff>247650</xdr:rowOff>
                  </to>
                </anchor>
              </controlPr>
            </control>
          </mc:Choice>
        </mc:AlternateContent>
        <mc:AlternateContent xmlns:mc="http://schemas.openxmlformats.org/markup-compatibility/2006">
          <mc:Choice Requires="x14">
            <control shapeId="745152" r:id="rId27" name="Spinner7">
              <controlPr defaultSize="0" autoPict="0">
                <anchor>
                  <from>
                    <xdr:col>4</xdr:col>
                    <xdr:colOff>38100</xdr:colOff>
                    <xdr:row>13</xdr:row>
                    <xdr:rowOff>0</xdr:rowOff>
                  </from>
                  <to>
                    <xdr:col>5</xdr:col>
                    <xdr:colOff>19050</xdr:colOff>
                    <xdr:row>13</xdr:row>
                    <xdr:rowOff>247650</xdr:rowOff>
                  </to>
                </anchor>
              </controlPr>
            </control>
          </mc:Choice>
        </mc:AlternateContent>
        <mc:AlternateContent xmlns:mc="http://schemas.openxmlformats.org/markup-compatibility/2006">
          <mc:Choice Requires="x14">
            <control shapeId="745154" r:id="rId28" name="Spinner9">
              <controlPr defaultSize="0" autoPict="0">
                <anchor>
                  <from>
                    <xdr:col>4</xdr:col>
                    <xdr:colOff>38100</xdr:colOff>
                    <xdr:row>15</xdr:row>
                    <xdr:rowOff>0</xdr:rowOff>
                  </from>
                  <to>
                    <xdr:col>5</xdr:col>
                    <xdr:colOff>19050</xdr:colOff>
                    <xdr:row>15</xdr:row>
                    <xdr:rowOff>247650</xdr:rowOff>
                  </to>
                </anchor>
              </controlPr>
            </control>
          </mc:Choice>
        </mc:AlternateContent>
        <mc:AlternateContent xmlns:mc="http://schemas.openxmlformats.org/markup-compatibility/2006">
          <mc:Choice Requires="x14">
            <control shapeId="745155" r:id="rId29" name="Spinner8">
              <controlPr defaultSize="0" autoPict="0">
                <anchor>
                  <from>
                    <xdr:col>4</xdr:col>
                    <xdr:colOff>38100</xdr:colOff>
                    <xdr:row>14</xdr:row>
                    <xdr:rowOff>0</xdr:rowOff>
                  </from>
                  <to>
                    <xdr:col>5</xdr:col>
                    <xdr:colOff>19050</xdr:colOff>
                    <xdr:row>14</xdr:row>
                    <xdr:rowOff>247650</xdr:rowOff>
                  </to>
                </anchor>
              </controlPr>
            </control>
          </mc:Choice>
        </mc:AlternateContent>
        <mc:AlternateContent xmlns:mc="http://schemas.openxmlformats.org/markup-compatibility/2006">
          <mc:Choice Requires="x14">
            <control shapeId="745275" r:id="rId30" name="Ration_Spinner">
              <controlPr defaultSize="0" autoPict="0">
                <anchor moveWithCells="1">
                  <from>
                    <xdr:col>4</xdr:col>
                    <xdr:colOff>47625</xdr:colOff>
                    <xdr:row>47</xdr:row>
                    <xdr:rowOff>171450</xdr:rowOff>
                  </from>
                  <to>
                    <xdr:col>5</xdr:col>
                    <xdr:colOff>19050</xdr:colOff>
                    <xdr:row>50</xdr:row>
                    <xdr:rowOff>28575</xdr:rowOff>
                  </to>
                </anchor>
              </controlPr>
            </control>
          </mc:Choice>
        </mc:AlternateContent>
        <mc:AlternateContent xmlns:mc="http://schemas.openxmlformats.org/markup-compatibility/2006">
          <mc:Choice Requires="x14">
            <control shapeId="745463" r:id="rId31" name="Spinner10">
              <controlPr defaultSize="0" autoPict="0">
                <anchor>
                  <from>
                    <xdr:col>4</xdr:col>
                    <xdr:colOff>38100</xdr:colOff>
                    <xdr:row>16</xdr:row>
                    <xdr:rowOff>0</xdr:rowOff>
                  </from>
                  <to>
                    <xdr:col>5</xdr:col>
                    <xdr:colOff>19050</xdr:colOff>
                    <xdr:row>16</xdr:row>
                    <xdr:rowOff>247650</xdr:rowOff>
                  </to>
                </anchor>
              </controlPr>
            </control>
          </mc:Choice>
        </mc:AlternateContent>
        <mc:AlternateContent xmlns:mc="http://schemas.openxmlformats.org/markup-compatibility/2006">
          <mc:Choice Requires="x14">
            <control shapeId="745464" r:id="rId32" name="Spinner11">
              <controlPr defaultSize="0" autoPict="0">
                <anchor>
                  <from>
                    <xdr:col>4</xdr:col>
                    <xdr:colOff>38100</xdr:colOff>
                    <xdr:row>17</xdr:row>
                    <xdr:rowOff>0</xdr:rowOff>
                  </from>
                  <to>
                    <xdr:col>5</xdr:col>
                    <xdr:colOff>19050</xdr:colOff>
                    <xdr:row>27</xdr:row>
                    <xdr:rowOff>247650</xdr:rowOff>
                  </to>
                </anchor>
              </controlPr>
            </control>
          </mc:Choice>
        </mc:AlternateContent>
        <mc:AlternateContent xmlns:mc="http://schemas.openxmlformats.org/markup-compatibility/2006">
          <mc:Choice Requires="x14">
            <control shapeId="745465" r:id="rId33" name="Spinner12">
              <controlPr defaultSize="0" autoPict="0">
                <anchor>
                  <from>
                    <xdr:col>4</xdr:col>
                    <xdr:colOff>38100</xdr:colOff>
                    <xdr:row>27</xdr:row>
                    <xdr:rowOff>247650</xdr:rowOff>
                  </from>
                  <to>
                    <xdr:col>5</xdr:col>
                    <xdr:colOff>19050</xdr:colOff>
                    <xdr:row>28</xdr:row>
                    <xdr:rowOff>238125</xdr:rowOff>
                  </to>
                </anchor>
              </controlPr>
            </control>
          </mc:Choice>
        </mc:AlternateContent>
        <mc:AlternateContent xmlns:mc="http://schemas.openxmlformats.org/markup-compatibility/2006">
          <mc:Choice Requires="x14">
            <control shapeId="745466" r:id="rId34" name="Spinner13">
              <controlPr defaultSize="0" autoPict="0">
                <anchor>
                  <from>
                    <xdr:col>4</xdr:col>
                    <xdr:colOff>38100</xdr:colOff>
                    <xdr:row>28</xdr:row>
                    <xdr:rowOff>247650</xdr:rowOff>
                  </from>
                  <to>
                    <xdr:col>5</xdr:col>
                    <xdr:colOff>19050</xdr:colOff>
                    <xdr:row>48</xdr:row>
                    <xdr:rowOff>47625</xdr:rowOff>
                  </to>
                </anchor>
              </controlPr>
            </control>
          </mc:Choice>
        </mc:AlternateContent>
        <mc:AlternateContent xmlns:mc="http://schemas.openxmlformats.org/markup-compatibility/2006">
          <mc:Choice Requires="x14">
            <control shapeId="745467" r:id="rId35" name="Spinner14">
              <controlPr defaultSize="0" autoPict="0">
                <anchor>
                  <from>
                    <xdr:col>4</xdr:col>
                    <xdr:colOff>38100</xdr:colOff>
                    <xdr:row>48</xdr:row>
                    <xdr:rowOff>57150</xdr:rowOff>
                  </from>
                  <to>
                    <xdr:col>5</xdr:col>
                    <xdr:colOff>19050</xdr:colOff>
                    <xdr:row>50</xdr:row>
                    <xdr:rowOff>104775</xdr:rowOff>
                  </to>
                </anchor>
              </controlPr>
            </control>
          </mc:Choice>
        </mc:AlternateContent>
        <mc:AlternateContent xmlns:mc="http://schemas.openxmlformats.org/markup-compatibility/2006">
          <mc:Choice Requires="x14">
            <control shapeId="745468" r:id="rId36" name="Spinner15">
              <controlPr defaultSize="0" autoPict="0">
                <anchor>
                  <from>
                    <xdr:col>4</xdr:col>
                    <xdr:colOff>38100</xdr:colOff>
                    <xdr:row>50</xdr:row>
                    <xdr:rowOff>114300</xdr:rowOff>
                  </from>
                  <to>
                    <xdr:col>5</xdr:col>
                    <xdr:colOff>19050</xdr:colOff>
                    <xdr:row>51</xdr:row>
                    <xdr:rowOff>161925</xdr:rowOff>
                  </to>
                </anchor>
              </controlPr>
            </control>
          </mc:Choice>
        </mc:AlternateContent>
        <mc:AlternateContent xmlns:mc="http://schemas.openxmlformats.org/markup-compatibility/2006">
          <mc:Choice Requires="x14">
            <control shapeId="745469" r:id="rId37" name="Spinner16">
              <controlPr defaultSize="0" autoPict="0">
                <anchor>
                  <from>
                    <xdr:col>4</xdr:col>
                    <xdr:colOff>38100</xdr:colOff>
                    <xdr:row>51</xdr:row>
                    <xdr:rowOff>171450</xdr:rowOff>
                  </from>
                  <to>
                    <xdr:col>5</xdr:col>
                    <xdr:colOff>19050</xdr:colOff>
                    <xdr:row>53</xdr:row>
                    <xdr:rowOff>152400</xdr:rowOff>
                  </to>
                </anchor>
              </controlPr>
            </control>
          </mc:Choice>
        </mc:AlternateContent>
        <mc:AlternateContent xmlns:mc="http://schemas.openxmlformats.org/markup-compatibility/2006">
          <mc:Choice Requires="x14">
            <control shapeId="745470" r:id="rId38" name="Spinner17">
              <controlPr defaultSize="0" autoPict="0">
                <anchor>
                  <from>
                    <xdr:col>4</xdr:col>
                    <xdr:colOff>38100</xdr:colOff>
                    <xdr:row>53</xdr:row>
                    <xdr:rowOff>161925</xdr:rowOff>
                  </from>
                  <to>
                    <xdr:col>5</xdr:col>
                    <xdr:colOff>19050</xdr:colOff>
                    <xdr:row>55</xdr:row>
                    <xdr:rowOff>152400</xdr:rowOff>
                  </to>
                </anchor>
              </controlPr>
            </control>
          </mc:Choice>
        </mc:AlternateContent>
        <mc:AlternateContent xmlns:mc="http://schemas.openxmlformats.org/markup-compatibility/2006">
          <mc:Choice Requires="x14">
            <control shapeId="745471" r:id="rId39" name="Spinner18">
              <controlPr defaultSize="0" autoPict="0">
                <anchor>
                  <from>
                    <xdr:col>4</xdr:col>
                    <xdr:colOff>38100</xdr:colOff>
                    <xdr:row>55</xdr:row>
                    <xdr:rowOff>161925</xdr:rowOff>
                  </from>
                  <to>
                    <xdr:col>5</xdr:col>
                    <xdr:colOff>19050</xdr:colOff>
                    <xdr:row>57</xdr:row>
                    <xdr:rowOff>152400</xdr:rowOff>
                  </to>
                </anchor>
              </controlPr>
            </control>
          </mc:Choice>
        </mc:AlternateContent>
        <mc:AlternateContent xmlns:mc="http://schemas.openxmlformats.org/markup-compatibility/2006">
          <mc:Choice Requires="x14">
            <control shapeId="837734" r:id="rId40" name="Spinner19">
              <controlPr defaultSize="0" autoPict="0">
                <anchor>
                  <from>
                    <xdr:col>4</xdr:col>
                    <xdr:colOff>38100</xdr:colOff>
                    <xdr:row>57</xdr:row>
                    <xdr:rowOff>152400</xdr:rowOff>
                  </from>
                  <to>
                    <xdr:col>5</xdr:col>
                    <xdr:colOff>19050</xdr:colOff>
                    <xdr:row>59</xdr:row>
                    <xdr:rowOff>57150</xdr:rowOff>
                  </to>
                </anchor>
              </controlPr>
            </control>
          </mc:Choice>
        </mc:AlternateContent>
        <mc:AlternateContent xmlns:mc="http://schemas.openxmlformats.org/markup-compatibility/2006">
          <mc:Choice Requires="x14">
            <control shapeId="837862" r:id="rId41" name="Spinner20">
              <controlPr defaultSize="0" autoPict="0">
                <anchor>
                  <from>
                    <xdr:col>4</xdr:col>
                    <xdr:colOff>38100</xdr:colOff>
                    <xdr:row>59</xdr:row>
                    <xdr:rowOff>57150</xdr:rowOff>
                  </from>
                  <to>
                    <xdr:col>5</xdr:col>
                    <xdr:colOff>19050</xdr:colOff>
                    <xdr:row>61</xdr:row>
                    <xdr:rowOff>47625</xdr:rowOff>
                  </to>
                </anchor>
              </controlPr>
            </control>
          </mc:Choice>
        </mc:AlternateContent>
        <mc:AlternateContent xmlns:mc="http://schemas.openxmlformats.org/markup-compatibility/2006">
          <mc:Choice Requires="x14">
            <control shapeId="838281" r:id="rId42" name="Button7">
              <controlPr defaultSize="0" autoFill="0" autoPict="0" macro="[0]!Goto_MineralsBarChart">
                <anchor>
                  <from>
                    <xdr:col>10</xdr:col>
                    <xdr:colOff>476250</xdr:colOff>
                    <xdr:row>53</xdr:row>
                    <xdr:rowOff>0</xdr:rowOff>
                  </from>
                  <to>
                    <xdr:col>12</xdr:col>
                    <xdr:colOff>38100</xdr:colOff>
                    <xdr:row>56</xdr:row>
                    <xdr:rowOff>19050</xdr:rowOff>
                  </to>
                </anchor>
              </controlPr>
            </control>
          </mc:Choice>
        </mc:AlternateContent>
        <mc:AlternateContent xmlns:mc="http://schemas.openxmlformats.org/markup-compatibility/2006">
          <mc:Choice Requires="x14">
            <control shapeId="838293" r:id="rId43" name="Button4">
              <controlPr defaultSize="0" autoFill="0" autoPict="0" macro="[0]!Goto_MacronutrientPieChart">
                <anchor>
                  <from>
                    <xdr:col>7</xdr:col>
                    <xdr:colOff>190500</xdr:colOff>
                    <xdr:row>53</xdr:row>
                    <xdr:rowOff>0</xdr:rowOff>
                  </from>
                  <to>
                    <xdr:col>8</xdr:col>
                    <xdr:colOff>285750</xdr:colOff>
                    <xdr:row>56</xdr:row>
                    <xdr:rowOff>19050</xdr:rowOff>
                  </to>
                </anchor>
              </controlPr>
            </control>
          </mc:Choice>
        </mc:AlternateContent>
        <mc:AlternateContent xmlns:mc="http://schemas.openxmlformats.org/markup-compatibility/2006">
          <mc:Choice Requires="x14">
            <control shapeId="838294" r:id="rId44" name="Button2">
              <controlPr defaultSize="0" autoFill="0" autoPict="0" macro="[0]!Maize_Based_Ration">
                <anchor>
                  <from>
                    <xdr:col>2</xdr:col>
                    <xdr:colOff>819150</xdr:colOff>
                    <xdr:row>53</xdr:row>
                    <xdr:rowOff>0</xdr:rowOff>
                  </from>
                  <to>
                    <xdr:col>2</xdr:col>
                    <xdr:colOff>1571625</xdr:colOff>
                    <xdr:row>56</xdr:row>
                    <xdr:rowOff>19050</xdr:rowOff>
                  </to>
                </anchor>
              </controlPr>
            </control>
          </mc:Choice>
        </mc:AlternateContent>
        <mc:AlternateContent xmlns:mc="http://schemas.openxmlformats.org/markup-compatibility/2006">
          <mc:Choice Requires="x14">
            <control shapeId="838295" r:id="rId45" name="Button6">
              <controlPr defaultSize="0" autoFill="0" autoPict="0" macro="[0]!Goto_VitaminRadarChart">
                <anchor>
                  <from>
                    <xdr:col>9</xdr:col>
                    <xdr:colOff>438150</xdr:colOff>
                    <xdr:row>53</xdr:row>
                    <xdr:rowOff>0</xdr:rowOff>
                  </from>
                  <to>
                    <xdr:col>10</xdr:col>
                    <xdr:colOff>476250</xdr:colOff>
                    <xdr:row>56</xdr:row>
                    <xdr:rowOff>19050</xdr:rowOff>
                  </to>
                </anchor>
              </controlPr>
            </control>
          </mc:Choice>
        </mc:AlternateContent>
        <mc:AlternateContent xmlns:mc="http://schemas.openxmlformats.org/markup-compatibility/2006">
          <mc:Choice Requires="x14">
            <control shapeId="838296" r:id="rId46" name="Button3">
              <controlPr defaultSize="0" autoFill="0" autoPict="0" macro="[0]!Rice_Based_Ration">
                <anchor>
                  <from>
                    <xdr:col>2</xdr:col>
                    <xdr:colOff>1590675</xdr:colOff>
                    <xdr:row>53</xdr:row>
                    <xdr:rowOff>0</xdr:rowOff>
                  </from>
                  <to>
                    <xdr:col>2</xdr:col>
                    <xdr:colOff>2314575</xdr:colOff>
                    <xdr:row>56</xdr:row>
                    <xdr:rowOff>19050</xdr:rowOff>
                  </to>
                </anchor>
              </controlPr>
            </control>
          </mc:Choice>
        </mc:AlternateContent>
        <mc:AlternateContent xmlns:mc="http://schemas.openxmlformats.org/markup-compatibility/2006">
          <mc:Choice Requires="x14">
            <control shapeId="838312" r:id="rId47" name="Button5">
              <controlPr defaultSize="0" autoFill="0" autoPict="0" macro="[0]!Goto_VitaminsBarChart">
                <anchor>
                  <from>
                    <xdr:col>8</xdr:col>
                    <xdr:colOff>304800</xdr:colOff>
                    <xdr:row>53</xdr:row>
                    <xdr:rowOff>0</xdr:rowOff>
                  </from>
                  <to>
                    <xdr:col>9</xdr:col>
                    <xdr:colOff>428625</xdr:colOff>
                    <xdr:row>56</xdr:row>
                    <xdr:rowOff>19050</xdr:rowOff>
                  </to>
                </anchor>
              </controlPr>
            </control>
          </mc:Choice>
        </mc:AlternateContent>
        <mc:AlternateContent xmlns:mc="http://schemas.openxmlformats.org/markup-compatibility/2006">
          <mc:Choice Requires="x14">
            <control shapeId="838313" r:id="rId48" name="Button1">
              <controlPr defaultSize="0" autoFill="0" autoPict="0" macro="[0]!Wheat_Based_Ration">
                <anchor>
                  <from>
                    <xdr:col>2</xdr:col>
                    <xdr:colOff>47625</xdr:colOff>
                    <xdr:row>53</xdr:row>
                    <xdr:rowOff>0</xdr:rowOff>
                  </from>
                  <to>
                    <xdr:col>2</xdr:col>
                    <xdr:colOff>800100</xdr:colOff>
                    <xdr:row>56</xdr:row>
                    <xdr:rowOff>19050</xdr:rowOff>
                  </to>
                </anchor>
              </controlPr>
            </control>
          </mc:Choice>
        </mc:AlternateContent>
        <mc:AlternateContent xmlns:mc="http://schemas.openxmlformats.org/markup-compatibility/2006">
          <mc:Choice Requires="x14">
            <control shapeId="838314" r:id="rId49" name="Button8">
              <controlPr defaultSize="0" autoFill="0" autoPict="0" macro="[0]!Goto_MineralRadarChart">
                <anchor>
                  <from>
                    <xdr:col>12</xdr:col>
                    <xdr:colOff>57150</xdr:colOff>
                    <xdr:row>53</xdr:row>
                    <xdr:rowOff>0</xdr:rowOff>
                  </from>
                  <to>
                    <xdr:col>13</xdr:col>
                    <xdr:colOff>190500</xdr:colOff>
                    <xdr:row>56</xdr:row>
                    <xdr:rowOff>19050</xdr:rowOff>
                  </to>
                </anchor>
              </controlPr>
            </control>
          </mc:Choice>
        </mc:AlternateContent>
        <mc:AlternateContent xmlns:mc="http://schemas.openxmlformats.org/markup-compatibility/2006">
          <mc:Choice Requires="x14">
            <control shapeId="838317" r:id="rId50" name="Button11">
              <controlPr defaultSize="0" autoFill="0" autoPict="0" macro="[0]!Calculation_Sheet_Export">
                <anchor>
                  <from>
                    <xdr:col>15</xdr:col>
                    <xdr:colOff>0</xdr:colOff>
                    <xdr:row>53</xdr:row>
                    <xdr:rowOff>0</xdr:rowOff>
                  </from>
                  <to>
                    <xdr:col>15</xdr:col>
                    <xdr:colOff>542925</xdr:colOff>
                    <xdr:row>56</xdr:row>
                    <xdr:rowOff>19050</xdr:rowOff>
                  </to>
                </anchor>
              </controlPr>
            </control>
          </mc:Choice>
        </mc:AlternateContent>
        <mc:AlternateContent xmlns:mc="http://schemas.openxmlformats.org/markup-compatibility/2006">
          <mc:Choice Requires="x14">
            <control shapeId="1936263" r:id="rId51" name="Button9">
              <controlPr defaultSize="0" autoFill="0" autoPict="0" macro="[0]!DataWrite">
                <anchor>
                  <from>
                    <xdr:col>13</xdr:col>
                    <xdr:colOff>209550</xdr:colOff>
                    <xdr:row>53</xdr:row>
                    <xdr:rowOff>0</xdr:rowOff>
                  </from>
                  <to>
                    <xdr:col>14</xdr:col>
                    <xdr:colOff>38100</xdr:colOff>
                    <xdr:row>56</xdr:row>
                    <xdr:rowOff>19050</xdr:rowOff>
                  </to>
                </anchor>
              </controlPr>
            </control>
          </mc:Choice>
        </mc:AlternateContent>
        <mc:AlternateContent xmlns:mc="http://schemas.openxmlformats.org/markup-compatibility/2006">
          <mc:Choice Requires="x14">
            <control shapeId="1936309" r:id="rId52" name="Button10">
              <controlPr defaultSize="0" autoFill="0" autoPict="0" macro="[0]!ShowSavedDataUF">
                <anchor>
                  <from>
                    <xdr:col>14</xdr:col>
                    <xdr:colOff>47625</xdr:colOff>
                    <xdr:row>53</xdr:row>
                    <xdr:rowOff>0</xdr:rowOff>
                  </from>
                  <to>
                    <xdr:col>15</xdr:col>
                    <xdr:colOff>0</xdr:colOff>
                    <xdr:row>56</xdr:row>
                    <xdr:rowOff>19050</xdr:rowOff>
                  </to>
                </anchor>
              </controlPr>
            </control>
          </mc:Choice>
        </mc:AlternateContent>
        <mc:AlternateContent xmlns:mc="http://schemas.openxmlformats.org/markup-compatibility/2006">
          <mc:Choice Requires="x14">
            <control shapeId="3133578" r:id="rId53" name="Button12">
              <controlPr defaultSize="0" autoFill="0" autoPict="0" macro="[0]!Clear_Ration_Sheet">
                <anchor>
                  <from>
                    <xdr:col>2</xdr:col>
                    <xdr:colOff>2333625</xdr:colOff>
                    <xdr:row>53</xdr:row>
                    <xdr:rowOff>0</xdr:rowOff>
                  </from>
                  <to>
                    <xdr:col>2</xdr:col>
                    <xdr:colOff>2733675</xdr:colOff>
                    <xdr:row>56</xdr:row>
                    <xdr:rowOff>19050</xdr:rowOff>
                  </to>
                </anchor>
              </controlPr>
            </control>
          </mc:Choice>
        </mc:AlternateContent>
        <mc:AlternateContent xmlns:mc="http://schemas.openxmlformats.org/markup-compatibility/2006">
          <mc:Choice Requires="x14">
            <control shapeId="3134008" r:id="rId54" name="Button 13880">
              <controlPr defaultSize="0" print="0" autoFill="0" autoPict="0" macro="[0]!LogsCalculator">
                <anchor>
                  <from>
                    <xdr:col>2</xdr:col>
                    <xdr:colOff>2190750</xdr:colOff>
                    <xdr:row>1</xdr:row>
                    <xdr:rowOff>0</xdr:rowOff>
                  </from>
                  <to>
                    <xdr:col>2</xdr:col>
                    <xdr:colOff>3267075</xdr:colOff>
                    <xdr:row>3</xdr:row>
                    <xdr:rowOff>19050</xdr:rowOff>
                  </to>
                </anchor>
              </controlPr>
            </control>
          </mc:Choice>
        </mc:AlternateContent>
        <mc:AlternateContent xmlns:mc="http://schemas.openxmlformats.org/markup-compatibility/2006">
          <mc:Choice Requires="x14">
            <control shapeId="518563" r:id="rId55" name="Button 4515">
              <controlPr defaultSize="0" print="0" autoFill="0" autoPict="0" macro="[0]!AddRow">
                <anchor moveWithCells="1">
                  <from>
                    <xdr:col>3</xdr:col>
                    <xdr:colOff>95250</xdr:colOff>
                    <xdr:row>5</xdr:row>
                    <xdr:rowOff>381000</xdr:rowOff>
                  </from>
                  <to>
                    <xdr:col>4</xdr:col>
                    <xdr:colOff>114300</xdr:colOff>
                    <xdr:row>6</xdr:row>
                    <xdr:rowOff>114300</xdr:rowOff>
                  </to>
                </anchor>
              </controlPr>
            </control>
          </mc:Choice>
        </mc:AlternateContent>
        <mc:AlternateContent xmlns:mc="http://schemas.openxmlformats.org/markup-compatibility/2006">
          <mc:Choice Requires="x14">
            <control shapeId="518570" r:id="rId56" name="Button 4522">
              <controlPr defaultSize="0" print="0" autoFill="0" autoPict="0" macro="[0]!DeleteRow">
                <anchor moveWithCells="1">
                  <from>
                    <xdr:col>4</xdr:col>
                    <xdr:colOff>133350</xdr:colOff>
                    <xdr:row>5</xdr:row>
                    <xdr:rowOff>381000</xdr:rowOff>
                  </from>
                  <to>
                    <xdr:col>4</xdr:col>
                    <xdr:colOff>314325</xdr:colOff>
                    <xdr:row>6</xdr:row>
                    <xdr:rowOff>114300</xdr:rowOff>
                  </to>
                </anchor>
              </controlPr>
            </control>
          </mc:Choice>
        </mc:AlternateContent>
        <mc:AlternateContent xmlns:mc="http://schemas.openxmlformats.org/markup-compatibility/2006">
          <mc:Choice Requires="x14">
            <control shapeId="838231" r:id="rId57" name="Button 10839">
              <controlPr defaultSize="0" print="0" autoFill="0" autoPict="0" macro="[0]!AddRowOther">
                <anchor moveWithCells="1">
                  <from>
                    <xdr:col>3</xdr:col>
                    <xdr:colOff>85725</xdr:colOff>
                    <xdr:row>27</xdr:row>
                    <xdr:rowOff>57150</xdr:rowOff>
                  </from>
                  <to>
                    <xdr:col>4</xdr:col>
                    <xdr:colOff>114300</xdr:colOff>
                    <xdr:row>27</xdr:row>
                    <xdr:rowOff>238125</xdr:rowOff>
                  </to>
                </anchor>
              </controlPr>
            </control>
          </mc:Choice>
        </mc:AlternateContent>
        <mc:AlternateContent xmlns:mc="http://schemas.openxmlformats.org/markup-compatibility/2006">
          <mc:Choice Requires="x14">
            <control shapeId="838232" r:id="rId58" name="Button 10840">
              <controlPr defaultSize="0" print="0" autoFill="0" autoPict="0" macro="[0]!DeleteRowOther">
                <anchor moveWithCells="1">
                  <from>
                    <xdr:col>4</xdr:col>
                    <xdr:colOff>133350</xdr:colOff>
                    <xdr:row>27</xdr:row>
                    <xdr:rowOff>57150</xdr:rowOff>
                  </from>
                  <to>
                    <xdr:col>4</xdr:col>
                    <xdr:colOff>314325</xdr:colOff>
                    <xdr:row>27</xdr:row>
                    <xdr:rowOff>238125</xdr:rowOff>
                  </to>
                </anchor>
              </controlPr>
            </control>
          </mc:Choice>
        </mc:AlternateContent>
        <mc:AlternateContent xmlns:mc="http://schemas.openxmlformats.org/markup-compatibility/2006">
          <mc:Choice Requires="x14">
            <control shapeId="6462952" r:id="rId59" name="Button13">
              <controlPr defaultSize="0" autoFill="0" autoPict="0" macro="[0]!PivotAnalysis">
                <anchor>
                  <from>
                    <xdr:col>10</xdr:col>
                    <xdr:colOff>276225</xdr:colOff>
                    <xdr:row>1</xdr:row>
                    <xdr:rowOff>0</xdr:rowOff>
                  </from>
                  <to>
                    <xdr:col>12</xdr:col>
                    <xdr:colOff>257175</xdr:colOff>
                    <xdr:row>3</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165"/>
  <sheetViews>
    <sheetView zoomScale="80" zoomScaleNormal="80" workbookViewId="0">
      <selection activeCell="E526" sqref="E526"/>
    </sheetView>
  </sheetViews>
  <sheetFormatPr defaultRowHeight="15" customHeight="1" x14ac:dyDescent="0.25"/>
  <cols>
    <col min="1" max="1" width="29.109375" style="893" bestFit="1" customWidth="1"/>
    <col min="2" max="2" width="17.21875" style="893" bestFit="1" customWidth="1"/>
    <col min="3" max="3" width="9" style="893" bestFit="1" customWidth="1"/>
    <col min="4" max="4" width="29.88671875" style="893" bestFit="1" customWidth="1"/>
    <col min="5" max="5" width="26.77734375" style="893" bestFit="1" customWidth="1"/>
    <col min="6" max="6" width="16.109375" style="893" bestFit="1" customWidth="1"/>
    <col min="7" max="7" width="9.5546875" style="893" bestFit="1" customWidth="1"/>
    <col min="8" max="8" width="8.109375" style="893" bestFit="1" customWidth="1"/>
    <col min="9" max="9" width="5.109375" style="893" bestFit="1" customWidth="1"/>
    <col min="10" max="10" width="9.77734375" style="893" bestFit="1" customWidth="1"/>
    <col min="11" max="11" width="9.5546875" style="893" bestFit="1" customWidth="1"/>
    <col min="12" max="12" width="8.33203125" style="893" bestFit="1" customWidth="1"/>
    <col min="13" max="13" width="7.109375" style="893" bestFit="1" customWidth="1"/>
    <col min="14" max="14" width="12.44140625" style="893" bestFit="1" customWidth="1"/>
    <col min="15" max="15" width="10.44140625" style="893" bestFit="1" customWidth="1"/>
    <col min="16" max="16" width="7.109375" style="893" bestFit="1" customWidth="1"/>
    <col min="17" max="17" width="13.77734375" style="893" bestFit="1" customWidth="1"/>
    <col min="18" max="18" width="10.77734375" style="893" bestFit="1" customWidth="1"/>
    <col min="19" max="19" width="11.33203125" style="893" bestFit="1" customWidth="1"/>
    <col min="20" max="20" width="8.6640625" style="893" bestFit="1" customWidth="1"/>
    <col min="21" max="21" width="13.88671875" style="893" bestFit="1" customWidth="1"/>
    <col min="22" max="22" width="11.77734375" style="893" bestFit="1" customWidth="1"/>
    <col min="23" max="23" width="11.109375" style="893" bestFit="1" customWidth="1"/>
    <col min="24" max="24" width="12.109375" style="893" bestFit="1" customWidth="1"/>
    <col min="25" max="25" width="11" style="893" bestFit="1" customWidth="1"/>
    <col min="26" max="26" width="10.6640625" style="893" bestFit="1" customWidth="1"/>
    <col min="27" max="27" width="10.88671875" style="893" bestFit="1" customWidth="1"/>
    <col min="28" max="28" width="10.5546875" style="893" bestFit="1" customWidth="1"/>
    <col min="29" max="29" width="21.77734375" style="893" bestFit="1" customWidth="1"/>
    <col min="30" max="30" width="12.44140625" style="893" bestFit="1" customWidth="1"/>
    <col min="31" max="16384" width="8.88671875" style="893"/>
  </cols>
  <sheetData>
    <row r="1" spans="1:30" ht="25.5" customHeight="1" x14ac:dyDescent="0.25">
      <c r="A1" s="889" t="s">
        <v>710</v>
      </c>
      <c r="B1" s="889" t="s">
        <v>684</v>
      </c>
      <c r="C1" s="889" t="s">
        <v>683</v>
      </c>
      <c r="D1" s="889" t="s">
        <v>725</v>
      </c>
      <c r="E1" s="889" t="s">
        <v>685</v>
      </c>
      <c r="F1" s="889" t="s">
        <v>695</v>
      </c>
      <c r="G1" s="890" t="s">
        <v>320</v>
      </c>
      <c r="H1" s="890" t="s">
        <v>321</v>
      </c>
      <c r="I1" s="890" t="s">
        <v>688</v>
      </c>
      <c r="J1" s="890" t="s">
        <v>174</v>
      </c>
      <c r="K1" s="890" t="s">
        <v>300</v>
      </c>
      <c r="L1" s="890" t="s">
        <v>689</v>
      </c>
      <c r="M1" s="890" t="s">
        <v>694</v>
      </c>
      <c r="N1" s="890" t="s">
        <v>301</v>
      </c>
      <c r="O1" s="890" t="s">
        <v>727</v>
      </c>
      <c r="P1" s="890" t="s">
        <v>696</v>
      </c>
      <c r="Q1" s="891" t="s">
        <v>697</v>
      </c>
      <c r="R1" s="890" t="s">
        <v>309</v>
      </c>
      <c r="S1" s="890" t="s">
        <v>308</v>
      </c>
      <c r="T1" s="890" t="s">
        <v>307</v>
      </c>
      <c r="U1" s="890" t="s">
        <v>304</v>
      </c>
      <c r="V1" s="890" t="s">
        <v>303</v>
      </c>
      <c r="W1" s="891" t="s">
        <v>698</v>
      </c>
      <c r="X1" s="890" t="s">
        <v>699</v>
      </c>
      <c r="Y1" s="890" t="s">
        <v>306</v>
      </c>
      <c r="Z1" s="890" t="s">
        <v>728</v>
      </c>
      <c r="AA1" s="890" t="s">
        <v>305</v>
      </c>
      <c r="AB1" s="890" t="s">
        <v>729</v>
      </c>
      <c r="AC1" s="890" t="s">
        <v>726</v>
      </c>
      <c r="AD1" s="892" t="s">
        <v>730</v>
      </c>
    </row>
    <row r="2" spans="1:30" ht="15" customHeight="1" x14ac:dyDescent="0.25">
      <c r="A2" s="893" t="s">
        <v>775</v>
      </c>
      <c r="B2" s="893" t="s">
        <v>773</v>
      </c>
      <c r="C2" s="894">
        <v>41883</v>
      </c>
      <c r="D2" s="893" t="s">
        <v>702</v>
      </c>
      <c r="E2" s="893" t="s">
        <v>865</v>
      </c>
      <c r="F2" s="893">
        <v>450</v>
      </c>
      <c r="G2" s="893">
        <v>1506</v>
      </c>
      <c r="H2" s="893">
        <v>55.530000000000008</v>
      </c>
      <c r="I2" s="893">
        <v>8.3925000000000018</v>
      </c>
      <c r="J2" s="893">
        <v>135.75</v>
      </c>
      <c r="K2" s="893">
        <v>1.9770000000000001</v>
      </c>
      <c r="L2" s="893" t="s">
        <v>679</v>
      </c>
      <c r="M2" s="893">
        <v>17.587500000000002</v>
      </c>
      <c r="N2" s="893">
        <v>527.25</v>
      </c>
      <c r="O2" s="893">
        <v>346.2</v>
      </c>
      <c r="P2" s="893">
        <v>14.2575</v>
      </c>
      <c r="Q2" s="893">
        <v>0</v>
      </c>
      <c r="R2" s="893">
        <v>1.8727500000000004</v>
      </c>
      <c r="S2" s="893">
        <v>0.49274999999999991</v>
      </c>
      <c r="T2" s="893">
        <v>23.894250000000003</v>
      </c>
      <c r="U2" s="893">
        <v>4.1084999999999994</v>
      </c>
      <c r="V2" s="893">
        <v>1.5547499999999999</v>
      </c>
      <c r="W2" s="893">
        <v>183</v>
      </c>
      <c r="X2" s="893">
        <v>0</v>
      </c>
      <c r="Y2" s="893">
        <v>0</v>
      </c>
      <c r="Z2" s="893">
        <v>0</v>
      </c>
      <c r="AA2" s="893">
        <v>4.5449999999999999</v>
      </c>
      <c r="AB2" s="893">
        <v>8.5500000000000007</v>
      </c>
      <c r="AC2" s="893" t="s">
        <v>2</v>
      </c>
      <c r="AD2" s="893">
        <v>1</v>
      </c>
    </row>
    <row r="3" spans="1:30" ht="15" customHeight="1" x14ac:dyDescent="0.25">
      <c r="A3" s="893" t="s">
        <v>775</v>
      </c>
      <c r="B3" s="893" t="s">
        <v>773</v>
      </c>
      <c r="C3" s="894">
        <v>41883</v>
      </c>
      <c r="D3" s="893" t="s">
        <v>702</v>
      </c>
      <c r="E3" s="893" t="s">
        <v>9</v>
      </c>
      <c r="F3" s="893">
        <v>60</v>
      </c>
      <c r="G3" s="893">
        <v>203.88</v>
      </c>
      <c r="H3" s="893">
        <v>13.218</v>
      </c>
      <c r="I3" s="893">
        <v>0.69959999999999989</v>
      </c>
      <c r="J3" s="893">
        <v>84.96</v>
      </c>
      <c r="K3" s="893">
        <v>0.51983999999999997</v>
      </c>
      <c r="L3" s="893" t="s">
        <v>679</v>
      </c>
      <c r="M3" s="893">
        <v>3.7199999999999993</v>
      </c>
      <c r="N3" s="893">
        <v>103.44</v>
      </c>
      <c r="O3" s="893">
        <v>8.16</v>
      </c>
      <c r="P3" s="893">
        <v>1.6296000000000002</v>
      </c>
      <c r="Q3" s="893">
        <v>0</v>
      </c>
      <c r="R3" s="893">
        <v>0.41304000000000002</v>
      </c>
      <c r="S3" s="893">
        <v>0.12288</v>
      </c>
      <c r="T3" s="893">
        <v>1.1122800000000002</v>
      </c>
      <c r="U3" s="893">
        <v>0.52847999999999995</v>
      </c>
      <c r="V3" s="893">
        <v>0.27275999999999995</v>
      </c>
      <c r="W3" s="893">
        <v>267.36</v>
      </c>
      <c r="X3" s="893">
        <v>0</v>
      </c>
      <c r="Y3" s="893">
        <v>2.4150000000000005</v>
      </c>
      <c r="Z3" s="893">
        <v>0</v>
      </c>
      <c r="AA3" s="893">
        <v>0.10559999999999999</v>
      </c>
      <c r="AB3" s="893">
        <v>4.6560000000000006</v>
      </c>
      <c r="AC3" s="893" t="s">
        <v>2</v>
      </c>
      <c r="AD3" s="893">
        <v>1</v>
      </c>
    </row>
    <row r="4" spans="1:30" ht="15" customHeight="1" x14ac:dyDescent="0.25">
      <c r="A4" s="893" t="s">
        <v>775</v>
      </c>
      <c r="B4" s="893" t="s">
        <v>773</v>
      </c>
      <c r="C4" s="894">
        <v>41883</v>
      </c>
      <c r="D4" s="893" t="s">
        <v>702</v>
      </c>
      <c r="E4" s="893" t="s">
        <v>663</v>
      </c>
      <c r="F4" s="893">
        <v>30</v>
      </c>
      <c r="G4" s="893">
        <v>265.2</v>
      </c>
      <c r="H4" s="893">
        <v>0</v>
      </c>
      <c r="I4" s="893">
        <v>30</v>
      </c>
      <c r="J4" s="893">
        <v>0</v>
      </c>
      <c r="K4" s="893" t="s">
        <v>679</v>
      </c>
      <c r="L4" s="893" t="s">
        <v>679</v>
      </c>
      <c r="M4" s="893">
        <v>0</v>
      </c>
      <c r="N4" s="893" t="s">
        <v>679</v>
      </c>
      <c r="O4" s="893" t="s">
        <v>679</v>
      </c>
      <c r="P4" s="893" t="s">
        <v>679</v>
      </c>
      <c r="Q4" s="893">
        <v>270.27027027027026</v>
      </c>
      <c r="R4" s="893">
        <v>0</v>
      </c>
      <c r="S4" s="893">
        <v>0</v>
      </c>
      <c r="T4" s="893">
        <v>0</v>
      </c>
      <c r="U4" s="893">
        <v>0</v>
      </c>
      <c r="V4" s="893">
        <v>0</v>
      </c>
      <c r="W4" s="893">
        <v>0</v>
      </c>
      <c r="X4" s="893">
        <v>0</v>
      </c>
      <c r="Y4" s="893">
        <v>0</v>
      </c>
      <c r="Z4" s="893">
        <v>2.25</v>
      </c>
      <c r="AA4" s="893" t="s">
        <v>679</v>
      </c>
      <c r="AB4" s="893" t="s">
        <v>679</v>
      </c>
      <c r="AC4" s="893" t="s">
        <v>2</v>
      </c>
      <c r="AD4" s="893">
        <v>1</v>
      </c>
    </row>
    <row r="5" spans="1:30" ht="15" customHeight="1" x14ac:dyDescent="0.25">
      <c r="A5" s="893" t="s">
        <v>775</v>
      </c>
      <c r="B5" s="893" t="s">
        <v>773</v>
      </c>
      <c r="C5" s="894">
        <v>41883</v>
      </c>
      <c r="D5" s="893" t="s">
        <v>702</v>
      </c>
      <c r="E5" s="893" t="s">
        <v>662</v>
      </c>
      <c r="F5" s="893">
        <v>60</v>
      </c>
      <c r="G5" s="893">
        <v>225.46799999999999</v>
      </c>
      <c r="H5" s="893">
        <v>9.1739999999999995</v>
      </c>
      <c r="I5" s="893">
        <v>4.8179999999999996</v>
      </c>
      <c r="J5" s="893">
        <v>237.88800000000003</v>
      </c>
      <c r="K5" s="893">
        <v>0.28199999999999997</v>
      </c>
      <c r="L5" s="893">
        <v>24</v>
      </c>
      <c r="M5" s="893">
        <v>5.6459999999999999</v>
      </c>
      <c r="N5" s="893" t="s">
        <v>679</v>
      </c>
      <c r="O5" s="893">
        <v>9.5939999999999994</v>
      </c>
      <c r="P5" s="893">
        <v>4.6079999999999997</v>
      </c>
      <c r="Q5" s="893">
        <v>332.98200000000003</v>
      </c>
      <c r="R5" s="893">
        <v>0.35399999999999998</v>
      </c>
      <c r="S5" s="893">
        <v>0.42599999999999993</v>
      </c>
      <c r="T5" s="893">
        <v>6.63</v>
      </c>
      <c r="U5" s="893">
        <v>1.212</v>
      </c>
      <c r="V5" s="893">
        <v>0.91799999999999993</v>
      </c>
      <c r="W5" s="893">
        <v>94.722000000000008</v>
      </c>
      <c r="X5" s="893">
        <v>1.2</v>
      </c>
      <c r="Y5" s="893">
        <v>60.552</v>
      </c>
      <c r="Z5" s="893">
        <v>3.6</v>
      </c>
      <c r="AA5" s="893">
        <v>5.76</v>
      </c>
      <c r="AB5" s="893" t="s">
        <v>679</v>
      </c>
      <c r="AC5" s="893" t="s">
        <v>2</v>
      </c>
      <c r="AD5" s="893">
        <v>1</v>
      </c>
    </row>
    <row r="6" spans="1:30" ht="15" customHeight="1" x14ac:dyDescent="0.25">
      <c r="A6" s="893" t="s">
        <v>775</v>
      </c>
      <c r="B6" s="893" t="s">
        <v>773</v>
      </c>
      <c r="C6" s="894">
        <v>41883</v>
      </c>
      <c r="D6" s="893" t="s">
        <v>702</v>
      </c>
      <c r="E6" s="893" t="s">
        <v>664</v>
      </c>
      <c r="F6" s="893">
        <v>5</v>
      </c>
      <c r="G6" s="893">
        <v>0</v>
      </c>
      <c r="H6" s="893">
        <v>0</v>
      </c>
      <c r="I6" s="893">
        <v>0</v>
      </c>
      <c r="J6" s="893" t="s">
        <v>679</v>
      </c>
      <c r="K6" s="893" t="s">
        <v>679</v>
      </c>
      <c r="L6" s="893">
        <v>200</v>
      </c>
      <c r="M6" s="893" t="s">
        <v>679</v>
      </c>
      <c r="N6" s="893" t="s">
        <v>679</v>
      </c>
      <c r="O6" s="893" t="s">
        <v>679</v>
      </c>
      <c r="P6" s="893">
        <v>0</v>
      </c>
      <c r="Q6" s="893">
        <v>0</v>
      </c>
      <c r="R6" s="893">
        <v>0</v>
      </c>
      <c r="S6" s="893">
        <v>0</v>
      </c>
      <c r="T6" s="893">
        <v>0</v>
      </c>
      <c r="U6" s="893">
        <v>0</v>
      </c>
      <c r="V6" s="893">
        <v>0</v>
      </c>
      <c r="W6" s="893">
        <v>0</v>
      </c>
      <c r="X6" s="893">
        <v>0</v>
      </c>
      <c r="Y6" s="893">
        <v>0</v>
      </c>
      <c r="Z6" s="893">
        <v>0</v>
      </c>
      <c r="AA6" s="893">
        <v>0</v>
      </c>
      <c r="AB6" s="893">
        <v>0</v>
      </c>
      <c r="AC6" s="893" t="s">
        <v>2</v>
      </c>
      <c r="AD6" s="893">
        <v>1</v>
      </c>
    </row>
    <row r="7" spans="1:30" ht="15" customHeight="1" x14ac:dyDescent="0.25">
      <c r="A7" s="893" t="s">
        <v>775</v>
      </c>
      <c r="B7" s="893" t="s">
        <v>773</v>
      </c>
      <c r="C7" s="894">
        <v>41883</v>
      </c>
      <c r="D7" s="893" t="s">
        <v>702</v>
      </c>
      <c r="E7" s="893" t="s">
        <v>941</v>
      </c>
      <c r="F7" s="893">
        <v>5</v>
      </c>
      <c r="G7" s="893">
        <v>13.8</v>
      </c>
      <c r="H7" s="893">
        <v>0.45549999999999996</v>
      </c>
      <c r="I7" s="893">
        <v>0.3715</v>
      </c>
      <c r="J7" s="893">
        <v>94.5</v>
      </c>
      <c r="K7" s="893">
        <v>4.2999999999999997E-2</v>
      </c>
      <c r="L7" s="893" t="s">
        <v>679</v>
      </c>
      <c r="M7" s="893">
        <v>6.18</v>
      </c>
      <c r="N7" s="893">
        <v>11</v>
      </c>
      <c r="O7" s="893">
        <v>0.23</v>
      </c>
      <c r="P7" s="893">
        <v>0.309</v>
      </c>
      <c r="Q7" s="893">
        <v>9.5</v>
      </c>
      <c r="R7" s="893">
        <v>2.5649999999999999E-2</v>
      </c>
      <c r="S7" s="893">
        <v>1.9950000000000002E-2</v>
      </c>
      <c r="T7" s="893">
        <v>0.24700000000000003</v>
      </c>
      <c r="U7" s="893" t="s">
        <v>679</v>
      </c>
      <c r="V7" s="893">
        <v>2.75E-2</v>
      </c>
      <c r="W7" s="893">
        <v>13.7</v>
      </c>
      <c r="X7" s="893">
        <v>0</v>
      </c>
      <c r="Y7" s="893">
        <v>2.5</v>
      </c>
      <c r="Z7" s="893">
        <v>0</v>
      </c>
      <c r="AA7" s="893">
        <v>0.37400000000000005</v>
      </c>
      <c r="AB7" s="893">
        <v>85.724999999999994</v>
      </c>
      <c r="AC7" s="893" t="s">
        <v>2</v>
      </c>
      <c r="AD7" s="893">
        <v>1</v>
      </c>
    </row>
    <row r="8" spans="1:30" ht="15" customHeight="1" x14ac:dyDescent="0.25">
      <c r="A8" s="893" t="s">
        <v>775</v>
      </c>
      <c r="B8" s="893" t="s">
        <v>773</v>
      </c>
      <c r="C8" s="894">
        <v>41883</v>
      </c>
      <c r="D8" s="893" t="s">
        <v>702</v>
      </c>
      <c r="E8" s="893" t="s">
        <v>29</v>
      </c>
      <c r="F8" s="893">
        <v>50</v>
      </c>
      <c r="G8" s="893">
        <v>11.5</v>
      </c>
      <c r="H8" s="893">
        <v>1.43</v>
      </c>
      <c r="I8" s="893">
        <v>0.19500000000000001</v>
      </c>
      <c r="J8" s="893">
        <v>49.5</v>
      </c>
      <c r="K8" s="893">
        <v>6.5000000000000002E-2</v>
      </c>
      <c r="L8" s="893" t="s">
        <v>679</v>
      </c>
      <c r="M8" s="893">
        <v>1.355</v>
      </c>
      <c r="N8" s="893">
        <v>39.5</v>
      </c>
      <c r="O8" s="893">
        <v>0.5</v>
      </c>
      <c r="P8" s="893">
        <v>0.26500000000000001</v>
      </c>
      <c r="Q8" s="893">
        <v>234.5</v>
      </c>
      <c r="R8" s="893">
        <v>3.9E-2</v>
      </c>
      <c r="S8" s="893">
        <v>9.4499999999999987E-2</v>
      </c>
      <c r="T8" s="893">
        <v>0.36199999999999993</v>
      </c>
      <c r="U8" s="893">
        <v>3.2500000000000001E-2</v>
      </c>
      <c r="V8" s="893">
        <v>9.7500000000000003E-2</v>
      </c>
      <c r="W8" s="893">
        <v>97</v>
      </c>
      <c r="X8" s="893">
        <v>0</v>
      </c>
      <c r="Y8" s="893">
        <v>14.05</v>
      </c>
      <c r="Z8" s="893">
        <v>0</v>
      </c>
      <c r="AA8" s="893">
        <v>1.0149999999999999</v>
      </c>
      <c r="AB8" s="893">
        <v>241.45</v>
      </c>
      <c r="AC8" s="893" t="s">
        <v>2</v>
      </c>
      <c r="AD8" s="893">
        <v>1</v>
      </c>
    </row>
    <row r="9" spans="1:30" ht="15" customHeight="1" x14ac:dyDescent="0.25">
      <c r="A9" s="893" t="s">
        <v>775</v>
      </c>
      <c r="B9" s="893" t="s">
        <v>773</v>
      </c>
      <c r="C9" s="894">
        <v>41883</v>
      </c>
      <c r="D9" s="893" t="s">
        <v>702</v>
      </c>
      <c r="AC9" s="893" t="s">
        <v>2</v>
      </c>
      <c r="AD9" s="893">
        <v>1</v>
      </c>
    </row>
    <row r="10" spans="1:30" ht="15" customHeight="1" x14ac:dyDescent="0.25">
      <c r="A10" s="893" t="s">
        <v>775</v>
      </c>
      <c r="B10" s="893" t="s">
        <v>773</v>
      </c>
      <c r="C10" s="894">
        <v>41883</v>
      </c>
      <c r="D10" s="893" t="s">
        <v>702</v>
      </c>
      <c r="AC10" s="893" t="s">
        <v>2</v>
      </c>
      <c r="AD10" s="893">
        <v>1</v>
      </c>
    </row>
    <row r="11" spans="1:30" ht="15" customHeight="1" x14ac:dyDescent="0.25">
      <c r="A11" s="893" t="s">
        <v>775</v>
      </c>
      <c r="B11" s="893" t="s">
        <v>773</v>
      </c>
      <c r="C11" s="894">
        <v>41883</v>
      </c>
      <c r="D11" s="893" t="s">
        <v>702</v>
      </c>
      <c r="AC11" s="893" t="s">
        <v>2</v>
      </c>
      <c r="AD11" s="893">
        <v>1</v>
      </c>
    </row>
    <row r="12" spans="1:30" ht="15" customHeight="1" x14ac:dyDescent="0.25">
      <c r="A12" s="893" t="s">
        <v>775</v>
      </c>
      <c r="B12" s="893" t="s">
        <v>773</v>
      </c>
      <c r="C12" s="894">
        <v>41883</v>
      </c>
      <c r="D12" s="893" t="s">
        <v>702</v>
      </c>
      <c r="AC12" s="893" t="s">
        <v>2</v>
      </c>
      <c r="AD12" s="893">
        <v>1</v>
      </c>
    </row>
    <row r="13" spans="1:30" ht="15" customHeight="1" x14ac:dyDescent="0.25">
      <c r="A13" s="893" t="s">
        <v>775</v>
      </c>
      <c r="B13" s="893" t="s">
        <v>773</v>
      </c>
      <c r="C13" s="894">
        <v>41883</v>
      </c>
      <c r="D13" s="893" t="s">
        <v>702</v>
      </c>
      <c r="AC13" s="893" t="s">
        <v>2</v>
      </c>
      <c r="AD13" s="893">
        <v>1</v>
      </c>
    </row>
    <row r="14" spans="1:30" ht="15" customHeight="1" x14ac:dyDescent="0.25">
      <c r="A14" s="893" t="s">
        <v>775</v>
      </c>
      <c r="B14" s="893" t="s">
        <v>773</v>
      </c>
      <c r="C14" s="894">
        <v>41883</v>
      </c>
      <c r="D14" s="893" t="s">
        <v>702</v>
      </c>
      <c r="AC14" s="893" t="s">
        <v>2</v>
      </c>
      <c r="AD14" s="893">
        <v>1</v>
      </c>
    </row>
    <row r="15" spans="1:30" ht="15" customHeight="1" x14ac:dyDescent="0.25">
      <c r="A15" s="893" t="s">
        <v>775</v>
      </c>
      <c r="B15" s="893" t="s">
        <v>773</v>
      </c>
      <c r="C15" s="894">
        <v>41883</v>
      </c>
      <c r="D15" s="893" t="s">
        <v>702</v>
      </c>
      <c r="AC15" s="893" t="s">
        <v>2</v>
      </c>
      <c r="AD15" s="893">
        <v>1</v>
      </c>
    </row>
    <row r="16" spans="1:30" ht="15" customHeight="1" x14ac:dyDescent="0.25">
      <c r="A16" s="893" t="s">
        <v>775</v>
      </c>
      <c r="B16" s="893" t="s">
        <v>773</v>
      </c>
      <c r="C16" s="894">
        <v>41883</v>
      </c>
      <c r="D16" s="893" t="s">
        <v>702</v>
      </c>
      <c r="AC16" s="893" t="s">
        <v>2</v>
      </c>
      <c r="AD16" s="893">
        <v>1</v>
      </c>
    </row>
    <row r="17" spans="1:30" ht="15" customHeight="1" x14ac:dyDescent="0.25">
      <c r="A17" s="893" t="s">
        <v>775</v>
      </c>
      <c r="B17" s="893" t="s">
        <v>773</v>
      </c>
      <c r="C17" s="894">
        <v>41883</v>
      </c>
      <c r="D17" s="893" t="s">
        <v>702</v>
      </c>
      <c r="AC17" s="893" t="s">
        <v>2</v>
      </c>
      <c r="AD17" s="893">
        <v>1</v>
      </c>
    </row>
    <row r="18" spans="1:30" ht="15" customHeight="1" x14ac:dyDescent="0.25">
      <c r="A18" s="893" t="s">
        <v>775</v>
      </c>
      <c r="B18" s="893" t="s">
        <v>773</v>
      </c>
      <c r="C18" s="894">
        <v>41883</v>
      </c>
      <c r="D18" s="893" t="s">
        <v>702</v>
      </c>
      <c r="AC18" s="893" t="s">
        <v>2</v>
      </c>
      <c r="AD18" s="893">
        <v>1</v>
      </c>
    </row>
    <row r="19" spans="1:30" ht="15" customHeight="1" x14ac:dyDescent="0.25">
      <c r="A19" s="893" t="s">
        <v>775</v>
      </c>
      <c r="B19" s="893" t="s">
        <v>773</v>
      </c>
      <c r="C19" s="894">
        <v>41883</v>
      </c>
      <c r="D19" s="893" t="s">
        <v>702</v>
      </c>
      <c r="AC19" s="893" t="s">
        <v>2</v>
      </c>
      <c r="AD19" s="893">
        <v>1</v>
      </c>
    </row>
    <row r="20" spans="1:30" ht="15" customHeight="1" x14ac:dyDescent="0.25">
      <c r="A20" s="893" t="s">
        <v>775</v>
      </c>
      <c r="B20" s="893" t="s">
        <v>773</v>
      </c>
      <c r="C20" s="894">
        <v>41883</v>
      </c>
      <c r="D20" s="893" t="s">
        <v>702</v>
      </c>
      <c r="AC20" s="893" t="s">
        <v>2</v>
      </c>
      <c r="AD20" s="893">
        <v>1</v>
      </c>
    </row>
    <row r="21" spans="1:30" ht="15" customHeight="1" x14ac:dyDescent="0.25">
      <c r="A21" s="893" t="s">
        <v>775</v>
      </c>
      <c r="B21" s="893" t="s">
        <v>773</v>
      </c>
      <c r="C21" s="894">
        <v>41883</v>
      </c>
      <c r="D21" s="893" t="s">
        <v>702</v>
      </c>
      <c r="AC21" s="893" t="s">
        <v>2</v>
      </c>
      <c r="AD21" s="893">
        <v>1</v>
      </c>
    </row>
    <row r="22" spans="1:30" ht="15" customHeight="1" x14ac:dyDescent="0.25">
      <c r="A22" s="893" t="s">
        <v>775</v>
      </c>
      <c r="B22" s="893" t="s">
        <v>773</v>
      </c>
      <c r="C22" s="894">
        <v>41883</v>
      </c>
      <c r="D22" s="893" t="s">
        <v>702</v>
      </c>
      <c r="AC22" s="893" t="s">
        <v>2</v>
      </c>
      <c r="AD22" s="893">
        <v>1</v>
      </c>
    </row>
    <row r="23" spans="1:30" ht="15" customHeight="1" x14ac:dyDescent="0.25">
      <c r="A23" s="893" t="s">
        <v>775</v>
      </c>
      <c r="B23" s="893" t="s">
        <v>773</v>
      </c>
      <c r="C23" s="894">
        <v>41883</v>
      </c>
      <c r="D23" s="893" t="s">
        <v>702</v>
      </c>
      <c r="AC23" s="893" t="s">
        <v>2</v>
      </c>
      <c r="AD23" s="893">
        <v>1</v>
      </c>
    </row>
    <row r="24" spans="1:30" ht="15" customHeight="1" x14ac:dyDescent="0.25">
      <c r="A24" s="893" t="s">
        <v>775</v>
      </c>
      <c r="B24" s="893" t="s">
        <v>773</v>
      </c>
      <c r="C24" s="894">
        <v>41883</v>
      </c>
      <c r="D24" s="893" t="s">
        <v>702</v>
      </c>
      <c r="AC24" s="893" t="s">
        <v>2</v>
      </c>
      <c r="AD24" s="893">
        <v>1</v>
      </c>
    </row>
    <row r="25" spans="1:30" ht="15" customHeight="1" x14ac:dyDescent="0.25">
      <c r="A25" s="893" t="s">
        <v>775</v>
      </c>
      <c r="B25" s="893" t="s">
        <v>773</v>
      </c>
      <c r="C25" s="894">
        <v>41883</v>
      </c>
      <c r="D25" s="893" t="s">
        <v>702</v>
      </c>
      <c r="AC25" s="893" t="s">
        <v>2</v>
      </c>
      <c r="AD25" s="893">
        <v>1</v>
      </c>
    </row>
    <row r="26" spans="1:30" ht="15" customHeight="1" x14ac:dyDescent="0.25">
      <c r="A26" s="893" t="s">
        <v>775</v>
      </c>
      <c r="B26" s="893" t="s">
        <v>773</v>
      </c>
      <c r="C26" s="894">
        <v>41883</v>
      </c>
      <c r="D26" s="893" t="s">
        <v>702</v>
      </c>
      <c r="AC26" s="893" t="s">
        <v>2</v>
      </c>
      <c r="AD26" s="893">
        <v>1</v>
      </c>
    </row>
    <row r="27" spans="1:30" ht="15" customHeight="1" x14ac:dyDescent="0.25">
      <c r="A27" s="893" t="s">
        <v>775</v>
      </c>
      <c r="B27" s="893" t="s">
        <v>773</v>
      </c>
      <c r="C27" s="894">
        <v>41883</v>
      </c>
      <c r="D27" s="893" t="s">
        <v>702</v>
      </c>
      <c r="AC27" s="893" t="s">
        <v>2</v>
      </c>
      <c r="AD27" s="893">
        <v>1</v>
      </c>
    </row>
    <row r="28" spans="1:30" ht="15" customHeight="1" x14ac:dyDescent="0.25">
      <c r="A28" s="893" t="s">
        <v>775</v>
      </c>
      <c r="B28" s="893" t="s">
        <v>773</v>
      </c>
      <c r="C28" s="894">
        <v>41883</v>
      </c>
      <c r="D28" s="893" t="s">
        <v>702</v>
      </c>
      <c r="AC28" s="893" t="s">
        <v>2</v>
      </c>
      <c r="AD28" s="893">
        <v>1</v>
      </c>
    </row>
    <row r="29" spans="1:30" ht="15" customHeight="1" x14ac:dyDescent="0.25">
      <c r="A29" s="893" t="s">
        <v>775</v>
      </c>
      <c r="B29" s="893" t="s">
        <v>773</v>
      </c>
      <c r="C29" s="894">
        <v>41883</v>
      </c>
      <c r="D29" s="893" t="s">
        <v>702</v>
      </c>
      <c r="AC29" s="893" t="s">
        <v>2</v>
      </c>
      <c r="AD29" s="893">
        <v>1</v>
      </c>
    </row>
    <row r="30" spans="1:30" ht="15" customHeight="1" x14ac:dyDescent="0.25">
      <c r="A30" s="893" t="s">
        <v>775</v>
      </c>
      <c r="B30" s="893" t="s">
        <v>773</v>
      </c>
      <c r="C30" s="894">
        <v>41883</v>
      </c>
      <c r="D30" s="893" t="s">
        <v>702</v>
      </c>
      <c r="AC30" s="893" t="s">
        <v>2</v>
      </c>
      <c r="AD30" s="893">
        <v>1</v>
      </c>
    </row>
    <row r="31" spans="1:30" ht="15" customHeight="1" x14ac:dyDescent="0.25">
      <c r="A31" s="893" t="s">
        <v>775</v>
      </c>
      <c r="B31" s="893" t="s">
        <v>773</v>
      </c>
      <c r="C31" s="894">
        <v>41883</v>
      </c>
      <c r="D31" s="893" t="s">
        <v>702</v>
      </c>
      <c r="AC31" s="893" t="s">
        <v>2</v>
      </c>
      <c r="AD31" s="893">
        <v>1</v>
      </c>
    </row>
    <row r="32" spans="1:30" ht="15" customHeight="1" x14ac:dyDescent="0.25">
      <c r="A32" s="893" t="s">
        <v>775</v>
      </c>
      <c r="B32" s="893" t="s">
        <v>773</v>
      </c>
      <c r="C32" s="894">
        <v>41883</v>
      </c>
      <c r="D32" s="893" t="s">
        <v>702</v>
      </c>
      <c r="AC32" s="893" t="s">
        <v>2</v>
      </c>
      <c r="AD32" s="893">
        <v>1</v>
      </c>
    </row>
    <row r="33" spans="1:30" ht="15" customHeight="1" x14ac:dyDescent="0.25">
      <c r="A33" s="893" t="s">
        <v>775</v>
      </c>
      <c r="B33" s="893" t="s">
        <v>773</v>
      </c>
      <c r="C33" s="894">
        <v>41883</v>
      </c>
      <c r="D33" s="893" t="s">
        <v>702</v>
      </c>
      <c r="AC33" s="893" t="s">
        <v>2</v>
      </c>
      <c r="AD33" s="893">
        <v>1</v>
      </c>
    </row>
    <row r="34" spans="1:30" ht="15" customHeight="1" x14ac:dyDescent="0.25">
      <c r="A34" s="893" t="s">
        <v>775</v>
      </c>
      <c r="B34" s="893" t="s">
        <v>773</v>
      </c>
      <c r="C34" s="894">
        <v>41883</v>
      </c>
      <c r="D34" s="893" t="s">
        <v>702</v>
      </c>
      <c r="AC34" s="893" t="s">
        <v>2</v>
      </c>
      <c r="AD34" s="893">
        <v>1</v>
      </c>
    </row>
    <row r="35" spans="1:30" ht="15" customHeight="1" x14ac:dyDescent="0.25">
      <c r="A35" s="893" t="s">
        <v>775</v>
      </c>
      <c r="B35" s="893" t="s">
        <v>773</v>
      </c>
      <c r="C35" s="894">
        <v>41883</v>
      </c>
      <c r="D35" s="893" t="s">
        <v>702</v>
      </c>
      <c r="AC35" s="893" t="s">
        <v>2</v>
      </c>
      <c r="AD35" s="893">
        <v>1</v>
      </c>
    </row>
    <row r="36" spans="1:30" ht="15" customHeight="1" x14ac:dyDescent="0.25">
      <c r="A36" s="893" t="s">
        <v>775</v>
      </c>
      <c r="B36" s="893" t="s">
        <v>773</v>
      </c>
      <c r="C36" s="894">
        <v>41883</v>
      </c>
      <c r="D36" s="893" t="s">
        <v>702</v>
      </c>
      <c r="AC36" s="893" t="s">
        <v>2</v>
      </c>
      <c r="AD36" s="893">
        <v>1</v>
      </c>
    </row>
    <row r="37" spans="1:30" ht="15" customHeight="1" x14ac:dyDescent="0.25">
      <c r="A37" s="893" t="s">
        <v>775</v>
      </c>
      <c r="B37" s="893" t="s">
        <v>773</v>
      </c>
      <c r="C37" s="894">
        <v>41883</v>
      </c>
      <c r="D37" s="893" t="s">
        <v>702</v>
      </c>
      <c r="AC37" s="893" t="s">
        <v>2</v>
      </c>
      <c r="AD37" s="893">
        <v>1</v>
      </c>
    </row>
    <row r="38" spans="1:30" ht="15" customHeight="1" x14ac:dyDescent="0.25">
      <c r="A38" s="893" t="s">
        <v>775</v>
      </c>
      <c r="B38" s="893" t="s">
        <v>773</v>
      </c>
      <c r="C38" s="894">
        <v>41883</v>
      </c>
      <c r="D38" s="893" t="s">
        <v>702</v>
      </c>
      <c r="AC38" s="893" t="s">
        <v>2</v>
      </c>
      <c r="AD38" s="893">
        <v>1</v>
      </c>
    </row>
    <row r="39" spans="1:30" ht="15" customHeight="1" x14ac:dyDescent="0.25">
      <c r="A39" s="893" t="s">
        <v>775</v>
      </c>
      <c r="B39" s="893" t="s">
        <v>773</v>
      </c>
      <c r="C39" s="894">
        <v>41883</v>
      </c>
      <c r="D39" s="893" t="s">
        <v>702</v>
      </c>
      <c r="AC39" s="893" t="s">
        <v>2</v>
      </c>
      <c r="AD39" s="893">
        <v>1</v>
      </c>
    </row>
    <row r="40" spans="1:30" ht="15" customHeight="1" x14ac:dyDescent="0.25">
      <c r="A40" s="893" t="s">
        <v>775</v>
      </c>
      <c r="B40" s="893" t="s">
        <v>773</v>
      </c>
      <c r="C40" s="894">
        <v>41883</v>
      </c>
      <c r="D40" s="893" t="s">
        <v>702</v>
      </c>
      <c r="AC40" s="893" t="s">
        <v>2</v>
      </c>
      <c r="AD40" s="893">
        <v>1</v>
      </c>
    </row>
    <row r="41" spans="1:30" ht="15" customHeight="1" x14ac:dyDescent="0.25">
      <c r="A41" s="893" t="s">
        <v>775</v>
      </c>
      <c r="B41" s="893" t="s">
        <v>773</v>
      </c>
      <c r="C41" s="894">
        <v>41883</v>
      </c>
      <c r="D41" s="893" t="s">
        <v>702</v>
      </c>
      <c r="AC41" s="893" t="s">
        <v>2</v>
      </c>
      <c r="AD41" s="893">
        <v>1</v>
      </c>
    </row>
    <row r="42" spans="1:30" ht="15" customHeight="1" x14ac:dyDescent="0.25">
      <c r="A42" s="893" t="s">
        <v>775</v>
      </c>
      <c r="B42" s="893" t="s">
        <v>773</v>
      </c>
      <c r="C42" s="894">
        <v>41883</v>
      </c>
      <c r="D42" s="893" t="s">
        <v>703</v>
      </c>
      <c r="G42" s="893">
        <v>1.0599276190476192</v>
      </c>
      <c r="H42" s="893">
        <v>1.5201428571428572</v>
      </c>
      <c r="I42" s="893">
        <v>1.111915</v>
      </c>
      <c r="J42" s="893">
        <v>0.60930030333670371</v>
      </c>
      <c r="K42" s="893">
        <v>2.6244000000000001</v>
      </c>
      <c r="L42" s="893">
        <v>1.6231884057971016</v>
      </c>
      <c r="M42" s="893">
        <v>1.0777656249999998</v>
      </c>
      <c r="N42" s="893">
        <v>3.3890049751243785</v>
      </c>
      <c r="O42" s="893">
        <v>13.213188405797101</v>
      </c>
      <c r="P42" s="893">
        <v>1.6991209677419357</v>
      </c>
      <c r="Q42" s="893">
        <v>1.5404586732186734</v>
      </c>
      <c r="R42" s="893">
        <v>2.4585818181818189</v>
      </c>
      <c r="S42" s="893">
        <v>1.0509818181818178</v>
      </c>
      <c r="T42" s="893">
        <v>2.3366326086956524</v>
      </c>
      <c r="U42" s="893">
        <v>1.278582608695652</v>
      </c>
      <c r="V42" s="893">
        <v>2.3920916666666665</v>
      </c>
      <c r="W42" s="893">
        <v>1.8065619834710744</v>
      </c>
      <c r="X42" s="893">
        <v>0.54545454545454541</v>
      </c>
      <c r="Y42" s="893">
        <v>1.9114663461538459</v>
      </c>
      <c r="Z42" s="893">
        <v>0.95901639344262291</v>
      </c>
      <c r="AA42" s="893">
        <v>1.47495</v>
      </c>
      <c r="AB42" s="893">
        <v>7.0618464730290444</v>
      </c>
      <c r="AC42" s="893" t="s">
        <v>2</v>
      </c>
      <c r="AD42" s="893">
        <v>1</v>
      </c>
    </row>
    <row r="43" spans="1:30" ht="15" customHeight="1" x14ac:dyDescent="0.25">
      <c r="A43" s="893" t="s">
        <v>903</v>
      </c>
      <c r="B43" s="893" t="s">
        <v>774</v>
      </c>
      <c r="C43" s="894">
        <v>41897</v>
      </c>
      <c r="D43" s="893" t="s">
        <v>702</v>
      </c>
      <c r="E43" s="893" t="s">
        <v>8</v>
      </c>
      <c r="F43" s="893">
        <v>400</v>
      </c>
      <c r="G43" s="893">
        <v>1460</v>
      </c>
      <c r="H43" s="893">
        <v>37.68</v>
      </c>
      <c r="I43" s="893">
        <v>18.96</v>
      </c>
      <c r="J43" s="893">
        <v>28</v>
      </c>
      <c r="K43" s="893">
        <v>1.256</v>
      </c>
      <c r="L43" s="893" t="s">
        <v>679</v>
      </c>
      <c r="M43" s="893">
        <v>10.84</v>
      </c>
      <c r="N43" s="893">
        <v>508</v>
      </c>
      <c r="O43" s="893">
        <v>62</v>
      </c>
      <c r="P43" s="893">
        <v>8.84</v>
      </c>
      <c r="Q43" s="893">
        <v>0</v>
      </c>
      <c r="R43" s="893">
        <v>1.54</v>
      </c>
      <c r="S43" s="893">
        <v>0.80400000000000005</v>
      </c>
      <c r="T43" s="893">
        <v>8.8190666666666662</v>
      </c>
      <c r="U43" s="893">
        <v>1.696</v>
      </c>
      <c r="V43" s="893">
        <v>2.488</v>
      </c>
      <c r="W43" s="893" t="s">
        <v>679</v>
      </c>
      <c r="X43" s="893">
        <v>0</v>
      </c>
      <c r="Y43" s="893">
        <v>0</v>
      </c>
      <c r="Z43" s="893">
        <v>0</v>
      </c>
      <c r="AA43" s="893" t="s">
        <v>679</v>
      </c>
      <c r="AB43" s="893" t="s">
        <v>679</v>
      </c>
      <c r="AC43" s="893" t="s">
        <v>2</v>
      </c>
      <c r="AD43" s="893">
        <v>1</v>
      </c>
    </row>
    <row r="44" spans="1:30" ht="15" customHeight="1" x14ac:dyDescent="0.25">
      <c r="A44" s="893" t="s">
        <v>903</v>
      </c>
      <c r="B44" s="893" t="s">
        <v>774</v>
      </c>
      <c r="C44" s="894">
        <v>41897</v>
      </c>
      <c r="D44" s="893" t="s">
        <v>702</v>
      </c>
      <c r="E44" s="893" t="s">
        <v>9</v>
      </c>
      <c r="F44" s="893">
        <v>80</v>
      </c>
      <c r="G44" s="893">
        <v>271.83999999999997</v>
      </c>
      <c r="H44" s="893">
        <v>17.623999999999999</v>
      </c>
      <c r="I44" s="893">
        <v>0.93279999999999996</v>
      </c>
      <c r="J44" s="893">
        <v>113.28</v>
      </c>
      <c r="K44" s="893">
        <v>0.69311999999999996</v>
      </c>
      <c r="L44" s="893" t="s">
        <v>679</v>
      </c>
      <c r="M44" s="893">
        <v>4.9599999999999991</v>
      </c>
      <c r="N44" s="893">
        <v>137.91999999999999</v>
      </c>
      <c r="O44" s="893">
        <v>10.88</v>
      </c>
      <c r="P44" s="893">
        <v>2.1728000000000005</v>
      </c>
      <c r="Q44" s="893">
        <v>0</v>
      </c>
      <c r="R44" s="893">
        <v>0.55071999999999999</v>
      </c>
      <c r="S44" s="893">
        <v>0.16384000000000001</v>
      </c>
      <c r="T44" s="893">
        <v>1.4830399999999999</v>
      </c>
      <c r="U44" s="893">
        <v>0.70463999999999993</v>
      </c>
      <c r="V44" s="893">
        <v>0.36367999999999995</v>
      </c>
      <c r="W44" s="893">
        <v>356.48</v>
      </c>
      <c r="X44" s="893">
        <v>0</v>
      </c>
      <c r="Y44" s="893">
        <v>3.22</v>
      </c>
      <c r="Z44" s="893">
        <v>0</v>
      </c>
      <c r="AA44" s="893">
        <v>0.14079999999999998</v>
      </c>
      <c r="AB44" s="893">
        <v>6.2080000000000011</v>
      </c>
      <c r="AC44" s="893" t="s">
        <v>2</v>
      </c>
      <c r="AD44" s="893">
        <v>1</v>
      </c>
    </row>
    <row r="45" spans="1:30" ht="15" customHeight="1" x14ac:dyDescent="0.25">
      <c r="A45" s="893" t="s">
        <v>903</v>
      </c>
      <c r="B45" s="893" t="s">
        <v>774</v>
      </c>
      <c r="C45" s="894">
        <v>41897</v>
      </c>
      <c r="D45" s="893" t="s">
        <v>702</v>
      </c>
      <c r="E45" s="893" t="s">
        <v>663</v>
      </c>
      <c r="F45" s="893">
        <v>25</v>
      </c>
      <c r="G45" s="893">
        <v>221</v>
      </c>
      <c r="H45" s="893">
        <v>0</v>
      </c>
      <c r="I45" s="893">
        <v>25</v>
      </c>
      <c r="J45" s="893">
        <v>0</v>
      </c>
      <c r="K45" s="893" t="s">
        <v>679</v>
      </c>
      <c r="L45" s="893" t="s">
        <v>679</v>
      </c>
      <c r="M45" s="893">
        <v>0</v>
      </c>
      <c r="N45" s="893" t="s">
        <v>679</v>
      </c>
      <c r="O45" s="893" t="s">
        <v>679</v>
      </c>
      <c r="P45" s="893" t="s">
        <v>679</v>
      </c>
      <c r="Q45" s="893">
        <v>225.22522522522522</v>
      </c>
      <c r="R45" s="893">
        <v>0</v>
      </c>
      <c r="S45" s="893">
        <v>0</v>
      </c>
      <c r="T45" s="893">
        <v>0</v>
      </c>
      <c r="U45" s="893">
        <v>0</v>
      </c>
      <c r="V45" s="893">
        <v>0</v>
      </c>
      <c r="W45" s="893">
        <v>0</v>
      </c>
      <c r="X45" s="893">
        <v>0</v>
      </c>
      <c r="Y45" s="893">
        <v>0</v>
      </c>
      <c r="Z45" s="893">
        <v>1.875</v>
      </c>
      <c r="AA45" s="893" t="s">
        <v>679</v>
      </c>
      <c r="AB45" s="893" t="s">
        <v>679</v>
      </c>
      <c r="AC45" s="893" t="s">
        <v>2</v>
      </c>
      <c r="AD45" s="893">
        <v>1</v>
      </c>
    </row>
    <row r="46" spans="1:30" ht="15" customHeight="1" x14ac:dyDescent="0.25">
      <c r="A46" s="893" t="s">
        <v>903</v>
      </c>
      <c r="B46" s="893" t="s">
        <v>774</v>
      </c>
      <c r="C46" s="894">
        <v>41897</v>
      </c>
      <c r="D46" s="893" t="s">
        <v>702</v>
      </c>
      <c r="E46" s="893" t="s">
        <v>662</v>
      </c>
      <c r="F46" s="893">
        <v>60</v>
      </c>
      <c r="G46" s="893">
        <v>225.46799999999999</v>
      </c>
      <c r="H46" s="893">
        <v>9.1739999999999995</v>
      </c>
      <c r="I46" s="893">
        <v>4.8179999999999996</v>
      </c>
      <c r="J46" s="893">
        <v>237.88800000000003</v>
      </c>
      <c r="K46" s="893">
        <v>0.28199999999999997</v>
      </c>
      <c r="L46" s="893">
        <v>24</v>
      </c>
      <c r="M46" s="893">
        <v>5.6459999999999999</v>
      </c>
      <c r="N46" s="893" t="s">
        <v>679</v>
      </c>
      <c r="O46" s="893">
        <v>9.5939999999999994</v>
      </c>
      <c r="P46" s="893">
        <v>4.6079999999999997</v>
      </c>
      <c r="Q46" s="893">
        <v>332.98200000000003</v>
      </c>
      <c r="R46" s="893">
        <v>0.35399999999999998</v>
      </c>
      <c r="S46" s="893">
        <v>0.42599999999999993</v>
      </c>
      <c r="T46" s="893">
        <v>6.63</v>
      </c>
      <c r="U46" s="893">
        <v>1.212</v>
      </c>
      <c r="V46" s="893">
        <v>0.91799999999999993</v>
      </c>
      <c r="W46" s="893">
        <v>94.722000000000008</v>
      </c>
      <c r="X46" s="893">
        <v>1.2</v>
      </c>
      <c r="Y46" s="893">
        <v>60.552</v>
      </c>
      <c r="Z46" s="893">
        <v>3.6</v>
      </c>
      <c r="AA46" s="893">
        <v>5.76</v>
      </c>
      <c r="AB46" s="893" t="s">
        <v>679</v>
      </c>
      <c r="AC46" s="893" t="s">
        <v>2</v>
      </c>
      <c r="AD46" s="893">
        <v>1</v>
      </c>
    </row>
    <row r="47" spans="1:30" ht="15" customHeight="1" x14ac:dyDescent="0.25">
      <c r="A47" s="893" t="s">
        <v>903</v>
      </c>
      <c r="B47" s="893" t="s">
        <v>774</v>
      </c>
      <c r="C47" s="894">
        <v>41897</v>
      </c>
      <c r="D47" s="893" t="s">
        <v>702</v>
      </c>
      <c r="E47" s="893" t="s">
        <v>664</v>
      </c>
      <c r="F47" s="893">
        <v>5</v>
      </c>
      <c r="G47" s="893">
        <v>0</v>
      </c>
      <c r="H47" s="893">
        <v>0</v>
      </c>
      <c r="I47" s="893">
        <v>0</v>
      </c>
      <c r="J47" s="893" t="s">
        <v>679</v>
      </c>
      <c r="K47" s="893" t="s">
        <v>679</v>
      </c>
      <c r="L47" s="893">
        <v>200</v>
      </c>
      <c r="M47" s="893" t="s">
        <v>679</v>
      </c>
      <c r="N47" s="893" t="s">
        <v>679</v>
      </c>
      <c r="O47" s="893" t="s">
        <v>679</v>
      </c>
      <c r="P47" s="893">
        <v>0</v>
      </c>
      <c r="Q47" s="893">
        <v>0</v>
      </c>
      <c r="R47" s="893">
        <v>0</v>
      </c>
      <c r="S47" s="893">
        <v>0</v>
      </c>
      <c r="T47" s="893">
        <v>0</v>
      </c>
      <c r="U47" s="893">
        <v>0</v>
      </c>
      <c r="V47" s="893">
        <v>0</v>
      </c>
      <c r="W47" s="893">
        <v>0</v>
      </c>
      <c r="X47" s="893">
        <v>0</v>
      </c>
      <c r="Y47" s="893">
        <v>0</v>
      </c>
      <c r="Z47" s="893">
        <v>0</v>
      </c>
      <c r="AA47" s="893">
        <v>0</v>
      </c>
      <c r="AB47" s="893">
        <v>0</v>
      </c>
      <c r="AC47" s="893" t="s">
        <v>2</v>
      </c>
      <c r="AD47" s="893">
        <v>1</v>
      </c>
    </row>
    <row r="48" spans="1:30" ht="15" customHeight="1" x14ac:dyDescent="0.25">
      <c r="A48" s="893" t="s">
        <v>903</v>
      </c>
      <c r="B48" s="893" t="s">
        <v>774</v>
      </c>
      <c r="C48" s="894">
        <v>41897</v>
      </c>
      <c r="D48" s="893" t="s">
        <v>702</v>
      </c>
      <c r="AC48" s="893" t="s">
        <v>2</v>
      </c>
      <c r="AD48" s="893">
        <v>1</v>
      </c>
    </row>
    <row r="49" spans="1:30" ht="15" customHeight="1" x14ac:dyDescent="0.25">
      <c r="A49" s="893" t="s">
        <v>903</v>
      </c>
      <c r="B49" s="893" t="s">
        <v>774</v>
      </c>
      <c r="C49" s="894">
        <v>41897</v>
      </c>
      <c r="D49" s="893" t="s">
        <v>702</v>
      </c>
      <c r="AC49" s="893" t="s">
        <v>2</v>
      </c>
      <c r="AD49" s="893">
        <v>1</v>
      </c>
    </row>
    <row r="50" spans="1:30" ht="15" customHeight="1" x14ac:dyDescent="0.25">
      <c r="A50" s="893" t="s">
        <v>903</v>
      </c>
      <c r="B50" s="893" t="s">
        <v>774</v>
      </c>
      <c r="C50" s="894">
        <v>41897</v>
      </c>
      <c r="D50" s="893" t="s">
        <v>702</v>
      </c>
      <c r="AC50" s="893" t="s">
        <v>2</v>
      </c>
      <c r="AD50" s="893">
        <v>1</v>
      </c>
    </row>
    <row r="51" spans="1:30" ht="15" customHeight="1" x14ac:dyDescent="0.25">
      <c r="A51" s="893" t="s">
        <v>903</v>
      </c>
      <c r="B51" s="893" t="s">
        <v>774</v>
      </c>
      <c r="C51" s="894">
        <v>41897</v>
      </c>
      <c r="D51" s="893" t="s">
        <v>702</v>
      </c>
      <c r="AC51" s="893" t="s">
        <v>2</v>
      </c>
      <c r="AD51" s="893">
        <v>1</v>
      </c>
    </row>
    <row r="52" spans="1:30" ht="15" customHeight="1" x14ac:dyDescent="0.25">
      <c r="A52" s="893" t="s">
        <v>903</v>
      </c>
      <c r="B52" s="893" t="s">
        <v>774</v>
      </c>
      <c r="C52" s="894">
        <v>41897</v>
      </c>
      <c r="D52" s="893" t="s">
        <v>702</v>
      </c>
      <c r="AC52" s="893" t="s">
        <v>2</v>
      </c>
      <c r="AD52" s="893">
        <v>1</v>
      </c>
    </row>
    <row r="53" spans="1:30" ht="15" customHeight="1" x14ac:dyDescent="0.25">
      <c r="A53" s="893" t="s">
        <v>903</v>
      </c>
      <c r="B53" s="893" t="s">
        <v>774</v>
      </c>
      <c r="C53" s="894">
        <v>41897</v>
      </c>
      <c r="D53" s="893" t="s">
        <v>702</v>
      </c>
      <c r="AC53" s="893" t="s">
        <v>2</v>
      </c>
      <c r="AD53" s="893">
        <v>1</v>
      </c>
    </row>
    <row r="54" spans="1:30" ht="15" customHeight="1" x14ac:dyDescent="0.25">
      <c r="A54" s="893" t="s">
        <v>903</v>
      </c>
      <c r="B54" s="893" t="s">
        <v>774</v>
      </c>
      <c r="C54" s="894">
        <v>41897</v>
      </c>
      <c r="D54" s="893" t="s">
        <v>702</v>
      </c>
      <c r="AC54" s="893" t="s">
        <v>2</v>
      </c>
      <c r="AD54" s="893">
        <v>1</v>
      </c>
    </row>
    <row r="55" spans="1:30" ht="15" customHeight="1" x14ac:dyDescent="0.25">
      <c r="A55" s="893" t="s">
        <v>903</v>
      </c>
      <c r="B55" s="893" t="s">
        <v>774</v>
      </c>
      <c r="C55" s="894">
        <v>41897</v>
      </c>
      <c r="D55" s="893" t="s">
        <v>702</v>
      </c>
      <c r="AC55" s="893" t="s">
        <v>2</v>
      </c>
      <c r="AD55" s="893">
        <v>1</v>
      </c>
    </row>
    <row r="56" spans="1:30" ht="15" customHeight="1" x14ac:dyDescent="0.25">
      <c r="A56" s="893" t="s">
        <v>903</v>
      </c>
      <c r="B56" s="893" t="s">
        <v>774</v>
      </c>
      <c r="C56" s="894">
        <v>41897</v>
      </c>
      <c r="D56" s="893" t="s">
        <v>702</v>
      </c>
      <c r="AC56" s="893" t="s">
        <v>2</v>
      </c>
      <c r="AD56" s="893">
        <v>1</v>
      </c>
    </row>
    <row r="57" spans="1:30" ht="15" customHeight="1" x14ac:dyDescent="0.25">
      <c r="A57" s="893" t="s">
        <v>903</v>
      </c>
      <c r="B57" s="893" t="s">
        <v>774</v>
      </c>
      <c r="C57" s="894">
        <v>41897</v>
      </c>
      <c r="D57" s="893" t="s">
        <v>702</v>
      </c>
      <c r="AC57" s="893" t="s">
        <v>2</v>
      </c>
      <c r="AD57" s="893">
        <v>1</v>
      </c>
    </row>
    <row r="58" spans="1:30" ht="15" customHeight="1" x14ac:dyDescent="0.25">
      <c r="A58" s="893" t="s">
        <v>903</v>
      </c>
      <c r="B58" s="893" t="s">
        <v>774</v>
      </c>
      <c r="C58" s="894">
        <v>41897</v>
      </c>
      <c r="D58" s="893" t="s">
        <v>702</v>
      </c>
      <c r="AC58" s="893" t="s">
        <v>2</v>
      </c>
      <c r="AD58" s="893">
        <v>1</v>
      </c>
    </row>
    <row r="59" spans="1:30" ht="15" customHeight="1" x14ac:dyDescent="0.25">
      <c r="A59" s="893" t="s">
        <v>903</v>
      </c>
      <c r="B59" s="893" t="s">
        <v>774</v>
      </c>
      <c r="C59" s="894">
        <v>41897</v>
      </c>
      <c r="D59" s="893" t="s">
        <v>702</v>
      </c>
      <c r="AC59" s="893" t="s">
        <v>2</v>
      </c>
      <c r="AD59" s="893">
        <v>1</v>
      </c>
    </row>
    <row r="60" spans="1:30" ht="15" customHeight="1" x14ac:dyDescent="0.25">
      <c r="A60" s="893" t="s">
        <v>903</v>
      </c>
      <c r="B60" s="893" t="s">
        <v>774</v>
      </c>
      <c r="C60" s="894">
        <v>41897</v>
      </c>
      <c r="D60" s="893" t="s">
        <v>702</v>
      </c>
      <c r="AC60" s="893" t="s">
        <v>2</v>
      </c>
      <c r="AD60" s="893">
        <v>1</v>
      </c>
    </row>
    <row r="61" spans="1:30" ht="15" customHeight="1" x14ac:dyDescent="0.25">
      <c r="A61" s="893" t="s">
        <v>903</v>
      </c>
      <c r="B61" s="893" t="s">
        <v>774</v>
      </c>
      <c r="C61" s="894">
        <v>41897</v>
      </c>
      <c r="D61" s="893" t="s">
        <v>702</v>
      </c>
      <c r="AC61" s="893" t="s">
        <v>2</v>
      </c>
      <c r="AD61" s="893">
        <v>1</v>
      </c>
    </row>
    <row r="62" spans="1:30" ht="15" customHeight="1" x14ac:dyDescent="0.25">
      <c r="A62" s="893" t="s">
        <v>903</v>
      </c>
      <c r="B62" s="893" t="s">
        <v>774</v>
      </c>
      <c r="C62" s="894">
        <v>41897</v>
      </c>
      <c r="D62" s="893" t="s">
        <v>702</v>
      </c>
      <c r="AC62" s="893" t="s">
        <v>2</v>
      </c>
      <c r="AD62" s="893">
        <v>1</v>
      </c>
    </row>
    <row r="63" spans="1:30" ht="15" customHeight="1" x14ac:dyDescent="0.25">
      <c r="A63" s="893" t="s">
        <v>903</v>
      </c>
      <c r="B63" s="893" t="s">
        <v>774</v>
      </c>
      <c r="C63" s="894">
        <v>41897</v>
      </c>
      <c r="D63" s="893" t="s">
        <v>702</v>
      </c>
      <c r="AC63" s="893" t="s">
        <v>2</v>
      </c>
      <c r="AD63" s="893">
        <v>1</v>
      </c>
    </row>
    <row r="64" spans="1:30" ht="15" customHeight="1" x14ac:dyDescent="0.25">
      <c r="A64" s="893" t="s">
        <v>903</v>
      </c>
      <c r="B64" s="893" t="s">
        <v>774</v>
      </c>
      <c r="C64" s="894">
        <v>41897</v>
      </c>
      <c r="D64" s="893" t="s">
        <v>702</v>
      </c>
      <c r="AC64" s="893" t="s">
        <v>2</v>
      </c>
      <c r="AD64" s="893">
        <v>1</v>
      </c>
    </row>
    <row r="65" spans="1:30" ht="15" customHeight="1" x14ac:dyDescent="0.25">
      <c r="A65" s="893" t="s">
        <v>903</v>
      </c>
      <c r="B65" s="893" t="s">
        <v>774</v>
      </c>
      <c r="C65" s="894">
        <v>41897</v>
      </c>
      <c r="D65" s="893" t="s">
        <v>702</v>
      </c>
      <c r="AC65" s="893" t="s">
        <v>2</v>
      </c>
      <c r="AD65" s="893">
        <v>1</v>
      </c>
    </row>
    <row r="66" spans="1:30" ht="15" customHeight="1" x14ac:dyDescent="0.25">
      <c r="A66" s="893" t="s">
        <v>903</v>
      </c>
      <c r="B66" s="893" t="s">
        <v>774</v>
      </c>
      <c r="C66" s="894">
        <v>41897</v>
      </c>
      <c r="D66" s="893" t="s">
        <v>702</v>
      </c>
      <c r="AC66" s="893" t="s">
        <v>2</v>
      </c>
      <c r="AD66" s="893">
        <v>1</v>
      </c>
    </row>
    <row r="67" spans="1:30" ht="15" customHeight="1" x14ac:dyDescent="0.25">
      <c r="A67" s="893" t="s">
        <v>903</v>
      </c>
      <c r="B67" s="893" t="s">
        <v>774</v>
      </c>
      <c r="C67" s="894">
        <v>41897</v>
      </c>
      <c r="D67" s="893" t="s">
        <v>702</v>
      </c>
      <c r="AC67" s="893" t="s">
        <v>2</v>
      </c>
      <c r="AD67" s="893">
        <v>1</v>
      </c>
    </row>
    <row r="68" spans="1:30" ht="15" customHeight="1" x14ac:dyDescent="0.25">
      <c r="A68" s="893" t="s">
        <v>903</v>
      </c>
      <c r="B68" s="893" t="s">
        <v>774</v>
      </c>
      <c r="C68" s="894">
        <v>41897</v>
      </c>
      <c r="D68" s="893" t="s">
        <v>702</v>
      </c>
      <c r="AC68" s="893" t="s">
        <v>2</v>
      </c>
      <c r="AD68" s="893">
        <v>1</v>
      </c>
    </row>
    <row r="69" spans="1:30" ht="15" customHeight="1" x14ac:dyDescent="0.25">
      <c r="A69" s="893" t="s">
        <v>903</v>
      </c>
      <c r="B69" s="893" t="s">
        <v>774</v>
      </c>
      <c r="C69" s="894">
        <v>41897</v>
      </c>
      <c r="D69" s="893" t="s">
        <v>702</v>
      </c>
      <c r="AC69" s="893" t="s">
        <v>2</v>
      </c>
      <c r="AD69" s="893">
        <v>1</v>
      </c>
    </row>
    <row r="70" spans="1:30" ht="15" customHeight="1" x14ac:dyDescent="0.25">
      <c r="A70" s="893" t="s">
        <v>903</v>
      </c>
      <c r="B70" s="893" t="s">
        <v>774</v>
      </c>
      <c r="C70" s="894">
        <v>41897</v>
      </c>
      <c r="D70" s="893" t="s">
        <v>702</v>
      </c>
      <c r="AC70" s="893" t="s">
        <v>2</v>
      </c>
      <c r="AD70" s="893">
        <v>1</v>
      </c>
    </row>
    <row r="71" spans="1:30" ht="15" customHeight="1" x14ac:dyDescent="0.25">
      <c r="A71" s="893" t="s">
        <v>903</v>
      </c>
      <c r="B71" s="893" t="s">
        <v>774</v>
      </c>
      <c r="C71" s="894">
        <v>41897</v>
      </c>
      <c r="D71" s="893" t="s">
        <v>702</v>
      </c>
      <c r="AC71" s="893" t="s">
        <v>2</v>
      </c>
      <c r="AD71" s="893">
        <v>1</v>
      </c>
    </row>
    <row r="72" spans="1:30" ht="15" customHeight="1" x14ac:dyDescent="0.25">
      <c r="A72" s="893" t="s">
        <v>903</v>
      </c>
      <c r="B72" s="893" t="s">
        <v>774</v>
      </c>
      <c r="C72" s="894">
        <v>41897</v>
      </c>
      <c r="D72" s="893" t="s">
        <v>702</v>
      </c>
      <c r="AC72" s="893" t="s">
        <v>2</v>
      </c>
      <c r="AD72" s="893">
        <v>1</v>
      </c>
    </row>
    <row r="73" spans="1:30" ht="15" customHeight="1" x14ac:dyDescent="0.25">
      <c r="A73" s="893" t="s">
        <v>903</v>
      </c>
      <c r="B73" s="893" t="s">
        <v>774</v>
      </c>
      <c r="C73" s="894">
        <v>41897</v>
      </c>
      <c r="D73" s="893" t="s">
        <v>702</v>
      </c>
      <c r="AC73" s="893" t="s">
        <v>2</v>
      </c>
      <c r="AD73" s="893">
        <v>1</v>
      </c>
    </row>
    <row r="74" spans="1:30" ht="15" customHeight="1" x14ac:dyDescent="0.25">
      <c r="A74" s="893" t="s">
        <v>903</v>
      </c>
      <c r="B74" s="893" t="s">
        <v>774</v>
      </c>
      <c r="C74" s="894">
        <v>41897</v>
      </c>
      <c r="D74" s="893" t="s">
        <v>702</v>
      </c>
      <c r="AC74" s="893" t="s">
        <v>2</v>
      </c>
      <c r="AD74" s="893">
        <v>1</v>
      </c>
    </row>
    <row r="75" spans="1:30" ht="15" customHeight="1" x14ac:dyDescent="0.25">
      <c r="A75" s="893" t="s">
        <v>903</v>
      </c>
      <c r="B75" s="893" t="s">
        <v>774</v>
      </c>
      <c r="C75" s="894">
        <v>41897</v>
      </c>
      <c r="D75" s="893" t="s">
        <v>702</v>
      </c>
      <c r="AC75" s="893" t="s">
        <v>2</v>
      </c>
      <c r="AD75" s="893">
        <v>1</v>
      </c>
    </row>
    <row r="76" spans="1:30" ht="15" customHeight="1" x14ac:dyDescent="0.25">
      <c r="A76" s="893" t="s">
        <v>903</v>
      </c>
      <c r="B76" s="893" t="s">
        <v>774</v>
      </c>
      <c r="C76" s="894">
        <v>41897</v>
      </c>
      <c r="D76" s="893" t="s">
        <v>702</v>
      </c>
      <c r="AC76" s="893" t="s">
        <v>2</v>
      </c>
      <c r="AD76" s="893">
        <v>1</v>
      </c>
    </row>
    <row r="77" spans="1:30" ht="15" customHeight="1" x14ac:dyDescent="0.25">
      <c r="A77" s="893" t="s">
        <v>903</v>
      </c>
      <c r="B77" s="893" t="s">
        <v>774</v>
      </c>
      <c r="C77" s="894">
        <v>41897</v>
      </c>
      <c r="D77" s="893" t="s">
        <v>702</v>
      </c>
      <c r="AC77" s="893" t="s">
        <v>2</v>
      </c>
      <c r="AD77" s="893">
        <v>1</v>
      </c>
    </row>
    <row r="78" spans="1:30" ht="15" customHeight="1" x14ac:dyDescent="0.25">
      <c r="A78" s="893" t="s">
        <v>903</v>
      </c>
      <c r="B78" s="893" t="s">
        <v>774</v>
      </c>
      <c r="C78" s="894">
        <v>41897</v>
      </c>
      <c r="D78" s="893" t="s">
        <v>702</v>
      </c>
      <c r="AC78" s="893" t="s">
        <v>2</v>
      </c>
      <c r="AD78" s="893">
        <v>1</v>
      </c>
    </row>
    <row r="79" spans="1:30" ht="15" customHeight="1" x14ac:dyDescent="0.25">
      <c r="A79" s="893" t="s">
        <v>903</v>
      </c>
      <c r="B79" s="893" t="s">
        <v>774</v>
      </c>
      <c r="C79" s="894">
        <v>41897</v>
      </c>
      <c r="D79" s="893" t="s">
        <v>702</v>
      </c>
      <c r="AC79" s="893" t="s">
        <v>2</v>
      </c>
      <c r="AD79" s="893">
        <v>1</v>
      </c>
    </row>
    <row r="80" spans="1:30" ht="15" customHeight="1" x14ac:dyDescent="0.25">
      <c r="A80" s="893" t="s">
        <v>903</v>
      </c>
      <c r="B80" s="893" t="s">
        <v>774</v>
      </c>
      <c r="C80" s="894">
        <v>41897</v>
      </c>
      <c r="D80" s="893" t="s">
        <v>702</v>
      </c>
      <c r="AC80" s="893" t="s">
        <v>2</v>
      </c>
      <c r="AD80" s="893">
        <v>1</v>
      </c>
    </row>
    <row r="81" spans="1:30" ht="15" customHeight="1" x14ac:dyDescent="0.25">
      <c r="A81" s="893" t="s">
        <v>903</v>
      </c>
      <c r="B81" s="893" t="s">
        <v>774</v>
      </c>
      <c r="C81" s="894">
        <v>41897</v>
      </c>
      <c r="D81" s="893" t="s">
        <v>702</v>
      </c>
      <c r="AC81" s="893" t="s">
        <v>2</v>
      </c>
      <c r="AD81" s="893">
        <v>1</v>
      </c>
    </row>
    <row r="82" spans="1:30" ht="15" customHeight="1" x14ac:dyDescent="0.25">
      <c r="A82" s="893" t="s">
        <v>903</v>
      </c>
      <c r="B82" s="893" t="s">
        <v>774</v>
      </c>
      <c r="C82" s="894">
        <v>41897</v>
      </c>
      <c r="D82" s="893" t="s">
        <v>702</v>
      </c>
      <c r="AC82" s="893" t="s">
        <v>2</v>
      </c>
      <c r="AD82" s="893">
        <v>1</v>
      </c>
    </row>
    <row r="83" spans="1:30" ht="15" customHeight="1" x14ac:dyDescent="0.25">
      <c r="A83" s="893" t="s">
        <v>903</v>
      </c>
      <c r="B83" s="893" t="s">
        <v>774</v>
      </c>
      <c r="C83" s="894">
        <v>41897</v>
      </c>
      <c r="D83" s="893" t="s">
        <v>703</v>
      </c>
      <c r="G83" s="893">
        <v>1.0372895238095239</v>
      </c>
      <c r="H83" s="893">
        <v>1.2281523809523811</v>
      </c>
      <c r="I83" s="893">
        <v>1.2427699999999999</v>
      </c>
      <c r="J83" s="893">
        <v>0.38338523761375126</v>
      </c>
      <c r="K83" s="893">
        <v>2.0282909090909089</v>
      </c>
      <c r="L83" s="893">
        <v>1.6231884057971016</v>
      </c>
      <c r="M83" s="893">
        <v>0.67018749999999994</v>
      </c>
      <c r="N83" s="893">
        <v>3.2135323383084575</v>
      </c>
      <c r="O83" s="893">
        <v>2.9881884057971009</v>
      </c>
      <c r="P83" s="893">
        <v>1.2597419354838708</v>
      </c>
      <c r="Q83" s="893">
        <v>1.0149222276822276</v>
      </c>
      <c r="R83" s="893">
        <v>2.2224727272727272</v>
      </c>
      <c r="S83" s="893">
        <v>1.2671272727272727</v>
      </c>
      <c r="T83" s="893">
        <v>1.2269642512077295</v>
      </c>
      <c r="U83" s="893">
        <v>0.78535652173913051</v>
      </c>
      <c r="V83" s="893">
        <v>3.1414000000000004</v>
      </c>
      <c r="W83" s="893">
        <v>1.2429807162534434</v>
      </c>
      <c r="X83" s="893">
        <v>0.54545454545454541</v>
      </c>
      <c r="Y83" s="893">
        <v>1.5329807692307691</v>
      </c>
      <c r="Z83" s="893">
        <v>0.89754098360655732</v>
      </c>
      <c r="AA83" s="893">
        <v>0.73759999999999992</v>
      </c>
      <c r="AB83" s="893">
        <v>0.12879668049792534</v>
      </c>
      <c r="AC83" s="893" t="s">
        <v>2</v>
      </c>
      <c r="AD83" s="893">
        <v>1</v>
      </c>
    </row>
    <row r="84" spans="1:30" ht="15" customHeight="1" x14ac:dyDescent="0.25">
      <c r="A84" s="893" t="s">
        <v>904</v>
      </c>
      <c r="B84" s="893" t="s">
        <v>813</v>
      </c>
      <c r="C84" s="894">
        <v>41912</v>
      </c>
      <c r="D84" s="893" t="s">
        <v>702</v>
      </c>
      <c r="E84" s="893" t="s">
        <v>467</v>
      </c>
      <c r="F84" s="893">
        <v>350</v>
      </c>
      <c r="G84" s="893">
        <v>1260</v>
      </c>
      <c r="H84" s="893">
        <v>23.135000000000002</v>
      </c>
      <c r="I84" s="893">
        <v>2.0299999999999998</v>
      </c>
      <c r="J84" s="893">
        <v>31.5</v>
      </c>
      <c r="K84" s="893">
        <v>0.38500000000000001</v>
      </c>
      <c r="L84" s="893" t="s">
        <v>679</v>
      </c>
      <c r="M84" s="893">
        <v>2.8</v>
      </c>
      <c r="N84" s="893">
        <v>122.5</v>
      </c>
      <c r="O84" s="893" t="s">
        <v>679</v>
      </c>
      <c r="P84" s="893">
        <v>4.0599999999999996</v>
      </c>
      <c r="Q84" s="893" t="s">
        <v>679</v>
      </c>
      <c r="R84" s="893">
        <v>0.24500000000000002</v>
      </c>
      <c r="S84" s="893">
        <v>0.16800000000000001</v>
      </c>
      <c r="T84" s="893">
        <v>5.6</v>
      </c>
      <c r="U84" s="893">
        <v>4.6970000000000001</v>
      </c>
      <c r="V84" s="893">
        <v>0.50749999999999995</v>
      </c>
      <c r="W84" s="893">
        <v>31.5</v>
      </c>
      <c r="X84" s="893">
        <v>0</v>
      </c>
      <c r="Y84" s="893">
        <v>0</v>
      </c>
      <c r="Z84" s="893">
        <v>0</v>
      </c>
      <c r="AA84" s="893" t="s">
        <v>679</v>
      </c>
      <c r="AB84" s="893" t="s">
        <v>679</v>
      </c>
      <c r="AC84" s="893" t="s">
        <v>2</v>
      </c>
      <c r="AD84" s="893">
        <v>1</v>
      </c>
    </row>
    <row r="85" spans="1:30" ht="15" customHeight="1" x14ac:dyDescent="0.25">
      <c r="A85" s="893" t="s">
        <v>904</v>
      </c>
      <c r="B85" s="893" t="s">
        <v>813</v>
      </c>
      <c r="C85" s="894">
        <v>41912</v>
      </c>
      <c r="D85" s="893" t="s">
        <v>702</v>
      </c>
      <c r="E85" s="893" t="s">
        <v>32</v>
      </c>
      <c r="F85" s="893">
        <v>120</v>
      </c>
      <c r="G85" s="893">
        <v>411.6</v>
      </c>
      <c r="H85" s="893">
        <v>30.96</v>
      </c>
      <c r="I85" s="893">
        <v>1.272</v>
      </c>
      <c r="J85" s="893">
        <v>67.2</v>
      </c>
      <c r="K85" s="893">
        <v>0.62280000000000002</v>
      </c>
      <c r="L85" s="893" t="s">
        <v>679</v>
      </c>
      <c r="M85" s="893">
        <v>9.048</v>
      </c>
      <c r="N85" s="893">
        <v>146.4</v>
      </c>
      <c r="O85" s="893">
        <v>9.9600000000000009</v>
      </c>
      <c r="P85" s="893">
        <v>5.7360000000000007</v>
      </c>
      <c r="Q85" s="893">
        <v>2.4</v>
      </c>
      <c r="R85" s="893">
        <v>1.0476000000000001</v>
      </c>
      <c r="S85" s="893">
        <v>0.25319999999999998</v>
      </c>
      <c r="T85" s="893">
        <v>3.1260000000000003</v>
      </c>
      <c r="U85" s="893">
        <v>2.5680000000000001</v>
      </c>
      <c r="V85" s="893">
        <v>0.64800000000000013</v>
      </c>
      <c r="W85" s="893">
        <v>574.79999999999995</v>
      </c>
      <c r="X85" s="893">
        <v>0</v>
      </c>
      <c r="Y85" s="893">
        <v>5.28</v>
      </c>
      <c r="Z85" s="893">
        <v>0</v>
      </c>
      <c r="AA85" s="893">
        <v>0.58799999999999997</v>
      </c>
      <c r="AB85" s="893">
        <v>6</v>
      </c>
      <c r="AC85" s="893" t="s">
        <v>2</v>
      </c>
      <c r="AD85" s="893">
        <v>1</v>
      </c>
    </row>
    <row r="86" spans="1:30" ht="15" customHeight="1" x14ac:dyDescent="0.25">
      <c r="A86" s="893" t="s">
        <v>904</v>
      </c>
      <c r="B86" s="893" t="s">
        <v>813</v>
      </c>
      <c r="C86" s="894">
        <v>41912</v>
      </c>
      <c r="D86" s="893" t="s">
        <v>702</v>
      </c>
      <c r="E86" s="893" t="s">
        <v>663</v>
      </c>
      <c r="F86" s="893">
        <v>35</v>
      </c>
      <c r="G86" s="893">
        <v>309.39999999999998</v>
      </c>
      <c r="H86" s="893">
        <v>0</v>
      </c>
      <c r="I86" s="893">
        <v>35</v>
      </c>
      <c r="J86" s="893">
        <v>0</v>
      </c>
      <c r="K86" s="893" t="s">
        <v>679</v>
      </c>
      <c r="L86" s="893" t="s">
        <v>679</v>
      </c>
      <c r="M86" s="893">
        <v>0</v>
      </c>
      <c r="N86" s="893" t="s">
        <v>679</v>
      </c>
      <c r="O86" s="893" t="s">
        <v>679</v>
      </c>
      <c r="P86" s="893" t="s">
        <v>679</v>
      </c>
      <c r="Q86" s="893">
        <v>315.31531531531533</v>
      </c>
      <c r="R86" s="893">
        <v>0</v>
      </c>
      <c r="S86" s="893">
        <v>0</v>
      </c>
      <c r="T86" s="893">
        <v>0</v>
      </c>
      <c r="U86" s="893">
        <v>0</v>
      </c>
      <c r="V86" s="893">
        <v>0</v>
      </c>
      <c r="W86" s="893">
        <v>0</v>
      </c>
      <c r="X86" s="893">
        <v>0</v>
      </c>
      <c r="Y86" s="893">
        <v>0</v>
      </c>
      <c r="Z86" s="893">
        <v>2.625</v>
      </c>
      <c r="AA86" s="893" t="s">
        <v>679</v>
      </c>
      <c r="AB86" s="893" t="s">
        <v>679</v>
      </c>
      <c r="AC86" s="893" t="s">
        <v>2</v>
      </c>
      <c r="AD86" s="893">
        <v>1</v>
      </c>
    </row>
    <row r="87" spans="1:30" ht="15" customHeight="1" x14ac:dyDescent="0.25">
      <c r="A87" s="893" t="s">
        <v>904</v>
      </c>
      <c r="B87" s="893" t="s">
        <v>813</v>
      </c>
      <c r="C87" s="894">
        <v>41912</v>
      </c>
      <c r="D87" s="893" t="s">
        <v>702</v>
      </c>
      <c r="E87" s="893" t="s">
        <v>662</v>
      </c>
      <c r="F87" s="893">
        <v>60</v>
      </c>
      <c r="G87" s="893">
        <v>225.46799999999999</v>
      </c>
      <c r="H87" s="893">
        <v>9.1739999999999995</v>
      </c>
      <c r="I87" s="893">
        <v>4.8179999999999996</v>
      </c>
      <c r="J87" s="893">
        <v>237.88800000000003</v>
      </c>
      <c r="K87" s="893">
        <v>0.28199999999999997</v>
      </c>
      <c r="L87" s="893">
        <v>24</v>
      </c>
      <c r="M87" s="893">
        <v>5.6459999999999999</v>
      </c>
      <c r="N87" s="893" t="s">
        <v>679</v>
      </c>
      <c r="O87" s="893">
        <v>9.5939999999999994</v>
      </c>
      <c r="P87" s="893">
        <v>4.6079999999999997</v>
      </c>
      <c r="Q87" s="893">
        <v>332.98200000000003</v>
      </c>
      <c r="R87" s="893">
        <v>0.35399999999999998</v>
      </c>
      <c r="S87" s="893">
        <v>0.42599999999999993</v>
      </c>
      <c r="T87" s="893">
        <v>6.63</v>
      </c>
      <c r="U87" s="893">
        <v>1.212</v>
      </c>
      <c r="V87" s="893">
        <v>0.91799999999999993</v>
      </c>
      <c r="W87" s="893">
        <v>94.722000000000008</v>
      </c>
      <c r="X87" s="893">
        <v>1.2</v>
      </c>
      <c r="Y87" s="893">
        <v>60.552</v>
      </c>
      <c r="Z87" s="893">
        <v>3.6</v>
      </c>
      <c r="AA87" s="893">
        <v>5.76</v>
      </c>
      <c r="AB87" s="893" t="s">
        <v>679</v>
      </c>
      <c r="AC87" s="893" t="s">
        <v>2</v>
      </c>
      <c r="AD87" s="893">
        <v>1</v>
      </c>
    </row>
    <row r="88" spans="1:30" ht="15" customHeight="1" x14ac:dyDescent="0.25">
      <c r="A88" s="893" t="s">
        <v>904</v>
      </c>
      <c r="B88" s="893" t="s">
        <v>813</v>
      </c>
      <c r="C88" s="894">
        <v>41912</v>
      </c>
      <c r="D88" s="893" t="s">
        <v>702</v>
      </c>
      <c r="E88" s="893" t="s">
        <v>10</v>
      </c>
      <c r="F88" s="893">
        <v>5</v>
      </c>
      <c r="G88" s="893">
        <v>19.350000000000001</v>
      </c>
      <c r="H88" s="893">
        <v>0</v>
      </c>
      <c r="I88" s="893">
        <v>0</v>
      </c>
      <c r="J88" s="893">
        <v>0.05</v>
      </c>
      <c r="K88" s="893">
        <v>3.5000000000000005E-4</v>
      </c>
      <c r="L88" s="893" t="s">
        <v>679</v>
      </c>
      <c r="M88" s="893">
        <v>2.5000000000000001E-3</v>
      </c>
      <c r="N88" s="893">
        <v>0</v>
      </c>
      <c r="O88" s="893">
        <v>0.03</v>
      </c>
      <c r="P88" s="893">
        <v>5.0000000000000001E-4</v>
      </c>
      <c r="Q88" s="893">
        <v>0</v>
      </c>
      <c r="R88" s="893">
        <v>0</v>
      </c>
      <c r="S88" s="893">
        <v>9.5E-4</v>
      </c>
      <c r="T88" s="893">
        <v>0</v>
      </c>
      <c r="U88" s="893">
        <v>0</v>
      </c>
      <c r="V88" s="893">
        <v>0</v>
      </c>
      <c r="W88" s="893">
        <v>0</v>
      </c>
      <c r="X88" s="893">
        <v>0</v>
      </c>
      <c r="Y88" s="893">
        <v>0</v>
      </c>
      <c r="Z88" s="893">
        <v>0</v>
      </c>
      <c r="AA88" s="893">
        <v>0</v>
      </c>
      <c r="AB88" s="893">
        <v>0</v>
      </c>
      <c r="AC88" s="893" t="s">
        <v>2</v>
      </c>
      <c r="AD88" s="893">
        <v>1</v>
      </c>
    </row>
    <row r="89" spans="1:30" ht="15" customHeight="1" x14ac:dyDescent="0.25">
      <c r="A89" s="893" t="s">
        <v>904</v>
      </c>
      <c r="B89" s="893" t="s">
        <v>813</v>
      </c>
      <c r="C89" s="894">
        <v>41912</v>
      </c>
      <c r="D89" s="893" t="s">
        <v>702</v>
      </c>
      <c r="E89" s="893" t="s">
        <v>664</v>
      </c>
      <c r="F89" s="893">
        <v>5</v>
      </c>
      <c r="G89" s="893">
        <v>0</v>
      </c>
      <c r="H89" s="893">
        <v>0</v>
      </c>
      <c r="I89" s="893">
        <v>0</v>
      </c>
      <c r="J89" s="893" t="s">
        <v>679</v>
      </c>
      <c r="K89" s="893" t="s">
        <v>679</v>
      </c>
      <c r="L89" s="893">
        <v>200</v>
      </c>
      <c r="M89" s="893" t="s">
        <v>679</v>
      </c>
      <c r="N89" s="893" t="s">
        <v>679</v>
      </c>
      <c r="O89" s="893" t="s">
        <v>679</v>
      </c>
      <c r="P89" s="893">
        <v>0</v>
      </c>
      <c r="Q89" s="893">
        <v>0</v>
      </c>
      <c r="R89" s="893">
        <v>0</v>
      </c>
      <c r="S89" s="893">
        <v>0</v>
      </c>
      <c r="T89" s="893">
        <v>0</v>
      </c>
      <c r="U89" s="893">
        <v>0</v>
      </c>
      <c r="V89" s="893">
        <v>0</v>
      </c>
      <c r="W89" s="893">
        <v>0</v>
      </c>
      <c r="X89" s="893">
        <v>0</v>
      </c>
      <c r="Y89" s="893">
        <v>0</v>
      </c>
      <c r="Z89" s="893">
        <v>0</v>
      </c>
      <c r="AA89" s="893">
        <v>0</v>
      </c>
      <c r="AB89" s="893">
        <v>0</v>
      </c>
      <c r="AC89" s="893" t="s">
        <v>2</v>
      </c>
      <c r="AD89" s="893">
        <v>1</v>
      </c>
    </row>
    <row r="90" spans="1:30" ht="15" customHeight="1" x14ac:dyDescent="0.25">
      <c r="A90" s="893" t="s">
        <v>904</v>
      </c>
      <c r="B90" s="893" t="s">
        <v>813</v>
      </c>
      <c r="C90" s="894">
        <v>41912</v>
      </c>
      <c r="D90" s="893" t="s">
        <v>702</v>
      </c>
      <c r="AC90" s="893" t="s">
        <v>2</v>
      </c>
      <c r="AD90" s="893">
        <v>1</v>
      </c>
    </row>
    <row r="91" spans="1:30" ht="15" customHeight="1" x14ac:dyDescent="0.25">
      <c r="A91" s="893" t="s">
        <v>904</v>
      </c>
      <c r="B91" s="893" t="s">
        <v>813</v>
      </c>
      <c r="C91" s="894">
        <v>41912</v>
      </c>
      <c r="D91" s="893" t="s">
        <v>702</v>
      </c>
      <c r="AC91" s="893" t="s">
        <v>2</v>
      </c>
      <c r="AD91" s="893">
        <v>1</v>
      </c>
    </row>
    <row r="92" spans="1:30" ht="15" customHeight="1" x14ac:dyDescent="0.25">
      <c r="A92" s="893" t="s">
        <v>904</v>
      </c>
      <c r="B92" s="893" t="s">
        <v>813</v>
      </c>
      <c r="C92" s="894">
        <v>41912</v>
      </c>
      <c r="D92" s="893" t="s">
        <v>702</v>
      </c>
      <c r="AC92" s="893" t="s">
        <v>2</v>
      </c>
      <c r="AD92" s="893">
        <v>1</v>
      </c>
    </row>
    <row r="93" spans="1:30" ht="15" customHeight="1" x14ac:dyDescent="0.25">
      <c r="A93" s="893" t="s">
        <v>904</v>
      </c>
      <c r="B93" s="893" t="s">
        <v>813</v>
      </c>
      <c r="C93" s="894">
        <v>41912</v>
      </c>
      <c r="D93" s="893" t="s">
        <v>702</v>
      </c>
      <c r="AC93" s="893" t="s">
        <v>2</v>
      </c>
      <c r="AD93" s="893">
        <v>1</v>
      </c>
    </row>
    <row r="94" spans="1:30" ht="15" customHeight="1" x14ac:dyDescent="0.25">
      <c r="A94" s="893" t="s">
        <v>904</v>
      </c>
      <c r="B94" s="893" t="s">
        <v>813</v>
      </c>
      <c r="C94" s="894">
        <v>41912</v>
      </c>
      <c r="D94" s="893" t="s">
        <v>702</v>
      </c>
      <c r="AC94" s="893" t="s">
        <v>2</v>
      </c>
      <c r="AD94" s="893">
        <v>1</v>
      </c>
    </row>
    <row r="95" spans="1:30" ht="15" customHeight="1" x14ac:dyDescent="0.25">
      <c r="A95" s="893" t="s">
        <v>904</v>
      </c>
      <c r="B95" s="893" t="s">
        <v>813</v>
      </c>
      <c r="C95" s="894">
        <v>41912</v>
      </c>
      <c r="D95" s="893" t="s">
        <v>702</v>
      </c>
      <c r="AC95" s="893" t="s">
        <v>2</v>
      </c>
      <c r="AD95" s="893">
        <v>1</v>
      </c>
    </row>
    <row r="96" spans="1:30" ht="15" customHeight="1" x14ac:dyDescent="0.25">
      <c r="A96" s="893" t="s">
        <v>904</v>
      </c>
      <c r="B96" s="893" t="s">
        <v>813</v>
      </c>
      <c r="C96" s="894">
        <v>41912</v>
      </c>
      <c r="D96" s="893" t="s">
        <v>702</v>
      </c>
      <c r="AC96" s="893" t="s">
        <v>2</v>
      </c>
      <c r="AD96" s="893">
        <v>1</v>
      </c>
    </row>
    <row r="97" spans="1:30" ht="15" customHeight="1" x14ac:dyDescent="0.25">
      <c r="A97" s="893" t="s">
        <v>904</v>
      </c>
      <c r="B97" s="893" t="s">
        <v>813</v>
      </c>
      <c r="C97" s="894">
        <v>41912</v>
      </c>
      <c r="D97" s="893" t="s">
        <v>702</v>
      </c>
      <c r="AC97" s="893" t="s">
        <v>2</v>
      </c>
      <c r="AD97" s="893">
        <v>1</v>
      </c>
    </row>
    <row r="98" spans="1:30" ht="15" customHeight="1" x14ac:dyDescent="0.25">
      <c r="A98" s="893" t="s">
        <v>904</v>
      </c>
      <c r="B98" s="893" t="s">
        <v>813</v>
      </c>
      <c r="C98" s="894">
        <v>41912</v>
      </c>
      <c r="D98" s="893" t="s">
        <v>702</v>
      </c>
      <c r="AC98" s="893" t="s">
        <v>2</v>
      </c>
      <c r="AD98" s="893">
        <v>1</v>
      </c>
    </row>
    <row r="99" spans="1:30" ht="15" customHeight="1" x14ac:dyDescent="0.25">
      <c r="A99" s="893" t="s">
        <v>904</v>
      </c>
      <c r="B99" s="893" t="s">
        <v>813</v>
      </c>
      <c r="C99" s="894">
        <v>41912</v>
      </c>
      <c r="D99" s="893" t="s">
        <v>702</v>
      </c>
      <c r="AC99" s="893" t="s">
        <v>2</v>
      </c>
      <c r="AD99" s="893">
        <v>1</v>
      </c>
    </row>
    <row r="100" spans="1:30" ht="15" customHeight="1" x14ac:dyDescent="0.25">
      <c r="A100" s="893" t="s">
        <v>904</v>
      </c>
      <c r="B100" s="893" t="s">
        <v>813</v>
      </c>
      <c r="C100" s="894">
        <v>41912</v>
      </c>
      <c r="D100" s="893" t="s">
        <v>702</v>
      </c>
      <c r="AC100" s="893" t="s">
        <v>2</v>
      </c>
      <c r="AD100" s="893">
        <v>1</v>
      </c>
    </row>
    <row r="101" spans="1:30" ht="15" customHeight="1" x14ac:dyDescent="0.25">
      <c r="A101" s="893" t="s">
        <v>904</v>
      </c>
      <c r="B101" s="893" t="s">
        <v>813</v>
      </c>
      <c r="C101" s="894">
        <v>41912</v>
      </c>
      <c r="D101" s="893" t="s">
        <v>702</v>
      </c>
      <c r="AC101" s="893" t="s">
        <v>2</v>
      </c>
      <c r="AD101" s="893">
        <v>1</v>
      </c>
    </row>
    <row r="102" spans="1:30" ht="15" customHeight="1" x14ac:dyDescent="0.25">
      <c r="A102" s="893" t="s">
        <v>904</v>
      </c>
      <c r="B102" s="893" t="s">
        <v>813</v>
      </c>
      <c r="C102" s="894">
        <v>41912</v>
      </c>
      <c r="D102" s="893" t="s">
        <v>702</v>
      </c>
      <c r="AC102" s="893" t="s">
        <v>2</v>
      </c>
      <c r="AD102" s="893">
        <v>1</v>
      </c>
    </row>
    <row r="103" spans="1:30" ht="15" customHeight="1" x14ac:dyDescent="0.25">
      <c r="A103" s="893" t="s">
        <v>904</v>
      </c>
      <c r="B103" s="893" t="s">
        <v>813</v>
      </c>
      <c r="C103" s="894">
        <v>41912</v>
      </c>
      <c r="D103" s="893" t="s">
        <v>702</v>
      </c>
      <c r="AC103" s="893" t="s">
        <v>2</v>
      </c>
      <c r="AD103" s="893">
        <v>1</v>
      </c>
    </row>
    <row r="104" spans="1:30" ht="15" customHeight="1" x14ac:dyDescent="0.25">
      <c r="A104" s="893" t="s">
        <v>904</v>
      </c>
      <c r="B104" s="893" t="s">
        <v>813</v>
      </c>
      <c r="C104" s="894">
        <v>41912</v>
      </c>
      <c r="D104" s="893" t="s">
        <v>702</v>
      </c>
      <c r="AC104" s="893" t="s">
        <v>2</v>
      </c>
      <c r="AD104" s="893">
        <v>1</v>
      </c>
    </row>
    <row r="105" spans="1:30" ht="15" customHeight="1" x14ac:dyDescent="0.25">
      <c r="A105" s="893" t="s">
        <v>904</v>
      </c>
      <c r="B105" s="893" t="s">
        <v>813</v>
      </c>
      <c r="C105" s="894">
        <v>41912</v>
      </c>
      <c r="D105" s="893" t="s">
        <v>702</v>
      </c>
      <c r="AC105" s="893" t="s">
        <v>2</v>
      </c>
      <c r="AD105" s="893">
        <v>1</v>
      </c>
    </row>
    <row r="106" spans="1:30" ht="15" customHeight="1" x14ac:dyDescent="0.25">
      <c r="A106" s="893" t="s">
        <v>904</v>
      </c>
      <c r="B106" s="893" t="s">
        <v>813</v>
      </c>
      <c r="C106" s="894">
        <v>41912</v>
      </c>
      <c r="D106" s="893" t="s">
        <v>702</v>
      </c>
      <c r="AC106" s="893" t="s">
        <v>2</v>
      </c>
      <c r="AD106" s="893">
        <v>1</v>
      </c>
    </row>
    <row r="107" spans="1:30" ht="15" customHeight="1" x14ac:dyDescent="0.25">
      <c r="A107" s="893" t="s">
        <v>904</v>
      </c>
      <c r="B107" s="893" t="s">
        <v>813</v>
      </c>
      <c r="C107" s="894">
        <v>41912</v>
      </c>
      <c r="D107" s="893" t="s">
        <v>702</v>
      </c>
      <c r="AC107" s="893" t="s">
        <v>2</v>
      </c>
      <c r="AD107" s="893">
        <v>1</v>
      </c>
    </row>
    <row r="108" spans="1:30" ht="15" customHeight="1" x14ac:dyDescent="0.25">
      <c r="A108" s="893" t="s">
        <v>904</v>
      </c>
      <c r="B108" s="893" t="s">
        <v>813</v>
      </c>
      <c r="C108" s="894">
        <v>41912</v>
      </c>
      <c r="D108" s="893" t="s">
        <v>702</v>
      </c>
      <c r="AC108" s="893" t="s">
        <v>2</v>
      </c>
      <c r="AD108" s="893">
        <v>1</v>
      </c>
    </row>
    <row r="109" spans="1:30" ht="15" customHeight="1" x14ac:dyDescent="0.25">
      <c r="A109" s="893" t="s">
        <v>904</v>
      </c>
      <c r="B109" s="893" t="s">
        <v>813</v>
      </c>
      <c r="C109" s="894">
        <v>41912</v>
      </c>
      <c r="D109" s="893" t="s">
        <v>702</v>
      </c>
      <c r="AC109" s="893" t="s">
        <v>2</v>
      </c>
      <c r="AD109" s="893">
        <v>1</v>
      </c>
    </row>
    <row r="110" spans="1:30" ht="15" customHeight="1" x14ac:dyDescent="0.25">
      <c r="A110" s="893" t="s">
        <v>904</v>
      </c>
      <c r="B110" s="893" t="s">
        <v>813</v>
      </c>
      <c r="C110" s="894">
        <v>41912</v>
      </c>
      <c r="D110" s="893" t="s">
        <v>702</v>
      </c>
      <c r="AC110" s="893" t="s">
        <v>2</v>
      </c>
      <c r="AD110" s="893">
        <v>1</v>
      </c>
    </row>
    <row r="111" spans="1:30" ht="15" customHeight="1" x14ac:dyDescent="0.25">
      <c r="A111" s="893" t="s">
        <v>904</v>
      </c>
      <c r="B111" s="893" t="s">
        <v>813</v>
      </c>
      <c r="C111" s="894">
        <v>41912</v>
      </c>
      <c r="D111" s="893" t="s">
        <v>702</v>
      </c>
      <c r="AC111" s="893" t="s">
        <v>2</v>
      </c>
      <c r="AD111" s="893">
        <v>1</v>
      </c>
    </row>
    <row r="112" spans="1:30" ht="15" customHeight="1" x14ac:dyDescent="0.25">
      <c r="A112" s="893" t="s">
        <v>904</v>
      </c>
      <c r="B112" s="893" t="s">
        <v>813</v>
      </c>
      <c r="C112" s="894">
        <v>41912</v>
      </c>
      <c r="D112" s="893" t="s">
        <v>702</v>
      </c>
      <c r="AC112" s="893" t="s">
        <v>2</v>
      </c>
      <c r="AD112" s="893">
        <v>1</v>
      </c>
    </row>
    <row r="113" spans="1:30" ht="15" customHeight="1" x14ac:dyDescent="0.25">
      <c r="A113" s="893" t="s">
        <v>904</v>
      </c>
      <c r="B113" s="893" t="s">
        <v>813</v>
      </c>
      <c r="C113" s="894">
        <v>41912</v>
      </c>
      <c r="D113" s="893" t="s">
        <v>702</v>
      </c>
      <c r="AC113" s="893" t="s">
        <v>2</v>
      </c>
      <c r="AD113" s="893">
        <v>1</v>
      </c>
    </row>
    <row r="114" spans="1:30" ht="15" customHeight="1" x14ac:dyDescent="0.25">
      <c r="A114" s="893" t="s">
        <v>904</v>
      </c>
      <c r="B114" s="893" t="s">
        <v>813</v>
      </c>
      <c r="C114" s="894">
        <v>41912</v>
      </c>
      <c r="D114" s="893" t="s">
        <v>702</v>
      </c>
      <c r="AC114" s="893" t="s">
        <v>2</v>
      </c>
      <c r="AD114" s="893">
        <v>1</v>
      </c>
    </row>
    <row r="115" spans="1:30" ht="15" customHeight="1" x14ac:dyDescent="0.25">
      <c r="A115" s="893" t="s">
        <v>904</v>
      </c>
      <c r="B115" s="893" t="s">
        <v>813</v>
      </c>
      <c r="C115" s="894">
        <v>41912</v>
      </c>
      <c r="D115" s="893" t="s">
        <v>702</v>
      </c>
      <c r="AC115" s="893" t="s">
        <v>2</v>
      </c>
      <c r="AD115" s="893">
        <v>1</v>
      </c>
    </row>
    <row r="116" spans="1:30" ht="15" customHeight="1" x14ac:dyDescent="0.25">
      <c r="A116" s="893" t="s">
        <v>904</v>
      </c>
      <c r="B116" s="893" t="s">
        <v>813</v>
      </c>
      <c r="C116" s="894">
        <v>41912</v>
      </c>
      <c r="D116" s="893" t="s">
        <v>702</v>
      </c>
      <c r="AC116" s="893" t="s">
        <v>2</v>
      </c>
      <c r="AD116" s="893">
        <v>1</v>
      </c>
    </row>
    <row r="117" spans="1:30" ht="15" customHeight="1" x14ac:dyDescent="0.25">
      <c r="A117" s="893" t="s">
        <v>904</v>
      </c>
      <c r="B117" s="893" t="s">
        <v>813</v>
      </c>
      <c r="C117" s="894">
        <v>41912</v>
      </c>
      <c r="D117" s="893" t="s">
        <v>702</v>
      </c>
      <c r="AC117" s="893" t="s">
        <v>2</v>
      </c>
      <c r="AD117" s="893">
        <v>1</v>
      </c>
    </row>
    <row r="118" spans="1:30" ht="15" customHeight="1" x14ac:dyDescent="0.25">
      <c r="A118" s="893" t="s">
        <v>904</v>
      </c>
      <c r="B118" s="893" t="s">
        <v>813</v>
      </c>
      <c r="C118" s="894">
        <v>41912</v>
      </c>
      <c r="D118" s="893" t="s">
        <v>702</v>
      </c>
      <c r="AC118" s="893" t="s">
        <v>2</v>
      </c>
      <c r="AD118" s="893">
        <v>1</v>
      </c>
    </row>
    <row r="119" spans="1:30" ht="15" customHeight="1" x14ac:dyDescent="0.25">
      <c r="A119" s="893" t="s">
        <v>904</v>
      </c>
      <c r="B119" s="893" t="s">
        <v>813</v>
      </c>
      <c r="C119" s="894">
        <v>41912</v>
      </c>
      <c r="D119" s="893" t="s">
        <v>702</v>
      </c>
      <c r="AC119" s="893" t="s">
        <v>2</v>
      </c>
      <c r="AD119" s="893">
        <v>1</v>
      </c>
    </row>
    <row r="120" spans="1:30" ht="15" customHeight="1" x14ac:dyDescent="0.25">
      <c r="A120" s="893" t="s">
        <v>904</v>
      </c>
      <c r="B120" s="893" t="s">
        <v>813</v>
      </c>
      <c r="C120" s="894">
        <v>41912</v>
      </c>
      <c r="D120" s="893" t="s">
        <v>702</v>
      </c>
      <c r="AC120" s="893" t="s">
        <v>2</v>
      </c>
      <c r="AD120" s="893">
        <v>1</v>
      </c>
    </row>
    <row r="121" spans="1:30" ht="15" customHeight="1" x14ac:dyDescent="0.25">
      <c r="A121" s="893" t="s">
        <v>904</v>
      </c>
      <c r="B121" s="893" t="s">
        <v>813</v>
      </c>
      <c r="C121" s="894">
        <v>41912</v>
      </c>
      <c r="D121" s="893" t="s">
        <v>702</v>
      </c>
      <c r="AC121" s="893" t="s">
        <v>2</v>
      </c>
      <c r="AD121" s="893">
        <v>1</v>
      </c>
    </row>
    <row r="122" spans="1:30" ht="15" customHeight="1" x14ac:dyDescent="0.25">
      <c r="A122" s="893" t="s">
        <v>904</v>
      </c>
      <c r="B122" s="893" t="s">
        <v>813</v>
      </c>
      <c r="C122" s="894">
        <v>41912</v>
      </c>
      <c r="D122" s="893" t="s">
        <v>702</v>
      </c>
      <c r="AC122" s="893" t="s">
        <v>2</v>
      </c>
      <c r="AD122" s="893">
        <v>1</v>
      </c>
    </row>
    <row r="123" spans="1:30" ht="15" customHeight="1" x14ac:dyDescent="0.25">
      <c r="A123" s="893" t="s">
        <v>904</v>
      </c>
      <c r="B123" s="893" t="s">
        <v>813</v>
      </c>
      <c r="C123" s="894">
        <v>41912</v>
      </c>
      <c r="D123" s="893" t="s">
        <v>702</v>
      </c>
      <c r="AC123" s="893" t="s">
        <v>2</v>
      </c>
      <c r="AD123" s="893">
        <v>1</v>
      </c>
    </row>
    <row r="124" spans="1:30" ht="15" customHeight="1" x14ac:dyDescent="0.25">
      <c r="A124" s="893" t="s">
        <v>904</v>
      </c>
      <c r="B124" s="893" t="s">
        <v>813</v>
      </c>
      <c r="C124" s="894">
        <v>41912</v>
      </c>
      <c r="D124" s="893" t="s">
        <v>703</v>
      </c>
      <c r="G124" s="893">
        <v>1.0599133333333333</v>
      </c>
      <c r="H124" s="893">
        <v>1.2051238095238095</v>
      </c>
      <c r="I124" s="893">
        <v>1.0779999999999998</v>
      </c>
      <c r="J124" s="893">
        <v>0.34038220424671389</v>
      </c>
      <c r="K124" s="893">
        <v>1.1728636363636364</v>
      </c>
      <c r="L124" s="893">
        <v>1.6231884057971016</v>
      </c>
      <c r="M124" s="893">
        <v>0.54676562500000003</v>
      </c>
      <c r="N124" s="893">
        <v>1.3378109452736318</v>
      </c>
      <c r="O124" s="893">
        <v>0.7095652173913044</v>
      </c>
      <c r="P124" s="893">
        <v>1.1616532258064516</v>
      </c>
      <c r="Q124" s="893">
        <v>1.1830860278460278</v>
      </c>
      <c r="R124" s="893">
        <v>1.496909090909091</v>
      </c>
      <c r="S124" s="893">
        <v>0.77104545454545448</v>
      </c>
      <c r="T124" s="893">
        <v>1.1127536231884056</v>
      </c>
      <c r="U124" s="893">
        <v>1.8428260869565221</v>
      </c>
      <c r="V124" s="893">
        <v>1.7279166666666668</v>
      </c>
      <c r="W124" s="893">
        <v>1.931190082644628</v>
      </c>
      <c r="X124" s="893">
        <v>0.54545454545454541</v>
      </c>
      <c r="Y124" s="893">
        <v>1.5824999999999998</v>
      </c>
      <c r="Z124" s="893">
        <v>1.0204918032786885</v>
      </c>
      <c r="AA124" s="893">
        <v>0.79349999999999998</v>
      </c>
      <c r="AB124" s="893">
        <v>0.12448132780082986</v>
      </c>
      <c r="AC124" s="893" t="s">
        <v>2</v>
      </c>
      <c r="AD124" s="893">
        <v>1</v>
      </c>
    </row>
    <row r="125" spans="1:30" ht="15" customHeight="1" x14ac:dyDescent="0.25">
      <c r="A125" s="893" t="s">
        <v>965</v>
      </c>
      <c r="B125" s="893" t="s">
        <v>773</v>
      </c>
      <c r="C125" s="894">
        <v>41883</v>
      </c>
      <c r="D125" s="893" t="s">
        <v>702</v>
      </c>
      <c r="E125" s="893" t="s">
        <v>865</v>
      </c>
      <c r="F125" s="893">
        <v>450</v>
      </c>
      <c r="G125" s="893">
        <v>1506</v>
      </c>
      <c r="H125" s="893">
        <v>55.530000000000008</v>
      </c>
      <c r="I125" s="893">
        <v>8.3925000000000018</v>
      </c>
      <c r="J125" s="893">
        <v>135.75</v>
      </c>
      <c r="K125" s="893">
        <v>1.9770000000000001</v>
      </c>
      <c r="L125" s="893" t="s">
        <v>679</v>
      </c>
      <c r="M125" s="893">
        <v>17.587500000000002</v>
      </c>
      <c r="N125" s="893">
        <v>527.25</v>
      </c>
      <c r="O125" s="893">
        <v>346.2</v>
      </c>
      <c r="P125" s="893">
        <v>14.2575</v>
      </c>
      <c r="Q125" s="893">
        <v>0</v>
      </c>
      <c r="R125" s="893">
        <v>1.8727500000000004</v>
      </c>
      <c r="S125" s="893">
        <v>0.49274999999999991</v>
      </c>
      <c r="T125" s="893">
        <v>23.894250000000003</v>
      </c>
      <c r="U125" s="893">
        <v>4.1084999999999994</v>
      </c>
      <c r="V125" s="893">
        <v>1.5547499999999999</v>
      </c>
      <c r="W125" s="893">
        <v>183</v>
      </c>
      <c r="X125" s="893">
        <v>0</v>
      </c>
      <c r="Y125" s="893">
        <v>0</v>
      </c>
      <c r="Z125" s="893">
        <v>0</v>
      </c>
      <c r="AA125" s="893">
        <v>4.5449999999999999</v>
      </c>
      <c r="AB125" s="893">
        <v>8.5500000000000007</v>
      </c>
      <c r="AC125" s="893" t="s">
        <v>2</v>
      </c>
      <c r="AD125" s="893">
        <v>1</v>
      </c>
    </row>
    <row r="126" spans="1:30" ht="15" customHeight="1" x14ac:dyDescent="0.25">
      <c r="A126" s="893" t="s">
        <v>965</v>
      </c>
      <c r="B126" s="893" t="s">
        <v>773</v>
      </c>
      <c r="C126" s="894">
        <v>41883</v>
      </c>
      <c r="D126" s="893" t="s">
        <v>702</v>
      </c>
      <c r="E126" s="893" t="s">
        <v>9</v>
      </c>
      <c r="F126" s="893">
        <v>60</v>
      </c>
      <c r="G126" s="893">
        <v>203.88</v>
      </c>
      <c r="H126" s="893">
        <v>13.218</v>
      </c>
      <c r="I126" s="893">
        <v>0.69959999999999989</v>
      </c>
      <c r="J126" s="893">
        <v>84.96</v>
      </c>
      <c r="K126" s="893">
        <v>0.51983999999999997</v>
      </c>
      <c r="L126" s="893" t="s">
        <v>679</v>
      </c>
      <c r="M126" s="893">
        <v>3.7199999999999993</v>
      </c>
      <c r="N126" s="893">
        <v>103.44</v>
      </c>
      <c r="O126" s="893">
        <v>8.16</v>
      </c>
      <c r="P126" s="893">
        <v>1.6296000000000002</v>
      </c>
      <c r="Q126" s="893">
        <v>0</v>
      </c>
      <c r="R126" s="893">
        <v>0.41304000000000002</v>
      </c>
      <c r="S126" s="893">
        <v>0.12288</v>
      </c>
      <c r="T126" s="893">
        <v>1.1122800000000002</v>
      </c>
      <c r="U126" s="893">
        <v>0.52847999999999995</v>
      </c>
      <c r="V126" s="893">
        <v>0.27275999999999995</v>
      </c>
      <c r="W126" s="893">
        <v>267.36</v>
      </c>
      <c r="X126" s="893">
        <v>0</v>
      </c>
      <c r="Y126" s="893">
        <v>2.4150000000000005</v>
      </c>
      <c r="Z126" s="893">
        <v>0</v>
      </c>
      <c r="AA126" s="893">
        <v>0.10559999999999999</v>
      </c>
      <c r="AB126" s="893">
        <v>4.6560000000000006</v>
      </c>
      <c r="AC126" s="893" t="s">
        <v>2</v>
      </c>
      <c r="AD126" s="893">
        <v>1</v>
      </c>
    </row>
    <row r="127" spans="1:30" ht="15" customHeight="1" x14ac:dyDescent="0.25">
      <c r="A127" s="893" t="s">
        <v>965</v>
      </c>
      <c r="B127" s="893" t="s">
        <v>773</v>
      </c>
      <c r="C127" s="894">
        <v>41883</v>
      </c>
      <c r="D127" s="893" t="s">
        <v>702</v>
      </c>
      <c r="E127" s="893" t="s">
        <v>663</v>
      </c>
      <c r="F127" s="893">
        <v>30</v>
      </c>
      <c r="G127" s="893">
        <v>265.2</v>
      </c>
      <c r="H127" s="893">
        <v>0</v>
      </c>
      <c r="I127" s="893">
        <v>30</v>
      </c>
      <c r="J127" s="893">
        <v>0</v>
      </c>
      <c r="K127" s="893" t="s">
        <v>679</v>
      </c>
      <c r="L127" s="893" t="s">
        <v>679</v>
      </c>
      <c r="M127" s="893">
        <v>0</v>
      </c>
      <c r="N127" s="893" t="s">
        <v>679</v>
      </c>
      <c r="O127" s="893" t="s">
        <v>679</v>
      </c>
      <c r="P127" s="893" t="s">
        <v>679</v>
      </c>
      <c r="Q127" s="893">
        <v>270.27027027027026</v>
      </c>
      <c r="R127" s="893">
        <v>0</v>
      </c>
      <c r="S127" s="893">
        <v>0</v>
      </c>
      <c r="T127" s="893">
        <v>0</v>
      </c>
      <c r="U127" s="893">
        <v>0</v>
      </c>
      <c r="V127" s="893">
        <v>0</v>
      </c>
      <c r="W127" s="893">
        <v>0</v>
      </c>
      <c r="X127" s="893">
        <v>0</v>
      </c>
      <c r="Y127" s="893">
        <v>0</v>
      </c>
      <c r="Z127" s="893">
        <v>2.25</v>
      </c>
      <c r="AA127" s="893" t="s">
        <v>679</v>
      </c>
      <c r="AB127" s="893" t="s">
        <v>679</v>
      </c>
      <c r="AC127" s="893" t="s">
        <v>2</v>
      </c>
      <c r="AD127" s="893">
        <v>1</v>
      </c>
    </row>
    <row r="128" spans="1:30" ht="15" customHeight="1" x14ac:dyDescent="0.25">
      <c r="A128" s="893" t="s">
        <v>965</v>
      </c>
      <c r="B128" s="893" t="s">
        <v>773</v>
      </c>
      <c r="C128" s="894">
        <v>41883</v>
      </c>
      <c r="D128" s="893" t="s">
        <v>702</v>
      </c>
      <c r="E128" s="893" t="s">
        <v>662</v>
      </c>
      <c r="F128" s="893">
        <v>60</v>
      </c>
      <c r="G128" s="893">
        <v>225.46799999999999</v>
      </c>
      <c r="H128" s="893">
        <v>9.1739999999999995</v>
      </c>
      <c r="I128" s="893">
        <v>4.8179999999999996</v>
      </c>
      <c r="J128" s="893">
        <v>237.88800000000003</v>
      </c>
      <c r="K128" s="893">
        <v>0.28199999999999997</v>
      </c>
      <c r="L128" s="893">
        <v>24</v>
      </c>
      <c r="M128" s="893">
        <v>5.6459999999999999</v>
      </c>
      <c r="N128" s="893" t="s">
        <v>679</v>
      </c>
      <c r="O128" s="893">
        <v>9.5939999999999994</v>
      </c>
      <c r="P128" s="893">
        <v>4.6079999999999997</v>
      </c>
      <c r="Q128" s="893">
        <v>332.98200000000003</v>
      </c>
      <c r="R128" s="893">
        <v>0.35399999999999998</v>
      </c>
      <c r="S128" s="893">
        <v>0.42599999999999993</v>
      </c>
      <c r="T128" s="893">
        <v>6.63</v>
      </c>
      <c r="U128" s="893">
        <v>1.212</v>
      </c>
      <c r="V128" s="893">
        <v>0.91799999999999993</v>
      </c>
      <c r="W128" s="893">
        <v>94.722000000000008</v>
      </c>
      <c r="X128" s="893">
        <v>1.2</v>
      </c>
      <c r="Y128" s="893">
        <v>60.552</v>
      </c>
      <c r="Z128" s="893">
        <v>3.6</v>
      </c>
      <c r="AA128" s="893">
        <v>5.76</v>
      </c>
      <c r="AB128" s="893" t="s">
        <v>679</v>
      </c>
      <c r="AC128" s="893" t="s">
        <v>2</v>
      </c>
      <c r="AD128" s="893">
        <v>1</v>
      </c>
    </row>
    <row r="129" spans="1:30" ht="15" customHeight="1" x14ac:dyDescent="0.25">
      <c r="A129" s="893" t="s">
        <v>965</v>
      </c>
      <c r="B129" s="893" t="s">
        <v>773</v>
      </c>
      <c r="C129" s="894">
        <v>41883</v>
      </c>
      <c r="D129" s="893" t="s">
        <v>702</v>
      </c>
      <c r="E129" s="893" t="s">
        <v>664</v>
      </c>
      <c r="F129" s="893">
        <v>5</v>
      </c>
      <c r="G129" s="893">
        <v>0</v>
      </c>
      <c r="H129" s="893">
        <v>0</v>
      </c>
      <c r="I129" s="893">
        <v>0</v>
      </c>
      <c r="J129" s="893" t="s">
        <v>679</v>
      </c>
      <c r="K129" s="893" t="s">
        <v>679</v>
      </c>
      <c r="L129" s="893">
        <v>200</v>
      </c>
      <c r="M129" s="893" t="s">
        <v>679</v>
      </c>
      <c r="N129" s="893" t="s">
        <v>679</v>
      </c>
      <c r="O129" s="893" t="s">
        <v>679</v>
      </c>
      <c r="P129" s="893">
        <v>0</v>
      </c>
      <c r="Q129" s="893">
        <v>0</v>
      </c>
      <c r="R129" s="893">
        <v>0</v>
      </c>
      <c r="S129" s="893">
        <v>0</v>
      </c>
      <c r="T129" s="893">
        <v>0</v>
      </c>
      <c r="U129" s="893">
        <v>0</v>
      </c>
      <c r="V129" s="893">
        <v>0</v>
      </c>
      <c r="W129" s="893">
        <v>0</v>
      </c>
      <c r="X129" s="893">
        <v>0</v>
      </c>
      <c r="Y129" s="893">
        <v>0</v>
      </c>
      <c r="Z129" s="893">
        <v>0</v>
      </c>
      <c r="AA129" s="893">
        <v>0</v>
      </c>
      <c r="AB129" s="893">
        <v>0</v>
      </c>
      <c r="AC129" s="893" t="s">
        <v>2</v>
      </c>
      <c r="AD129" s="893">
        <v>1</v>
      </c>
    </row>
    <row r="130" spans="1:30" ht="15" customHeight="1" x14ac:dyDescent="0.25">
      <c r="A130" s="893" t="s">
        <v>965</v>
      </c>
      <c r="B130" s="893" t="s">
        <v>773</v>
      </c>
      <c r="C130" s="894">
        <v>41883</v>
      </c>
      <c r="D130" s="893" t="s">
        <v>702</v>
      </c>
      <c r="E130" s="893" t="s">
        <v>941</v>
      </c>
      <c r="F130" s="893">
        <v>5</v>
      </c>
      <c r="G130" s="893">
        <v>13.8</v>
      </c>
      <c r="H130" s="893">
        <v>0.45549999999999996</v>
      </c>
      <c r="I130" s="893">
        <v>0.3715</v>
      </c>
      <c r="J130" s="893">
        <v>94.5</v>
      </c>
      <c r="K130" s="893">
        <v>4.2999999999999997E-2</v>
      </c>
      <c r="L130" s="893" t="s">
        <v>679</v>
      </c>
      <c r="M130" s="893">
        <v>6.18</v>
      </c>
      <c r="N130" s="893">
        <v>11</v>
      </c>
      <c r="O130" s="893">
        <v>0.23</v>
      </c>
      <c r="P130" s="893">
        <v>0.309</v>
      </c>
      <c r="Q130" s="893">
        <v>9.5</v>
      </c>
      <c r="R130" s="893">
        <v>2.5649999999999999E-2</v>
      </c>
      <c r="S130" s="893">
        <v>1.9950000000000002E-2</v>
      </c>
      <c r="T130" s="893">
        <v>0.24700000000000003</v>
      </c>
      <c r="U130" s="893" t="s">
        <v>679</v>
      </c>
      <c r="V130" s="893">
        <v>2.75E-2</v>
      </c>
      <c r="W130" s="893">
        <v>13.7</v>
      </c>
      <c r="X130" s="893">
        <v>0</v>
      </c>
      <c r="Y130" s="893">
        <v>2.5</v>
      </c>
      <c r="Z130" s="893">
        <v>0</v>
      </c>
      <c r="AA130" s="893">
        <v>0.37400000000000005</v>
      </c>
      <c r="AB130" s="893">
        <v>85.724999999999994</v>
      </c>
      <c r="AC130" s="893" t="s">
        <v>2</v>
      </c>
      <c r="AD130" s="893">
        <v>1</v>
      </c>
    </row>
    <row r="131" spans="1:30" ht="15" customHeight="1" x14ac:dyDescent="0.25">
      <c r="A131" s="893" t="s">
        <v>965</v>
      </c>
      <c r="B131" s="893" t="s">
        <v>773</v>
      </c>
      <c r="C131" s="894">
        <v>41883</v>
      </c>
      <c r="D131" s="893" t="s">
        <v>702</v>
      </c>
      <c r="E131" s="893" t="s">
        <v>29</v>
      </c>
      <c r="F131" s="893">
        <v>50</v>
      </c>
      <c r="G131" s="893">
        <v>11.5</v>
      </c>
      <c r="H131" s="893">
        <v>1.43</v>
      </c>
      <c r="I131" s="893">
        <v>0.19500000000000001</v>
      </c>
      <c r="J131" s="893">
        <v>49.5</v>
      </c>
      <c r="K131" s="893">
        <v>6.5000000000000002E-2</v>
      </c>
      <c r="L131" s="893" t="s">
        <v>679</v>
      </c>
      <c r="M131" s="893">
        <v>1.355</v>
      </c>
      <c r="N131" s="893">
        <v>39.5</v>
      </c>
      <c r="O131" s="893">
        <v>0.5</v>
      </c>
      <c r="P131" s="893">
        <v>0.26500000000000001</v>
      </c>
      <c r="Q131" s="893">
        <v>234.5</v>
      </c>
      <c r="R131" s="893">
        <v>3.9E-2</v>
      </c>
      <c r="S131" s="893">
        <v>9.4499999999999987E-2</v>
      </c>
      <c r="T131" s="893">
        <v>0.36199999999999993</v>
      </c>
      <c r="U131" s="893">
        <v>3.2500000000000001E-2</v>
      </c>
      <c r="V131" s="893">
        <v>9.7500000000000003E-2</v>
      </c>
      <c r="W131" s="893">
        <v>97</v>
      </c>
      <c r="X131" s="893">
        <v>0</v>
      </c>
      <c r="Y131" s="893">
        <v>14.05</v>
      </c>
      <c r="Z131" s="893">
        <v>0</v>
      </c>
      <c r="AA131" s="893">
        <v>1.0149999999999999</v>
      </c>
      <c r="AB131" s="893">
        <v>241.45</v>
      </c>
      <c r="AC131" s="893" t="s">
        <v>2</v>
      </c>
      <c r="AD131" s="893">
        <v>1</v>
      </c>
    </row>
    <row r="132" spans="1:30" ht="15" customHeight="1" x14ac:dyDescent="0.25">
      <c r="A132" s="893" t="s">
        <v>965</v>
      </c>
      <c r="B132" s="893" t="s">
        <v>773</v>
      </c>
      <c r="C132" s="894">
        <v>41883</v>
      </c>
      <c r="D132" s="893" t="s">
        <v>702</v>
      </c>
      <c r="AC132" s="893" t="s">
        <v>2</v>
      </c>
      <c r="AD132" s="893">
        <v>1</v>
      </c>
    </row>
    <row r="133" spans="1:30" ht="15" customHeight="1" x14ac:dyDescent="0.25">
      <c r="A133" s="893" t="s">
        <v>965</v>
      </c>
      <c r="B133" s="893" t="s">
        <v>773</v>
      </c>
      <c r="C133" s="894">
        <v>41883</v>
      </c>
      <c r="D133" s="893" t="s">
        <v>702</v>
      </c>
      <c r="AC133" s="893" t="s">
        <v>2</v>
      </c>
      <c r="AD133" s="893">
        <v>1</v>
      </c>
    </row>
    <row r="134" spans="1:30" ht="15" customHeight="1" x14ac:dyDescent="0.25">
      <c r="A134" s="893" t="s">
        <v>965</v>
      </c>
      <c r="B134" s="893" t="s">
        <v>773</v>
      </c>
      <c r="C134" s="894">
        <v>41883</v>
      </c>
      <c r="D134" s="893" t="s">
        <v>702</v>
      </c>
      <c r="AC134" s="893" t="s">
        <v>2</v>
      </c>
      <c r="AD134" s="893">
        <v>1</v>
      </c>
    </row>
    <row r="135" spans="1:30" ht="15" customHeight="1" x14ac:dyDescent="0.25">
      <c r="A135" s="893" t="s">
        <v>965</v>
      </c>
      <c r="B135" s="893" t="s">
        <v>773</v>
      </c>
      <c r="C135" s="894">
        <v>41883</v>
      </c>
      <c r="D135" s="893" t="s">
        <v>702</v>
      </c>
      <c r="AC135" s="893" t="s">
        <v>2</v>
      </c>
      <c r="AD135" s="893">
        <v>1</v>
      </c>
    </row>
    <row r="136" spans="1:30" ht="15" customHeight="1" x14ac:dyDescent="0.25">
      <c r="A136" s="893" t="s">
        <v>965</v>
      </c>
      <c r="B136" s="893" t="s">
        <v>773</v>
      </c>
      <c r="C136" s="894">
        <v>41883</v>
      </c>
      <c r="D136" s="893" t="s">
        <v>702</v>
      </c>
      <c r="AC136" s="893" t="s">
        <v>2</v>
      </c>
      <c r="AD136" s="893">
        <v>1</v>
      </c>
    </row>
    <row r="137" spans="1:30" ht="15" customHeight="1" x14ac:dyDescent="0.25">
      <c r="A137" s="893" t="s">
        <v>965</v>
      </c>
      <c r="B137" s="893" t="s">
        <v>773</v>
      </c>
      <c r="C137" s="894">
        <v>41883</v>
      </c>
      <c r="D137" s="893" t="s">
        <v>702</v>
      </c>
      <c r="AC137" s="893" t="s">
        <v>2</v>
      </c>
      <c r="AD137" s="893">
        <v>1</v>
      </c>
    </row>
    <row r="138" spans="1:30" ht="15" customHeight="1" x14ac:dyDescent="0.25">
      <c r="A138" s="893" t="s">
        <v>965</v>
      </c>
      <c r="B138" s="893" t="s">
        <v>773</v>
      </c>
      <c r="C138" s="894">
        <v>41883</v>
      </c>
      <c r="D138" s="893" t="s">
        <v>702</v>
      </c>
      <c r="AC138" s="893" t="s">
        <v>2</v>
      </c>
      <c r="AD138" s="893">
        <v>1</v>
      </c>
    </row>
    <row r="139" spans="1:30" ht="15" customHeight="1" x14ac:dyDescent="0.25">
      <c r="A139" s="893" t="s">
        <v>965</v>
      </c>
      <c r="B139" s="893" t="s">
        <v>773</v>
      </c>
      <c r="C139" s="894">
        <v>41883</v>
      </c>
      <c r="D139" s="893" t="s">
        <v>702</v>
      </c>
      <c r="AC139" s="893" t="s">
        <v>2</v>
      </c>
      <c r="AD139" s="893">
        <v>1</v>
      </c>
    </row>
    <row r="140" spans="1:30" ht="15" customHeight="1" x14ac:dyDescent="0.25">
      <c r="A140" s="893" t="s">
        <v>965</v>
      </c>
      <c r="B140" s="893" t="s">
        <v>773</v>
      </c>
      <c r="C140" s="894">
        <v>41883</v>
      </c>
      <c r="D140" s="893" t="s">
        <v>702</v>
      </c>
      <c r="AC140" s="893" t="s">
        <v>2</v>
      </c>
      <c r="AD140" s="893">
        <v>1</v>
      </c>
    </row>
    <row r="141" spans="1:30" ht="15" customHeight="1" x14ac:dyDescent="0.25">
      <c r="A141" s="893" t="s">
        <v>965</v>
      </c>
      <c r="B141" s="893" t="s">
        <v>773</v>
      </c>
      <c r="C141" s="894">
        <v>41883</v>
      </c>
      <c r="D141" s="893" t="s">
        <v>702</v>
      </c>
      <c r="AC141" s="893" t="s">
        <v>2</v>
      </c>
      <c r="AD141" s="893">
        <v>1</v>
      </c>
    </row>
    <row r="142" spans="1:30" ht="15" customHeight="1" x14ac:dyDescent="0.25">
      <c r="A142" s="893" t="s">
        <v>965</v>
      </c>
      <c r="B142" s="893" t="s">
        <v>773</v>
      </c>
      <c r="C142" s="894">
        <v>41883</v>
      </c>
      <c r="D142" s="893" t="s">
        <v>702</v>
      </c>
      <c r="AC142" s="893" t="s">
        <v>2</v>
      </c>
      <c r="AD142" s="893">
        <v>1</v>
      </c>
    </row>
    <row r="143" spans="1:30" ht="15" customHeight="1" x14ac:dyDescent="0.25">
      <c r="A143" s="893" t="s">
        <v>965</v>
      </c>
      <c r="B143" s="893" t="s">
        <v>773</v>
      </c>
      <c r="C143" s="894">
        <v>41883</v>
      </c>
      <c r="D143" s="893" t="s">
        <v>702</v>
      </c>
      <c r="AC143" s="893" t="s">
        <v>2</v>
      </c>
      <c r="AD143" s="893">
        <v>1</v>
      </c>
    </row>
    <row r="144" spans="1:30" ht="15" customHeight="1" x14ac:dyDescent="0.25">
      <c r="A144" s="893" t="s">
        <v>965</v>
      </c>
      <c r="B144" s="893" t="s">
        <v>773</v>
      </c>
      <c r="C144" s="894">
        <v>41883</v>
      </c>
      <c r="D144" s="893" t="s">
        <v>702</v>
      </c>
      <c r="AC144" s="893" t="s">
        <v>2</v>
      </c>
      <c r="AD144" s="893">
        <v>1</v>
      </c>
    </row>
    <row r="145" spans="1:30" ht="15" customHeight="1" x14ac:dyDescent="0.25">
      <c r="A145" s="893" t="s">
        <v>965</v>
      </c>
      <c r="B145" s="893" t="s">
        <v>773</v>
      </c>
      <c r="C145" s="894">
        <v>41883</v>
      </c>
      <c r="D145" s="893" t="s">
        <v>702</v>
      </c>
      <c r="AC145" s="893" t="s">
        <v>2</v>
      </c>
      <c r="AD145" s="893">
        <v>1</v>
      </c>
    </row>
    <row r="146" spans="1:30" ht="15" customHeight="1" x14ac:dyDescent="0.25">
      <c r="A146" s="893" t="s">
        <v>965</v>
      </c>
      <c r="B146" s="893" t="s">
        <v>773</v>
      </c>
      <c r="C146" s="894">
        <v>41883</v>
      </c>
      <c r="D146" s="893" t="s">
        <v>702</v>
      </c>
      <c r="AC146" s="893" t="s">
        <v>2</v>
      </c>
      <c r="AD146" s="893">
        <v>1</v>
      </c>
    </row>
    <row r="147" spans="1:30" ht="15" customHeight="1" x14ac:dyDescent="0.25">
      <c r="A147" s="893" t="s">
        <v>965</v>
      </c>
      <c r="B147" s="893" t="s">
        <v>773</v>
      </c>
      <c r="C147" s="894">
        <v>41883</v>
      </c>
      <c r="D147" s="893" t="s">
        <v>702</v>
      </c>
      <c r="AC147" s="893" t="s">
        <v>2</v>
      </c>
      <c r="AD147" s="893">
        <v>1</v>
      </c>
    </row>
    <row r="148" spans="1:30" ht="15" customHeight="1" x14ac:dyDescent="0.25">
      <c r="A148" s="893" t="s">
        <v>965</v>
      </c>
      <c r="B148" s="893" t="s">
        <v>773</v>
      </c>
      <c r="C148" s="894">
        <v>41883</v>
      </c>
      <c r="D148" s="893" t="s">
        <v>702</v>
      </c>
      <c r="AC148" s="893" t="s">
        <v>2</v>
      </c>
      <c r="AD148" s="893">
        <v>1</v>
      </c>
    </row>
    <row r="149" spans="1:30" ht="15" customHeight="1" x14ac:dyDescent="0.25">
      <c r="A149" s="893" t="s">
        <v>965</v>
      </c>
      <c r="B149" s="893" t="s">
        <v>773</v>
      </c>
      <c r="C149" s="894">
        <v>41883</v>
      </c>
      <c r="D149" s="893" t="s">
        <v>702</v>
      </c>
      <c r="AC149" s="893" t="s">
        <v>2</v>
      </c>
      <c r="AD149" s="893">
        <v>1</v>
      </c>
    </row>
    <row r="150" spans="1:30" ht="15" customHeight="1" x14ac:dyDescent="0.25">
      <c r="A150" s="893" t="s">
        <v>965</v>
      </c>
      <c r="B150" s="893" t="s">
        <v>773</v>
      </c>
      <c r="C150" s="894">
        <v>41883</v>
      </c>
      <c r="D150" s="893" t="s">
        <v>702</v>
      </c>
      <c r="AC150" s="893" t="s">
        <v>2</v>
      </c>
      <c r="AD150" s="893">
        <v>1</v>
      </c>
    </row>
    <row r="151" spans="1:30" ht="15" customHeight="1" x14ac:dyDescent="0.25">
      <c r="A151" s="893" t="s">
        <v>965</v>
      </c>
      <c r="B151" s="893" t="s">
        <v>773</v>
      </c>
      <c r="C151" s="894">
        <v>41883</v>
      </c>
      <c r="D151" s="893" t="s">
        <v>702</v>
      </c>
      <c r="AC151" s="893" t="s">
        <v>2</v>
      </c>
      <c r="AD151" s="893">
        <v>1</v>
      </c>
    </row>
    <row r="152" spans="1:30" ht="15" customHeight="1" x14ac:dyDescent="0.25">
      <c r="A152" s="893" t="s">
        <v>965</v>
      </c>
      <c r="B152" s="893" t="s">
        <v>773</v>
      </c>
      <c r="C152" s="894">
        <v>41883</v>
      </c>
      <c r="D152" s="893" t="s">
        <v>702</v>
      </c>
      <c r="AC152" s="893" t="s">
        <v>2</v>
      </c>
      <c r="AD152" s="893">
        <v>1</v>
      </c>
    </row>
    <row r="153" spans="1:30" ht="15" customHeight="1" x14ac:dyDescent="0.25">
      <c r="A153" s="893" t="s">
        <v>965</v>
      </c>
      <c r="B153" s="893" t="s">
        <v>773</v>
      </c>
      <c r="C153" s="894">
        <v>41883</v>
      </c>
      <c r="D153" s="893" t="s">
        <v>702</v>
      </c>
      <c r="AC153" s="893" t="s">
        <v>2</v>
      </c>
      <c r="AD153" s="893">
        <v>1</v>
      </c>
    </row>
    <row r="154" spans="1:30" ht="15" customHeight="1" x14ac:dyDescent="0.25">
      <c r="A154" s="893" t="s">
        <v>965</v>
      </c>
      <c r="B154" s="893" t="s">
        <v>773</v>
      </c>
      <c r="C154" s="894">
        <v>41883</v>
      </c>
      <c r="D154" s="893" t="s">
        <v>702</v>
      </c>
      <c r="AC154" s="893" t="s">
        <v>2</v>
      </c>
      <c r="AD154" s="893">
        <v>1</v>
      </c>
    </row>
    <row r="155" spans="1:30" ht="15" customHeight="1" x14ac:dyDescent="0.25">
      <c r="A155" s="893" t="s">
        <v>965</v>
      </c>
      <c r="B155" s="893" t="s">
        <v>773</v>
      </c>
      <c r="C155" s="894">
        <v>41883</v>
      </c>
      <c r="D155" s="893" t="s">
        <v>702</v>
      </c>
      <c r="AC155" s="893" t="s">
        <v>2</v>
      </c>
      <c r="AD155" s="893">
        <v>1</v>
      </c>
    </row>
    <row r="156" spans="1:30" ht="15" customHeight="1" x14ac:dyDescent="0.25">
      <c r="A156" s="893" t="s">
        <v>965</v>
      </c>
      <c r="B156" s="893" t="s">
        <v>773</v>
      </c>
      <c r="C156" s="894">
        <v>41883</v>
      </c>
      <c r="D156" s="893" t="s">
        <v>702</v>
      </c>
      <c r="AC156" s="893" t="s">
        <v>2</v>
      </c>
      <c r="AD156" s="893">
        <v>1</v>
      </c>
    </row>
    <row r="157" spans="1:30" ht="15" customHeight="1" x14ac:dyDescent="0.25">
      <c r="A157" s="893" t="s">
        <v>965</v>
      </c>
      <c r="B157" s="893" t="s">
        <v>773</v>
      </c>
      <c r="C157" s="894">
        <v>41883</v>
      </c>
      <c r="D157" s="893" t="s">
        <v>702</v>
      </c>
      <c r="AC157" s="893" t="s">
        <v>2</v>
      </c>
      <c r="AD157" s="893">
        <v>1</v>
      </c>
    </row>
    <row r="158" spans="1:30" ht="15" customHeight="1" x14ac:dyDescent="0.25">
      <c r="A158" s="893" t="s">
        <v>965</v>
      </c>
      <c r="B158" s="893" t="s">
        <v>773</v>
      </c>
      <c r="C158" s="894">
        <v>41883</v>
      </c>
      <c r="D158" s="893" t="s">
        <v>702</v>
      </c>
      <c r="AC158" s="893" t="s">
        <v>2</v>
      </c>
      <c r="AD158" s="893">
        <v>1</v>
      </c>
    </row>
    <row r="159" spans="1:30" ht="15" customHeight="1" x14ac:dyDescent="0.25">
      <c r="A159" s="893" t="s">
        <v>965</v>
      </c>
      <c r="B159" s="893" t="s">
        <v>773</v>
      </c>
      <c r="C159" s="894">
        <v>41883</v>
      </c>
      <c r="D159" s="893" t="s">
        <v>702</v>
      </c>
      <c r="AC159" s="893" t="s">
        <v>2</v>
      </c>
      <c r="AD159" s="893">
        <v>1</v>
      </c>
    </row>
    <row r="160" spans="1:30" ht="15" customHeight="1" x14ac:dyDescent="0.25">
      <c r="A160" s="893" t="s">
        <v>965</v>
      </c>
      <c r="B160" s="893" t="s">
        <v>773</v>
      </c>
      <c r="C160" s="894">
        <v>41883</v>
      </c>
      <c r="D160" s="893" t="s">
        <v>702</v>
      </c>
      <c r="AC160" s="893" t="s">
        <v>2</v>
      </c>
      <c r="AD160" s="893">
        <v>1</v>
      </c>
    </row>
    <row r="161" spans="1:30" ht="15" customHeight="1" x14ac:dyDescent="0.25">
      <c r="A161" s="893" t="s">
        <v>965</v>
      </c>
      <c r="B161" s="893" t="s">
        <v>773</v>
      </c>
      <c r="C161" s="894">
        <v>41883</v>
      </c>
      <c r="D161" s="893" t="s">
        <v>702</v>
      </c>
      <c r="AC161" s="893" t="s">
        <v>2</v>
      </c>
      <c r="AD161" s="893">
        <v>1</v>
      </c>
    </row>
    <row r="162" spans="1:30" ht="15" customHeight="1" x14ac:dyDescent="0.25">
      <c r="A162" s="893" t="s">
        <v>965</v>
      </c>
      <c r="B162" s="893" t="s">
        <v>773</v>
      </c>
      <c r="C162" s="894">
        <v>41883</v>
      </c>
      <c r="D162" s="893" t="s">
        <v>702</v>
      </c>
      <c r="AC162" s="893" t="s">
        <v>2</v>
      </c>
      <c r="AD162" s="893">
        <v>1</v>
      </c>
    </row>
    <row r="163" spans="1:30" ht="15" customHeight="1" x14ac:dyDescent="0.25">
      <c r="A163" s="893" t="s">
        <v>965</v>
      </c>
      <c r="B163" s="893" t="s">
        <v>773</v>
      </c>
      <c r="C163" s="894">
        <v>41883</v>
      </c>
      <c r="D163" s="893" t="s">
        <v>702</v>
      </c>
      <c r="AC163" s="893" t="s">
        <v>2</v>
      </c>
      <c r="AD163" s="893">
        <v>1</v>
      </c>
    </row>
    <row r="164" spans="1:30" ht="15" customHeight="1" x14ac:dyDescent="0.25">
      <c r="A164" s="893" t="s">
        <v>965</v>
      </c>
      <c r="B164" s="893" t="s">
        <v>773</v>
      </c>
      <c r="C164" s="894">
        <v>41883</v>
      </c>
      <c r="D164" s="893" t="s">
        <v>702</v>
      </c>
      <c r="AC164" s="893" t="s">
        <v>2</v>
      </c>
      <c r="AD164" s="893">
        <v>1</v>
      </c>
    </row>
    <row r="165" spans="1:30" ht="15" customHeight="1" x14ac:dyDescent="0.25">
      <c r="A165" s="893" t="s">
        <v>965</v>
      </c>
      <c r="B165" s="893" t="s">
        <v>773</v>
      </c>
      <c r="C165" s="894">
        <v>41883</v>
      </c>
      <c r="D165" s="893" t="s">
        <v>703</v>
      </c>
      <c r="G165" s="893">
        <v>1.0599276190476192</v>
      </c>
      <c r="H165" s="893">
        <v>1.5201428571428572</v>
      </c>
      <c r="I165" s="893">
        <v>1.111915</v>
      </c>
      <c r="J165" s="893">
        <v>0.60930030333670371</v>
      </c>
      <c r="K165" s="893">
        <v>2.6244000000000001</v>
      </c>
      <c r="L165" s="893">
        <v>1.6231884057971016</v>
      </c>
      <c r="M165" s="893">
        <v>1.0777656249999998</v>
      </c>
      <c r="N165" s="893">
        <v>3.3890049751243785</v>
      </c>
      <c r="O165" s="893">
        <v>13.213188405797101</v>
      </c>
      <c r="P165" s="893">
        <v>1.6991209677419357</v>
      </c>
      <c r="Q165" s="893">
        <v>1.5404586732186734</v>
      </c>
      <c r="R165" s="893">
        <v>2.4585818181818189</v>
      </c>
      <c r="S165" s="893">
        <v>1.0509818181818178</v>
      </c>
      <c r="T165" s="893">
        <v>2.3366326086956524</v>
      </c>
      <c r="U165" s="893">
        <v>1.278582608695652</v>
      </c>
      <c r="V165" s="893">
        <v>2.3920916666666665</v>
      </c>
      <c r="W165" s="893">
        <v>1.8065619834710744</v>
      </c>
      <c r="X165" s="893">
        <v>0.54545454545454541</v>
      </c>
      <c r="Y165" s="893">
        <v>1.9114663461538459</v>
      </c>
      <c r="Z165" s="893">
        <v>0.95901639344262291</v>
      </c>
      <c r="AA165" s="893">
        <v>1.47495</v>
      </c>
      <c r="AB165" s="893">
        <v>7.0618464730290444</v>
      </c>
      <c r="AC165" s="893" t="s">
        <v>2</v>
      </c>
      <c r="AD165" s="893">
        <v>1</v>
      </c>
    </row>
  </sheetData>
  <dataConsolidate/>
  <dataValidations count="1">
    <dataValidation allowBlank="1" showInputMessage="1" showErrorMessage="1" promptTitle="RAE=Retinol Activity Equivalent" sqref="Q1"/>
  </dataValidations>
  <hyperlinks>
    <hyperlink ref="Q1" location="'Calculation Sheet'!Q7" tooltip="RAE = Retinol Activity Equivalent" display="µg RAE"/>
    <hyperlink ref="W1" location="'Calculation Sheet'!W7" tooltip="DFE = Dietary Folate Equivalent" display="µg DFE"/>
  </hyperlinks>
  <pageMargins left="0.7" right="0.7" top="0.75" bottom="0.75" header="0.3" footer="0.3"/>
  <pageSetup paperSize="9" scale="24"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M50"/>
  <sheetViews>
    <sheetView showGridLines="0" showRowColHeaders="0" zoomScaleNormal="100" workbookViewId="0">
      <selection activeCell="C19" sqref="C19"/>
    </sheetView>
  </sheetViews>
  <sheetFormatPr defaultRowHeight="15" x14ac:dyDescent="0.25"/>
  <cols>
    <col min="1" max="1" width="2.6640625" style="830" customWidth="1"/>
    <col min="2" max="2" width="41.6640625" style="830" customWidth="1"/>
    <col min="3" max="3" width="11.33203125" style="830" customWidth="1"/>
    <col min="4" max="5" width="8" style="830" bestFit="1" customWidth="1"/>
    <col min="6" max="6" width="11.88671875" style="830" customWidth="1"/>
    <col min="7" max="7" width="9.88671875" style="830" bestFit="1" customWidth="1"/>
    <col min="8" max="8" width="12.21875" style="830" customWidth="1"/>
    <col min="9" max="9" width="8.33203125" style="830" customWidth="1"/>
    <col min="10" max="10" width="8" style="830" customWidth="1"/>
    <col min="11" max="11" width="6" style="830" customWidth="1"/>
    <col min="12" max="12" width="8.88671875" style="830"/>
    <col min="13" max="13" width="8.5546875" style="830" customWidth="1"/>
    <col min="14" max="16384" width="8.88671875" style="830"/>
  </cols>
  <sheetData>
    <row r="1" spans="2:13" ht="10.5" customHeight="1" x14ac:dyDescent="0.25"/>
    <row r="5" spans="2:13" ht="8.25" customHeight="1" x14ac:dyDescent="0.25"/>
    <row r="6" spans="2:13" ht="3.95" customHeight="1" x14ac:dyDescent="0.25">
      <c r="B6" s="839"/>
      <c r="C6" s="840"/>
      <c r="D6" s="840"/>
      <c r="E6" s="840"/>
      <c r="F6" s="840"/>
      <c r="G6" s="840"/>
      <c r="H6" s="840"/>
      <c r="I6" s="840"/>
      <c r="J6" s="840"/>
      <c r="K6" s="840"/>
      <c r="L6" s="840"/>
      <c r="M6" s="841"/>
    </row>
    <row r="7" spans="2:13" ht="15.75" thickBot="1" x14ac:dyDescent="0.3">
      <c r="B7" s="842" t="s">
        <v>731</v>
      </c>
      <c r="C7" s="998">
        <v>10000</v>
      </c>
      <c r="D7" s="852"/>
      <c r="E7" s="834"/>
      <c r="F7" s="833" t="s">
        <v>732</v>
      </c>
      <c r="G7" s="1054">
        <v>12</v>
      </c>
      <c r="H7" s="834"/>
      <c r="I7" s="833" t="s">
        <v>876</v>
      </c>
      <c r="J7" s="1134">
        <f>SUM(M11:M50)</f>
        <v>36012.6</v>
      </c>
      <c r="K7" s="1134"/>
      <c r="L7" s="843"/>
      <c r="M7" s="844"/>
    </row>
    <row r="8" spans="2:13" s="848" customFormat="1" ht="3.95" customHeight="1" thickTop="1" x14ac:dyDescent="0.25">
      <c r="B8" s="849"/>
      <c r="C8" s="847"/>
      <c r="D8" s="847"/>
      <c r="E8" s="847"/>
      <c r="F8" s="845"/>
      <c r="G8" s="845">
        <v>1</v>
      </c>
      <c r="H8" s="850"/>
      <c r="I8" s="847"/>
      <c r="J8" s="845"/>
      <c r="K8" s="845"/>
      <c r="L8" s="845"/>
      <c r="M8" s="846"/>
    </row>
    <row r="9" spans="2:13" s="848" customFormat="1" ht="6" customHeight="1" x14ac:dyDescent="0.25">
      <c r="B9" s="851"/>
      <c r="C9" s="851"/>
      <c r="D9" s="851"/>
      <c r="E9" s="851"/>
      <c r="F9" s="851"/>
      <c r="G9" s="851"/>
      <c r="H9" s="851"/>
      <c r="I9" s="851"/>
      <c r="J9" s="851"/>
      <c r="K9" s="851"/>
    </row>
    <row r="10" spans="2:13" s="832" customFormat="1" ht="49.5" customHeight="1" x14ac:dyDescent="0.25">
      <c r="B10" s="831" t="s">
        <v>733</v>
      </c>
      <c r="C10" s="831" t="s">
        <v>753</v>
      </c>
      <c r="D10" s="831" t="s">
        <v>734</v>
      </c>
      <c r="E10" s="831" t="s">
        <v>735</v>
      </c>
      <c r="F10" s="948" t="s">
        <v>741</v>
      </c>
      <c r="G10" s="948" t="s">
        <v>742</v>
      </c>
      <c r="H10" s="948" t="s">
        <v>738</v>
      </c>
      <c r="I10" s="948" t="s">
        <v>736</v>
      </c>
      <c r="J10" s="948" t="s">
        <v>877</v>
      </c>
      <c r="K10" s="948" t="s">
        <v>737</v>
      </c>
      <c r="L10" s="948" t="s">
        <v>739</v>
      </c>
      <c r="M10" s="948" t="s">
        <v>740</v>
      </c>
    </row>
    <row r="11" spans="2:13" x14ac:dyDescent="0.25">
      <c r="B11" s="919" t="s">
        <v>865</v>
      </c>
      <c r="C11" s="853">
        <v>450</v>
      </c>
      <c r="D11" s="994">
        <v>0.05</v>
      </c>
      <c r="E11" s="995">
        <v>0.1</v>
      </c>
      <c r="F11" s="1052">
        <f t="shared" ref="F11:F50" si="0">IF(B11="","",((C11*30)+(C11*30*D11)+(C11*30*E11))/1000)</f>
        <v>15.525</v>
      </c>
      <c r="G11" s="1053">
        <f t="shared" ref="G11:G50" si="1">IF(F11="","",F11*PopSize)</f>
        <v>155250</v>
      </c>
      <c r="H11" s="1052">
        <f t="shared" ref="H11:H50" si="2">IF(B11="","",G11/1000*Duration)</f>
        <v>1863</v>
      </c>
      <c r="I11" s="1044">
        <v>10</v>
      </c>
      <c r="J11" s="1045">
        <v>2</v>
      </c>
      <c r="K11" s="1046">
        <v>1</v>
      </c>
      <c r="L11" s="1050">
        <f>IF(B11="","",SUM(I11:K11))</f>
        <v>13</v>
      </c>
      <c r="M11" s="1051">
        <f>IF(B11="","",L11*H11)</f>
        <v>24219</v>
      </c>
    </row>
    <row r="12" spans="2:13" x14ac:dyDescent="0.25">
      <c r="B12" s="920" t="s">
        <v>9</v>
      </c>
      <c r="C12" s="853">
        <v>60</v>
      </c>
      <c r="D12" s="996">
        <v>0.05</v>
      </c>
      <c r="E12" s="997">
        <v>0</v>
      </c>
      <c r="F12" s="1052">
        <f t="shared" si="0"/>
        <v>1.89</v>
      </c>
      <c r="G12" s="1053">
        <f t="shared" si="1"/>
        <v>18900</v>
      </c>
      <c r="H12" s="1052">
        <f t="shared" si="2"/>
        <v>226.79999999999998</v>
      </c>
      <c r="I12" s="1047">
        <v>8</v>
      </c>
      <c r="J12" s="1048">
        <v>1</v>
      </c>
      <c r="K12" s="1049">
        <v>1</v>
      </c>
      <c r="L12" s="1050">
        <f t="shared" ref="L12:L50" si="3">IF(B12="","",SUM(I12:K12))</f>
        <v>10</v>
      </c>
      <c r="M12" s="1051">
        <f t="shared" ref="M12:M50" si="4">IF(B12="","",L12*H12)</f>
        <v>2268</v>
      </c>
    </row>
    <row r="13" spans="2:13" x14ac:dyDescent="0.25">
      <c r="B13" s="920" t="s">
        <v>663</v>
      </c>
      <c r="C13" s="853">
        <v>30</v>
      </c>
      <c r="D13" s="996">
        <v>0.05</v>
      </c>
      <c r="E13" s="997">
        <v>0</v>
      </c>
      <c r="F13" s="1052">
        <f t="shared" si="0"/>
        <v>0.94499999999999995</v>
      </c>
      <c r="G13" s="1053">
        <f t="shared" si="1"/>
        <v>9450</v>
      </c>
      <c r="H13" s="1052">
        <f t="shared" si="2"/>
        <v>113.39999999999999</v>
      </c>
      <c r="I13" s="1047">
        <v>8</v>
      </c>
      <c r="J13" s="1048">
        <v>1</v>
      </c>
      <c r="K13" s="1049">
        <v>1</v>
      </c>
      <c r="L13" s="1050">
        <f t="shared" si="3"/>
        <v>10</v>
      </c>
      <c r="M13" s="1051">
        <f t="shared" si="4"/>
        <v>1134</v>
      </c>
    </row>
    <row r="14" spans="2:13" x14ac:dyDescent="0.25">
      <c r="B14" s="920" t="s">
        <v>662</v>
      </c>
      <c r="C14" s="853">
        <v>60</v>
      </c>
      <c r="D14" s="996">
        <v>0.05</v>
      </c>
      <c r="E14" s="997">
        <v>0</v>
      </c>
      <c r="F14" s="1052">
        <f t="shared" si="0"/>
        <v>1.89</v>
      </c>
      <c r="G14" s="1053">
        <f t="shared" si="1"/>
        <v>18900</v>
      </c>
      <c r="H14" s="1052">
        <f t="shared" si="2"/>
        <v>226.79999999999998</v>
      </c>
      <c r="I14" s="1047">
        <v>25</v>
      </c>
      <c r="J14" s="1048">
        <v>1</v>
      </c>
      <c r="K14" s="1049">
        <v>1</v>
      </c>
      <c r="L14" s="1050">
        <f t="shared" si="3"/>
        <v>27</v>
      </c>
      <c r="M14" s="1051">
        <f t="shared" si="4"/>
        <v>6123.5999999999995</v>
      </c>
    </row>
    <row r="15" spans="2:13" x14ac:dyDescent="0.25">
      <c r="B15" s="920" t="s">
        <v>664</v>
      </c>
      <c r="C15" s="853">
        <v>5</v>
      </c>
      <c r="D15" s="996">
        <v>0.05</v>
      </c>
      <c r="E15" s="997">
        <v>0</v>
      </c>
      <c r="F15" s="1052">
        <f t="shared" si="0"/>
        <v>0.1575</v>
      </c>
      <c r="G15" s="1053">
        <f t="shared" si="1"/>
        <v>1575</v>
      </c>
      <c r="H15" s="1052">
        <f t="shared" si="2"/>
        <v>18.899999999999999</v>
      </c>
      <c r="I15" s="1047">
        <v>8</v>
      </c>
      <c r="J15" s="1048">
        <v>1</v>
      </c>
      <c r="K15" s="1049">
        <v>1</v>
      </c>
      <c r="L15" s="1050">
        <f t="shared" si="3"/>
        <v>10</v>
      </c>
      <c r="M15" s="1051">
        <f t="shared" si="4"/>
        <v>189</v>
      </c>
    </row>
    <row r="16" spans="2:13" x14ac:dyDescent="0.25">
      <c r="B16" s="920" t="s">
        <v>941</v>
      </c>
      <c r="C16" s="853">
        <v>5</v>
      </c>
      <c r="D16" s="996">
        <v>0.05</v>
      </c>
      <c r="E16" s="997">
        <v>0</v>
      </c>
      <c r="F16" s="1052">
        <f t="shared" si="0"/>
        <v>0.1575</v>
      </c>
      <c r="G16" s="1053">
        <f t="shared" si="1"/>
        <v>1575</v>
      </c>
      <c r="H16" s="1052">
        <f t="shared" si="2"/>
        <v>18.899999999999999</v>
      </c>
      <c r="I16" s="1047">
        <v>8</v>
      </c>
      <c r="J16" s="1048">
        <v>1</v>
      </c>
      <c r="K16" s="1049">
        <v>1</v>
      </c>
      <c r="L16" s="1050">
        <f t="shared" si="3"/>
        <v>10</v>
      </c>
      <c r="M16" s="1051">
        <f t="shared" si="4"/>
        <v>189</v>
      </c>
    </row>
    <row r="17" spans="2:13" x14ac:dyDescent="0.25">
      <c r="B17" s="920" t="s">
        <v>29</v>
      </c>
      <c r="C17" s="853">
        <v>50</v>
      </c>
      <c r="D17" s="996">
        <v>0.05</v>
      </c>
      <c r="E17" s="997">
        <v>0</v>
      </c>
      <c r="F17" s="1052">
        <f t="shared" si="0"/>
        <v>1.575</v>
      </c>
      <c r="G17" s="1053">
        <f t="shared" si="1"/>
        <v>15750</v>
      </c>
      <c r="H17" s="1052">
        <f t="shared" si="2"/>
        <v>189</v>
      </c>
      <c r="I17" s="1047">
        <v>8</v>
      </c>
      <c r="J17" s="1048">
        <v>1</v>
      </c>
      <c r="K17" s="1049">
        <v>1</v>
      </c>
      <c r="L17" s="1050">
        <f t="shared" si="3"/>
        <v>10</v>
      </c>
      <c r="M17" s="1051">
        <f t="shared" si="4"/>
        <v>1890</v>
      </c>
    </row>
    <row r="18" spans="2:13" x14ac:dyDescent="0.25">
      <c r="B18" s="835"/>
      <c r="C18" s="853"/>
      <c r="D18" s="996">
        <v>0.05</v>
      </c>
      <c r="E18" s="997">
        <v>0</v>
      </c>
      <c r="F18" s="1052" t="str">
        <f t="shared" si="0"/>
        <v/>
      </c>
      <c r="G18" s="1053" t="str">
        <f t="shared" si="1"/>
        <v/>
      </c>
      <c r="H18" s="1052" t="str">
        <f t="shared" si="2"/>
        <v/>
      </c>
      <c r="I18" s="1047">
        <v>8</v>
      </c>
      <c r="J18" s="1048">
        <v>1</v>
      </c>
      <c r="K18" s="1049">
        <v>1</v>
      </c>
      <c r="L18" s="1050" t="str">
        <f t="shared" si="3"/>
        <v/>
      </c>
      <c r="M18" s="1051" t="str">
        <f t="shared" si="4"/>
        <v/>
      </c>
    </row>
    <row r="19" spans="2:13" x14ac:dyDescent="0.25">
      <c r="B19" s="835"/>
      <c r="C19" s="853"/>
      <c r="D19" s="996">
        <v>0.05</v>
      </c>
      <c r="E19" s="997">
        <v>0</v>
      </c>
      <c r="F19" s="1052" t="str">
        <f t="shared" si="0"/>
        <v/>
      </c>
      <c r="G19" s="1053" t="str">
        <f t="shared" si="1"/>
        <v/>
      </c>
      <c r="H19" s="1052" t="str">
        <f t="shared" si="2"/>
        <v/>
      </c>
      <c r="I19" s="1047">
        <v>8</v>
      </c>
      <c r="J19" s="1048">
        <v>1</v>
      </c>
      <c r="K19" s="1049">
        <v>1</v>
      </c>
      <c r="L19" s="1050" t="str">
        <f t="shared" si="3"/>
        <v/>
      </c>
      <c r="M19" s="1051" t="str">
        <f t="shared" si="4"/>
        <v/>
      </c>
    </row>
    <row r="20" spans="2:13" x14ac:dyDescent="0.25">
      <c r="B20" s="835"/>
      <c r="C20" s="853"/>
      <c r="D20" s="996">
        <v>0.05</v>
      </c>
      <c r="E20" s="997">
        <v>0</v>
      </c>
      <c r="F20" s="1052" t="str">
        <f t="shared" si="0"/>
        <v/>
      </c>
      <c r="G20" s="1053" t="str">
        <f t="shared" si="1"/>
        <v/>
      </c>
      <c r="H20" s="1052" t="str">
        <f t="shared" si="2"/>
        <v/>
      </c>
      <c r="I20" s="1047">
        <v>8</v>
      </c>
      <c r="J20" s="1048">
        <v>1</v>
      </c>
      <c r="K20" s="1049">
        <v>1</v>
      </c>
      <c r="L20" s="1050" t="str">
        <f t="shared" si="3"/>
        <v/>
      </c>
      <c r="M20" s="1051" t="str">
        <f t="shared" si="4"/>
        <v/>
      </c>
    </row>
    <row r="21" spans="2:13" x14ac:dyDescent="0.25">
      <c r="B21" s="835"/>
      <c r="C21" s="853"/>
      <c r="D21" s="996">
        <v>0.05</v>
      </c>
      <c r="E21" s="997">
        <v>0</v>
      </c>
      <c r="F21" s="1052" t="str">
        <f t="shared" si="0"/>
        <v/>
      </c>
      <c r="G21" s="1053" t="str">
        <f t="shared" si="1"/>
        <v/>
      </c>
      <c r="H21" s="1052" t="str">
        <f t="shared" si="2"/>
        <v/>
      </c>
      <c r="I21" s="1047">
        <v>8</v>
      </c>
      <c r="J21" s="1048">
        <v>1</v>
      </c>
      <c r="K21" s="1049">
        <v>1</v>
      </c>
      <c r="L21" s="1050" t="str">
        <f t="shared" si="3"/>
        <v/>
      </c>
      <c r="M21" s="1051" t="str">
        <f t="shared" si="4"/>
        <v/>
      </c>
    </row>
    <row r="22" spans="2:13" x14ac:dyDescent="0.25">
      <c r="B22" s="835"/>
      <c r="C22" s="853"/>
      <c r="D22" s="996">
        <v>0.05</v>
      </c>
      <c r="E22" s="997">
        <v>0</v>
      </c>
      <c r="F22" s="1052" t="str">
        <f t="shared" si="0"/>
        <v/>
      </c>
      <c r="G22" s="1053" t="str">
        <f t="shared" si="1"/>
        <v/>
      </c>
      <c r="H22" s="1052" t="str">
        <f t="shared" si="2"/>
        <v/>
      </c>
      <c r="I22" s="1047">
        <v>8</v>
      </c>
      <c r="J22" s="1048">
        <v>1</v>
      </c>
      <c r="K22" s="1049">
        <v>1</v>
      </c>
      <c r="L22" s="1050" t="str">
        <f t="shared" si="3"/>
        <v/>
      </c>
      <c r="M22" s="1051" t="str">
        <f t="shared" si="4"/>
        <v/>
      </c>
    </row>
    <row r="23" spans="2:13" x14ac:dyDescent="0.25">
      <c r="B23" s="835"/>
      <c r="C23" s="853"/>
      <c r="D23" s="996">
        <v>0.05</v>
      </c>
      <c r="E23" s="997">
        <v>0</v>
      </c>
      <c r="F23" s="1052" t="str">
        <f t="shared" si="0"/>
        <v/>
      </c>
      <c r="G23" s="1053" t="str">
        <f t="shared" si="1"/>
        <v/>
      </c>
      <c r="H23" s="1052" t="str">
        <f t="shared" si="2"/>
        <v/>
      </c>
      <c r="I23" s="1047">
        <v>8</v>
      </c>
      <c r="J23" s="1048">
        <v>1</v>
      </c>
      <c r="K23" s="1049">
        <v>1</v>
      </c>
      <c r="L23" s="1050" t="str">
        <f t="shared" si="3"/>
        <v/>
      </c>
      <c r="M23" s="1051" t="str">
        <f t="shared" si="4"/>
        <v/>
      </c>
    </row>
    <row r="24" spans="2:13" x14ac:dyDescent="0.25">
      <c r="B24" s="835"/>
      <c r="C24" s="853"/>
      <c r="D24" s="996">
        <v>0.05</v>
      </c>
      <c r="E24" s="997">
        <v>0</v>
      </c>
      <c r="F24" s="1052" t="str">
        <f t="shared" si="0"/>
        <v/>
      </c>
      <c r="G24" s="1053" t="str">
        <f t="shared" si="1"/>
        <v/>
      </c>
      <c r="H24" s="1052" t="str">
        <f t="shared" si="2"/>
        <v/>
      </c>
      <c r="I24" s="1047">
        <v>8</v>
      </c>
      <c r="J24" s="1048">
        <v>1</v>
      </c>
      <c r="K24" s="1049">
        <v>1</v>
      </c>
      <c r="L24" s="1050" t="str">
        <f t="shared" si="3"/>
        <v/>
      </c>
      <c r="M24" s="1051" t="str">
        <f t="shared" si="4"/>
        <v/>
      </c>
    </row>
    <row r="25" spans="2:13" x14ac:dyDescent="0.25">
      <c r="B25" s="835"/>
      <c r="C25" s="853"/>
      <c r="D25" s="996">
        <v>0.05</v>
      </c>
      <c r="E25" s="997">
        <v>0</v>
      </c>
      <c r="F25" s="1052" t="str">
        <f t="shared" si="0"/>
        <v/>
      </c>
      <c r="G25" s="1053" t="str">
        <f t="shared" si="1"/>
        <v/>
      </c>
      <c r="H25" s="1052" t="str">
        <f t="shared" si="2"/>
        <v/>
      </c>
      <c r="I25" s="1047">
        <v>8</v>
      </c>
      <c r="J25" s="1048">
        <v>1</v>
      </c>
      <c r="K25" s="1049">
        <v>1</v>
      </c>
      <c r="L25" s="1050" t="str">
        <f t="shared" si="3"/>
        <v/>
      </c>
      <c r="M25" s="1051" t="str">
        <f t="shared" si="4"/>
        <v/>
      </c>
    </row>
    <row r="26" spans="2:13" x14ac:dyDescent="0.25">
      <c r="B26" s="835"/>
      <c r="C26" s="853"/>
      <c r="D26" s="996">
        <v>0.05</v>
      </c>
      <c r="E26" s="997">
        <v>0</v>
      </c>
      <c r="F26" s="1052" t="str">
        <f t="shared" si="0"/>
        <v/>
      </c>
      <c r="G26" s="1053" t="str">
        <f t="shared" si="1"/>
        <v/>
      </c>
      <c r="H26" s="1052" t="str">
        <f t="shared" si="2"/>
        <v/>
      </c>
      <c r="I26" s="1047">
        <v>8</v>
      </c>
      <c r="J26" s="1048">
        <v>1</v>
      </c>
      <c r="K26" s="1049">
        <v>1</v>
      </c>
      <c r="L26" s="1050" t="str">
        <f t="shared" si="3"/>
        <v/>
      </c>
      <c r="M26" s="1051" t="str">
        <f t="shared" si="4"/>
        <v/>
      </c>
    </row>
    <row r="27" spans="2:13" x14ac:dyDescent="0.25">
      <c r="B27" s="835"/>
      <c r="C27" s="853"/>
      <c r="D27" s="996">
        <v>0.05</v>
      </c>
      <c r="E27" s="997">
        <v>0</v>
      </c>
      <c r="F27" s="1052" t="str">
        <f t="shared" si="0"/>
        <v/>
      </c>
      <c r="G27" s="1053" t="str">
        <f t="shared" si="1"/>
        <v/>
      </c>
      <c r="H27" s="1052" t="str">
        <f t="shared" si="2"/>
        <v/>
      </c>
      <c r="I27" s="1047">
        <v>8</v>
      </c>
      <c r="J27" s="1048">
        <v>1</v>
      </c>
      <c r="K27" s="1049">
        <v>1</v>
      </c>
      <c r="L27" s="1050" t="str">
        <f t="shared" si="3"/>
        <v/>
      </c>
      <c r="M27" s="1051" t="str">
        <f t="shared" si="4"/>
        <v/>
      </c>
    </row>
    <row r="28" spans="2:13" x14ac:dyDescent="0.25">
      <c r="B28" s="835"/>
      <c r="C28" s="853"/>
      <c r="D28" s="996">
        <v>0.05</v>
      </c>
      <c r="E28" s="997">
        <v>0</v>
      </c>
      <c r="F28" s="1052" t="str">
        <f t="shared" si="0"/>
        <v/>
      </c>
      <c r="G28" s="1053" t="str">
        <f t="shared" si="1"/>
        <v/>
      </c>
      <c r="H28" s="1052" t="str">
        <f t="shared" si="2"/>
        <v/>
      </c>
      <c r="I28" s="1047">
        <v>8</v>
      </c>
      <c r="J28" s="1048">
        <v>1</v>
      </c>
      <c r="K28" s="1049">
        <v>1</v>
      </c>
      <c r="L28" s="1050" t="str">
        <f t="shared" si="3"/>
        <v/>
      </c>
      <c r="M28" s="1051" t="str">
        <f t="shared" si="4"/>
        <v/>
      </c>
    </row>
    <row r="29" spans="2:13" x14ac:dyDescent="0.25">
      <c r="B29" s="835"/>
      <c r="C29" s="853"/>
      <c r="D29" s="996">
        <v>0.05</v>
      </c>
      <c r="E29" s="997">
        <v>0</v>
      </c>
      <c r="F29" s="1052" t="str">
        <f t="shared" si="0"/>
        <v/>
      </c>
      <c r="G29" s="1053" t="str">
        <f t="shared" si="1"/>
        <v/>
      </c>
      <c r="H29" s="1052" t="str">
        <f t="shared" si="2"/>
        <v/>
      </c>
      <c r="I29" s="1047">
        <v>8</v>
      </c>
      <c r="J29" s="1048">
        <v>1</v>
      </c>
      <c r="K29" s="1049">
        <v>1</v>
      </c>
      <c r="L29" s="1050" t="str">
        <f t="shared" si="3"/>
        <v/>
      </c>
      <c r="M29" s="1051" t="str">
        <f t="shared" si="4"/>
        <v/>
      </c>
    </row>
    <row r="30" spans="2:13" x14ac:dyDescent="0.25">
      <c r="B30" s="835"/>
      <c r="C30" s="853"/>
      <c r="D30" s="996">
        <v>0.05</v>
      </c>
      <c r="E30" s="997">
        <v>0</v>
      </c>
      <c r="F30" s="1052" t="str">
        <f t="shared" si="0"/>
        <v/>
      </c>
      <c r="G30" s="1053" t="str">
        <f t="shared" si="1"/>
        <v/>
      </c>
      <c r="H30" s="1052" t="str">
        <f t="shared" si="2"/>
        <v/>
      </c>
      <c r="I30" s="1047">
        <v>8</v>
      </c>
      <c r="J30" s="1048">
        <v>1</v>
      </c>
      <c r="K30" s="1049">
        <v>1</v>
      </c>
      <c r="L30" s="1050" t="str">
        <f t="shared" si="3"/>
        <v/>
      </c>
      <c r="M30" s="1051" t="str">
        <f t="shared" si="4"/>
        <v/>
      </c>
    </row>
    <row r="31" spans="2:13" x14ac:dyDescent="0.25">
      <c r="B31" s="835"/>
      <c r="C31" s="853"/>
      <c r="D31" s="996">
        <v>0.05</v>
      </c>
      <c r="E31" s="997">
        <v>0</v>
      </c>
      <c r="F31" s="1052" t="str">
        <f t="shared" si="0"/>
        <v/>
      </c>
      <c r="G31" s="1053" t="str">
        <f t="shared" si="1"/>
        <v/>
      </c>
      <c r="H31" s="1052" t="str">
        <f t="shared" si="2"/>
        <v/>
      </c>
      <c r="I31" s="1047">
        <v>8</v>
      </c>
      <c r="J31" s="1048">
        <v>1</v>
      </c>
      <c r="K31" s="1049">
        <v>1</v>
      </c>
      <c r="L31" s="1050" t="str">
        <f t="shared" si="3"/>
        <v/>
      </c>
      <c r="M31" s="1051" t="str">
        <f t="shared" si="4"/>
        <v/>
      </c>
    </row>
    <row r="32" spans="2:13" x14ac:dyDescent="0.25">
      <c r="B32" s="836"/>
      <c r="C32" s="853"/>
      <c r="D32" s="996">
        <v>0.05</v>
      </c>
      <c r="E32" s="997">
        <v>0</v>
      </c>
      <c r="F32" s="1052" t="str">
        <f t="shared" si="0"/>
        <v/>
      </c>
      <c r="G32" s="1053" t="str">
        <f t="shared" si="1"/>
        <v/>
      </c>
      <c r="H32" s="1052" t="str">
        <f t="shared" si="2"/>
        <v/>
      </c>
      <c r="I32" s="1047">
        <v>8</v>
      </c>
      <c r="J32" s="1048">
        <v>1</v>
      </c>
      <c r="K32" s="1049">
        <v>1</v>
      </c>
      <c r="L32" s="1050" t="str">
        <f t="shared" si="3"/>
        <v/>
      </c>
      <c r="M32" s="1051" t="str">
        <f t="shared" si="4"/>
        <v/>
      </c>
    </row>
    <row r="33" spans="2:13" x14ac:dyDescent="0.25">
      <c r="B33" s="836"/>
      <c r="C33" s="853"/>
      <c r="D33" s="996">
        <v>0.05</v>
      </c>
      <c r="E33" s="999">
        <v>0</v>
      </c>
      <c r="F33" s="1052" t="str">
        <f t="shared" si="0"/>
        <v/>
      </c>
      <c r="G33" s="1053" t="str">
        <f t="shared" si="1"/>
        <v/>
      </c>
      <c r="H33" s="1052" t="str">
        <f t="shared" si="2"/>
        <v/>
      </c>
      <c r="I33" s="1047">
        <v>8</v>
      </c>
      <c r="J33" s="1048">
        <v>1</v>
      </c>
      <c r="K33" s="1049">
        <v>1</v>
      </c>
      <c r="L33" s="1050" t="str">
        <f t="shared" si="3"/>
        <v/>
      </c>
      <c r="M33" s="1051" t="str">
        <f t="shared" si="4"/>
        <v/>
      </c>
    </row>
    <row r="34" spans="2:13" x14ac:dyDescent="0.25">
      <c r="B34" s="836"/>
      <c r="C34" s="853"/>
      <c r="D34" s="996">
        <v>0.05</v>
      </c>
      <c r="E34" s="999">
        <v>0</v>
      </c>
      <c r="F34" s="1052" t="str">
        <f t="shared" si="0"/>
        <v/>
      </c>
      <c r="G34" s="1053" t="str">
        <f t="shared" si="1"/>
        <v/>
      </c>
      <c r="H34" s="1052" t="str">
        <f t="shared" si="2"/>
        <v/>
      </c>
      <c r="I34" s="1047">
        <v>8</v>
      </c>
      <c r="J34" s="1048">
        <v>1</v>
      </c>
      <c r="K34" s="1049">
        <v>1</v>
      </c>
      <c r="L34" s="1050" t="str">
        <f t="shared" si="3"/>
        <v/>
      </c>
      <c r="M34" s="1051" t="str">
        <f t="shared" si="4"/>
        <v/>
      </c>
    </row>
    <row r="35" spans="2:13" x14ac:dyDescent="0.25">
      <c r="B35" s="836"/>
      <c r="C35" s="853"/>
      <c r="D35" s="996">
        <v>0.05</v>
      </c>
      <c r="E35" s="999">
        <v>0</v>
      </c>
      <c r="F35" s="1052" t="str">
        <f t="shared" si="0"/>
        <v/>
      </c>
      <c r="G35" s="1053" t="str">
        <f t="shared" si="1"/>
        <v/>
      </c>
      <c r="H35" s="1052" t="str">
        <f t="shared" si="2"/>
        <v/>
      </c>
      <c r="I35" s="1047">
        <v>8</v>
      </c>
      <c r="J35" s="1048">
        <v>1</v>
      </c>
      <c r="K35" s="1049">
        <v>1</v>
      </c>
      <c r="L35" s="1050" t="str">
        <f t="shared" si="3"/>
        <v/>
      </c>
      <c r="M35" s="1051" t="str">
        <f t="shared" si="4"/>
        <v/>
      </c>
    </row>
    <row r="36" spans="2:13" x14ac:dyDescent="0.25">
      <c r="B36" s="836"/>
      <c r="C36" s="853"/>
      <c r="D36" s="996">
        <v>0.05</v>
      </c>
      <c r="E36" s="999">
        <v>0</v>
      </c>
      <c r="F36" s="1052" t="str">
        <f t="shared" si="0"/>
        <v/>
      </c>
      <c r="G36" s="1053" t="str">
        <f t="shared" si="1"/>
        <v/>
      </c>
      <c r="H36" s="1052" t="str">
        <f t="shared" si="2"/>
        <v/>
      </c>
      <c r="I36" s="1047">
        <v>8</v>
      </c>
      <c r="J36" s="1048">
        <v>1</v>
      </c>
      <c r="K36" s="1049">
        <v>1</v>
      </c>
      <c r="L36" s="1050" t="str">
        <f t="shared" si="3"/>
        <v/>
      </c>
      <c r="M36" s="1051" t="str">
        <f t="shared" si="4"/>
        <v/>
      </c>
    </row>
    <row r="37" spans="2:13" x14ac:dyDescent="0.25">
      <c r="B37" s="836"/>
      <c r="C37" s="853"/>
      <c r="D37" s="996">
        <v>0.05</v>
      </c>
      <c r="E37" s="999">
        <v>0</v>
      </c>
      <c r="F37" s="1052" t="str">
        <f t="shared" si="0"/>
        <v/>
      </c>
      <c r="G37" s="1053" t="str">
        <f t="shared" si="1"/>
        <v/>
      </c>
      <c r="H37" s="1052" t="str">
        <f t="shared" si="2"/>
        <v/>
      </c>
      <c r="I37" s="1047">
        <v>8</v>
      </c>
      <c r="J37" s="1048">
        <v>1</v>
      </c>
      <c r="K37" s="1049">
        <v>1</v>
      </c>
      <c r="L37" s="1050" t="str">
        <f t="shared" si="3"/>
        <v/>
      </c>
      <c r="M37" s="1051" t="str">
        <f t="shared" si="4"/>
        <v/>
      </c>
    </row>
    <row r="38" spans="2:13" x14ac:dyDescent="0.25">
      <c r="B38" s="836"/>
      <c r="C38" s="853"/>
      <c r="D38" s="996">
        <v>0.05</v>
      </c>
      <c r="E38" s="999">
        <v>0</v>
      </c>
      <c r="F38" s="1052" t="str">
        <f t="shared" si="0"/>
        <v/>
      </c>
      <c r="G38" s="1053" t="str">
        <f t="shared" si="1"/>
        <v/>
      </c>
      <c r="H38" s="1052" t="str">
        <f t="shared" si="2"/>
        <v/>
      </c>
      <c r="I38" s="1047">
        <v>8</v>
      </c>
      <c r="J38" s="1048">
        <v>1</v>
      </c>
      <c r="K38" s="1049">
        <v>1</v>
      </c>
      <c r="L38" s="1050" t="str">
        <f t="shared" si="3"/>
        <v/>
      </c>
      <c r="M38" s="1051" t="str">
        <f t="shared" si="4"/>
        <v/>
      </c>
    </row>
    <row r="39" spans="2:13" x14ac:dyDescent="0.25">
      <c r="B39" s="836"/>
      <c r="C39" s="853"/>
      <c r="D39" s="996">
        <v>0.05</v>
      </c>
      <c r="E39" s="999">
        <v>0</v>
      </c>
      <c r="F39" s="1052" t="str">
        <f t="shared" si="0"/>
        <v/>
      </c>
      <c r="G39" s="1053" t="str">
        <f t="shared" si="1"/>
        <v/>
      </c>
      <c r="H39" s="1052" t="str">
        <f t="shared" si="2"/>
        <v/>
      </c>
      <c r="I39" s="1047">
        <v>8</v>
      </c>
      <c r="J39" s="1048">
        <v>1</v>
      </c>
      <c r="K39" s="1049">
        <v>1</v>
      </c>
      <c r="L39" s="1050" t="str">
        <f t="shared" si="3"/>
        <v/>
      </c>
      <c r="M39" s="1051" t="str">
        <f t="shared" si="4"/>
        <v/>
      </c>
    </row>
    <row r="40" spans="2:13" x14ac:dyDescent="0.25">
      <c r="B40" s="836"/>
      <c r="C40" s="853"/>
      <c r="D40" s="996">
        <v>0.05</v>
      </c>
      <c r="E40" s="999">
        <v>0</v>
      </c>
      <c r="F40" s="1052" t="str">
        <f t="shared" si="0"/>
        <v/>
      </c>
      <c r="G40" s="1053" t="str">
        <f t="shared" si="1"/>
        <v/>
      </c>
      <c r="H40" s="1052" t="str">
        <f t="shared" si="2"/>
        <v/>
      </c>
      <c r="I40" s="1047">
        <v>8</v>
      </c>
      <c r="J40" s="1048">
        <v>1</v>
      </c>
      <c r="K40" s="1049">
        <v>1</v>
      </c>
      <c r="L40" s="1050" t="str">
        <f t="shared" si="3"/>
        <v/>
      </c>
      <c r="M40" s="1051" t="str">
        <f t="shared" si="4"/>
        <v/>
      </c>
    </row>
    <row r="41" spans="2:13" x14ac:dyDescent="0.25">
      <c r="B41" s="836"/>
      <c r="C41" s="853"/>
      <c r="D41" s="996">
        <v>0.05</v>
      </c>
      <c r="E41" s="999">
        <v>0</v>
      </c>
      <c r="F41" s="1052" t="str">
        <f t="shared" si="0"/>
        <v/>
      </c>
      <c r="G41" s="1053" t="str">
        <f t="shared" si="1"/>
        <v/>
      </c>
      <c r="H41" s="1052" t="str">
        <f t="shared" si="2"/>
        <v/>
      </c>
      <c r="I41" s="1047">
        <v>8</v>
      </c>
      <c r="J41" s="1048">
        <v>1</v>
      </c>
      <c r="K41" s="1049">
        <v>1</v>
      </c>
      <c r="L41" s="1050" t="str">
        <f t="shared" si="3"/>
        <v/>
      </c>
      <c r="M41" s="1051" t="str">
        <f t="shared" si="4"/>
        <v/>
      </c>
    </row>
    <row r="42" spans="2:13" x14ac:dyDescent="0.25">
      <c r="B42" s="836"/>
      <c r="C42" s="853"/>
      <c r="D42" s="996">
        <v>0.05</v>
      </c>
      <c r="E42" s="999">
        <v>0</v>
      </c>
      <c r="F42" s="1052" t="str">
        <f t="shared" si="0"/>
        <v/>
      </c>
      <c r="G42" s="1053" t="str">
        <f t="shared" si="1"/>
        <v/>
      </c>
      <c r="H42" s="1052" t="str">
        <f t="shared" si="2"/>
        <v/>
      </c>
      <c r="I42" s="1047">
        <v>8</v>
      </c>
      <c r="J42" s="1048">
        <v>1</v>
      </c>
      <c r="K42" s="1049">
        <v>1</v>
      </c>
      <c r="L42" s="1050" t="str">
        <f t="shared" si="3"/>
        <v/>
      </c>
      <c r="M42" s="1051" t="str">
        <f t="shared" si="4"/>
        <v/>
      </c>
    </row>
    <row r="43" spans="2:13" x14ac:dyDescent="0.25">
      <c r="B43" s="836"/>
      <c r="C43" s="853"/>
      <c r="D43" s="996">
        <v>0.05</v>
      </c>
      <c r="E43" s="999">
        <v>0</v>
      </c>
      <c r="F43" s="1052" t="str">
        <f t="shared" si="0"/>
        <v/>
      </c>
      <c r="G43" s="1053" t="str">
        <f t="shared" si="1"/>
        <v/>
      </c>
      <c r="H43" s="1052" t="str">
        <f t="shared" si="2"/>
        <v/>
      </c>
      <c r="I43" s="1047">
        <v>8</v>
      </c>
      <c r="J43" s="1048">
        <v>1</v>
      </c>
      <c r="K43" s="1049">
        <v>1</v>
      </c>
      <c r="L43" s="1050" t="str">
        <f t="shared" si="3"/>
        <v/>
      </c>
      <c r="M43" s="1051" t="str">
        <f t="shared" si="4"/>
        <v/>
      </c>
    </row>
    <row r="44" spans="2:13" x14ac:dyDescent="0.25">
      <c r="B44" s="836"/>
      <c r="C44" s="853"/>
      <c r="D44" s="996">
        <v>0.05</v>
      </c>
      <c r="E44" s="999">
        <v>0</v>
      </c>
      <c r="F44" s="1052" t="str">
        <f t="shared" si="0"/>
        <v/>
      </c>
      <c r="G44" s="1053" t="str">
        <f t="shared" si="1"/>
        <v/>
      </c>
      <c r="H44" s="1052" t="str">
        <f t="shared" si="2"/>
        <v/>
      </c>
      <c r="I44" s="1047">
        <v>8</v>
      </c>
      <c r="J44" s="1048">
        <v>1</v>
      </c>
      <c r="K44" s="1049">
        <v>1</v>
      </c>
      <c r="L44" s="1050" t="str">
        <f t="shared" si="3"/>
        <v/>
      </c>
      <c r="M44" s="1051" t="str">
        <f t="shared" si="4"/>
        <v/>
      </c>
    </row>
    <row r="45" spans="2:13" x14ac:dyDescent="0.25">
      <c r="B45" s="836"/>
      <c r="C45" s="853"/>
      <c r="D45" s="996">
        <v>0.05</v>
      </c>
      <c r="E45" s="999">
        <v>0</v>
      </c>
      <c r="F45" s="1052" t="str">
        <f t="shared" si="0"/>
        <v/>
      </c>
      <c r="G45" s="1053" t="str">
        <f t="shared" si="1"/>
        <v/>
      </c>
      <c r="H45" s="1052" t="str">
        <f t="shared" si="2"/>
        <v/>
      </c>
      <c r="I45" s="1047">
        <v>8</v>
      </c>
      <c r="J45" s="1048">
        <v>1</v>
      </c>
      <c r="K45" s="1049">
        <v>1</v>
      </c>
      <c r="L45" s="1050" t="str">
        <f t="shared" si="3"/>
        <v/>
      </c>
      <c r="M45" s="1051" t="str">
        <f t="shared" si="4"/>
        <v/>
      </c>
    </row>
    <row r="46" spans="2:13" x14ac:dyDescent="0.25">
      <c r="B46" s="836"/>
      <c r="C46" s="853"/>
      <c r="D46" s="996">
        <v>0.05</v>
      </c>
      <c r="E46" s="999">
        <v>0</v>
      </c>
      <c r="F46" s="1052" t="str">
        <f t="shared" si="0"/>
        <v/>
      </c>
      <c r="G46" s="1053" t="str">
        <f t="shared" si="1"/>
        <v/>
      </c>
      <c r="H46" s="1052" t="str">
        <f t="shared" si="2"/>
        <v/>
      </c>
      <c r="I46" s="1047">
        <v>8</v>
      </c>
      <c r="J46" s="1048">
        <v>1</v>
      </c>
      <c r="K46" s="1049">
        <v>1</v>
      </c>
      <c r="L46" s="1050" t="str">
        <f t="shared" si="3"/>
        <v/>
      </c>
      <c r="M46" s="1051" t="str">
        <f t="shared" si="4"/>
        <v/>
      </c>
    </row>
    <row r="47" spans="2:13" x14ac:dyDescent="0.25">
      <c r="B47" s="836"/>
      <c r="C47" s="853"/>
      <c r="D47" s="996">
        <v>0.05</v>
      </c>
      <c r="E47" s="999">
        <v>0</v>
      </c>
      <c r="F47" s="1052" t="str">
        <f t="shared" si="0"/>
        <v/>
      </c>
      <c r="G47" s="1053" t="str">
        <f t="shared" si="1"/>
        <v/>
      </c>
      <c r="H47" s="1052" t="str">
        <f t="shared" si="2"/>
        <v/>
      </c>
      <c r="I47" s="1047">
        <v>8</v>
      </c>
      <c r="J47" s="1048">
        <v>1</v>
      </c>
      <c r="K47" s="1049">
        <v>1</v>
      </c>
      <c r="L47" s="1050" t="str">
        <f t="shared" si="3"/>
        <v/>
      </c>
      <c r="M47" s="1051" t="str">
        <f t="shared" si="4"/>
        <v/>
      </c>
    </row>
    <row r="48" spans="2:13" x14ac:dyDescent="0.25">
      <c r="B48" s="836"/>
      <c r="C48" s="853"/>
      <c r="D48" s="996">
        <v>0.05</v>
      </c>
      <c r="E48" s="999">
        <v>0</v>
      </c>
      <c r="F48" s="1052" t="str">
        <f t="shared" si="0"/>
        <v/>
      </c>
      <c r="G48" s="1053" t="str">
        <f t="shared" si="1"/>
        <v/>
      </c>
      <c r="H48" s="1052" t="str">
        <f t="shared" si="2"/>
        <v/>
      </c>
      <c r="I48" s="1047">
        <v>8</v>
      </c>
      <c r="J48" s="1048">
        <v>1</v>
      </c>
      <c r="K48" s="1049">
        <v>1</v>
      </c>
      <c r="L48" s="1050" t="str">
        <f t="shared" si="3"/>
        <v/>
      </c>
      <c r="M48" s="1051" t="str">
        <f t="shared" si="4"/>
        <v/>
      </c>
    </row>
    <row r="49" spans="2:13" x14ac:dyDescent="0.25">
      <c r="B49" s="836"/>
      <c r="C49" s="853"/>
      <c r="D49" s="996">
        <v>0.05</v>
      </c>
      <c r="E49" s="999">
        <v>0</v>
      </c>
      <c r="F49" s="1052" t="str">
        <f t="shared" si="0"/>
        <v/>
      </c>
      <c r="G49" s="1053" t="str">
        <f t="shared" si="1"/>
        <v/>
      </c>
      <c r="H49" s="1052" t="str">
        <f t="shared" si="2"/>
        <v/>
      </c>
      <c r="I49" s="1047">
        <v>8</v>
      </c>
      <c r="J49" s="1048">
        <v>1</v>
      </c>
      <c r="K49" s="1049">
        <v>1</v>
      </c>
      <c r="L49" s="1050" t="str">
        <f t="shared" si="3"/>
        <v/>
      </c>
      <c r="M49" s="1051" t="str">
        <f t="shared" si="4"/>
        <v/>
      </c>
    </row>
    <row r="50" spans="2:13" x14ac:dyDescent="0.25">
      <c r="B50" s="836"/>
      <c r="C50" s="853"/>
      <c r="D50" s="996">
        <v>0.05</v>
      </c>
      <c r="E50" s="1000">
        <v>0</v>
      </c>
      <c r="F50" s="1052" t="str">
        <f t="shared" si="0"/>
        <v/>
      </c>
      <c r="G50" s="1053" t="str">
        <f t="shared" si="1"/>
        <v/>
      </c>
      <c r="H50" s="1052" t="str">
        <f t="shared" si="2"/>
        <v/>
      </c>
      <c r="I50" s="1047">
        <v>8</v>
      </c>
      <c r="J50" s="1048">
        <v>1</v>
      </c>
      <c r="K50" s="1049">
        <v>1</v>
      </c>
      <c r="L50" s="1050" t="str">
        <f t="shared" si="3"/>
        <v/>
      </c>
      <c r="M50" s="1051" t="str">
        <f t="shared" si="4"/>
        <v/>
      </c>
    </row>
  </sheetData>
  <sheetProtection password="CAB5" sheet="1" objects="1" scenarios="1"/>
  <mergeCells count="1">
    <mergeCell ref="J7:K7"/>
  </mergeCells>
  <dataValidations xWindow="834" yWindow="752" count="13">
    <dataValidation type="whole" allowBlank="1" showInputMessage="1" showErrorMessage="1" errorTitle="  NutVal" error="Please check you have entered a whole number for the expected number of beneficiaries." prompt="Please enter the estimated number of beneficiaries." sqref="C7:C8 D8:E8">
      <formula1>0</formula1>
      <formula2>100000000</formula2>
    </dataValidation>
    <dataValidation type="decimal" allowBlank="1" showInputMessage="1" showErrorMessage="1" errorTitle="  NutVal" error="Please check you have entered thre duration of the prgramme in months." prompt="Please enter the expected duration of the food assistance programme in months. (One month = 30 days)" sqref="G7">
      <formula1>0</formula1>
      <formula2>1000</formula2>
    </dataValidation>
    <dataValidation type="decimal" allowBlank="1" showInputMessage="1" showErrorMessage="1" errorTitle="  NutVal" error="Please check you have entered a percentage between 0 and 100. " sqref="E26:E50 D12:D50">
      <formula1>0</formula1>
      <formula2>1</formula2>
    </dataValidation>
    <dataValidation type="decimal" allowBlank="1" showInputMessage="1" showErrorMessage="1" errorTitle="  NutVal" error="Please check you have entered a percentage between 0 and 100. " prompt="You can enter a percentage allowance in this column to allow for losses during transportation and distribution. " sqref="D11">
      <formula1>0</formula1>
      <formula2>1</formula2>
    </dataValidation>
    <dataValidation allowBlank="1" showInputMessage="1" showErrorMessage="1" prompt="Do not type in this cell. The ration items in this column are the ones you selected in the calculator sheet." sqref="B11:B50"/>
    <dataValidation allowBlank="1" showInputMessage="1" showErrorMessage="1" prompt="Do not type in this cell. The weights in this column are the ones you selected in the Ration Calculator sheet. To change them please go the Ration Calculator sheet." sqref="C11:C50"/>
    <dataValidation allowBlank="1" showInputMessage="1" showErrorMessage="1" prompt="Do not type in this cell. The value is calculated automatically. " sqref="L11:M50 F11:H50"/>
    <dataValidation type="decimal" allowBlank="1" showInputMessage="1" showErrorMessage="1" errorTitle="  NutVal" error="Please enter the cost using numbers only." prompt="Enter the cost  in your chosen currency for external transportation per metric tonne." sqref="J11">
      <formula1>0</formula1>
      <formula2>10000000</formula2>
    </dataValidation>
    <dataValidation type="decimal" allowBlank="1" showInputMessage="1" showErrorMessage="1" errorTitle="  NutVal" error="Please enter the cost using numbers only." sqref="I12:K50">
      <formula1>0</formula1>
      <formula2>10000000</formula2>
    </dataValidation>
    <dataValidation type="decimal" allowBlank="1" showInputMessage="1" showErrorMessage="1" errorTitle="  NutVal" error="Please enter the cost using numbers only." prompt="Enter the FCA (Free Carrier) or FOB (Free on Board) price per Metric Tonne in your chosen currency." sqref="I11">
      <formula1>0</formula1>
      <formula2>10000000</formula2>
    </dataValidation>
    <dataValidation type="decimal" allowBlank="1" showInputMessage="1" showErrorMessage="1" errorTitle="  NutVal" error="Please enter the cost using numbers only." prompt="Enter the cost  in your chosen currency for Landside Transport, Storage and Handling per metric tonne." sqref="K11">
      <formula1>0</formula1>
      <formula2>10000000</formula2>
    </dataValidation>
    <dataValidation allowBlank="1" showInputMessage="1" showErrorMessage="1" prompt="MT = metric ton" sqref="I10"/>
    <dataValidation allowBlank="1" showInputMessage="1" showErrorMessage="1" prompt="You can enter a percentage allowance in this column to allow for the milling costs of whole grain. Beneficiaries may need to trade some of their grain to get it milled." sqref="E11"/>
  </dataValidations>
  <hyperlinks>
    <hyperlink ref="F10" location="LogisticsCalculator!F10" tooltip="mo = months" display="LogisticsCalculator!F10"/>
    <hyperlink ref="G10" location="LogisticsCalculator!G10" tooltip="mo = month" display="LogisticsCalculator!G10"/>
    <hyperlink ref="H10" location="LogisticsCalculator!H10" tooltip="MT = metric ton" display="Programme Requirement (MT)"/>
    <hyperlink ref="I10" location="LogisticsCalculator!I10" tooltip="FOB = Free On Board, FCA = Free Carrier, MT = Metric Ton" display="LogisticsCalculator!I10"/>
    <hyperlink ref="J10" location="LogisticsCalculator!J10" tooltip="MT = metric ton" display="LogisticsCalculator!J10"/>
    <hyperlink ref="K10" location="LogisticsCalculator!K10" tooltip="LTSH = Landside Transport, Storage, and Handling" display="LogisticsCalculator!K10"/>
    <hyperlink ref="L10" location="LogisticsCalculator!L10" tooltip="The cost is shown in which currency you have used when inputting the data" display="LogisticsCalculator!L10"/>
    <hyperlink ref="M10" location="LogisticsCalculator!M10" tooltip="Please be sure to chose and use your chosen currency consistently on this sheet" display="LogisticsCalculator!M10"/>
    <hyperlink ref="J7" location="LogisticsCalculator!J7" tooltip="This value is calculated automatically using the data in the table below, together with the population size and duration. It is expressed in the same currency that you chose to input your cost data." display="LogisticsCalculator!J7"/>
  </hyperlink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39713" r:id="rId4" name="Button 1">
              <controlPr defaultSize="0" print="0" autoFill="0" autoPict="0" macro="[0]!Goto_Menu1">
                <anchor>
                  <from>
                    <xdr:col>1</xdr:col>
                    <xdr:colOff>9525</xdr:colOff>
                    <xdr:row>1</xdr:row>
                    <xdr:rowOff>9525</xdr:rowOff>
                  </from>
                  <to>
                    <xdr:col>1</xdr:col>
                    <xdr:colOff>1085850</xdr:colOff>
                    <xdr:row>2</xdr:row>
                    <xdr:rowOff>85725</xdr:rowOff>
                  </to>
                </anchor>
              </controlPr>
            </control>
          </mc:Choice>
        </mc:AlternateContent>
        <mc:AlternateContent xmlns:mc="http://schemas.openxmlformats.org/markup-compatibility/2006">
          <mc:Choice Requires="x14">
            <control shapeId="4339714" r:id="rId5" name="Button 2">
              <controlPr defaultSize="0" print="0" autoFill="0" autoPict="0" macro="[0]!Goto_Calculation_Sheet">
                <anchor>
                  <from>
                    <xdr:col>1</xdr:col>
                    <xdr:colOff>1114425</xdr:colOff>
                    <xdr:row>1</xdr:row>
                    <xdr:rowOff>9525</xdr:rowOff>
                  </from>
                  <to>
                    <xdr:col>1</xdr:col>
                    <xdr:colOff>2190750</xdr:colOff>
                    <xdr:row>3</xdr:row>
                    <xdr:rowOff>180975</xdr:rowOff>
                  </to>
                </anchor>
              </controlPr>
            </control>
          </mc:Choice>
        </mc:AlternateContent>
        <mc:AlternateContent xmlns:mc="http://schemas.openxmlformats.org/markup-compatibility/2006">
          <mc:Choice Requires="x14">
            <control shapeId="4339715" r:id="rId6" name="Button 3">
              <controlPr defaultSize="0" print="0" autoFill="0" autoPict="0" macro="[0]!Goto_Help5">
                <anchor>
                  <from>
                    <xdr:col>1</xdr:col>
                    <xdr:colOff>9525</xdr:colOff>
                    <xdr:row>2</xdr:row>
                    <xdr:rowOff>104775</xdr:rowOff>
                  </from>
                  <to>
                    <xdr:col>1</xdr:col>
                    <xdr:colOff>1085850</xdr:colOff>
                    <xdr:row>3</xdr:row>
                    <xdr:rowOff>180975</xdr:rowOff>
                  </to>
                </anchor>
              </controlPr>
            </control>
          </mc:Choice>
        </mc:AlternateContent>
        <mc:AlternateContent xmlns:mc="http://schemas.openxmlformats.org/markup-compatibility/2006">
          <mc:Choice Requires="x14">
            <control shapeId="4339716" r:id="rId7" name="Button 4">
              <controlPr defaultSize="0" print="0" autoFill="0" autoPict="0" macro="[0]!Goto_Database1">
                <anchor>
                  <from>
                    <xdr:col>11</xdr:col>
                    <xdr:colOff>419100</xdr:colOff>
                    <xdr:row>1</xdr:row>
                    <xdr:rowOff>19050</xdr:rowOff>
                  </from>
                  <to>
                    <xdr:col>13</xdr:col>
                    <xdr:colOff>0</xdr:colOff>
                    <xdr:row>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1:BO283"/>
  <sheetViews>
    <sheetView showGridLines="0" showRowColHeaders="0" workbookViewId="0">
      <selection activeCell="C5" sqref="C5"/>
    </sheetView>
  </sheetViews>
  <sheetFormatPr defaultRowHeight="15" x14ac:dyDescent="0.25"/>
  <cols>
    <col min="1" max="1" width="3.21875" style="804" customWidth="1"/>
    <col min="2" max="2" width="19.109375" style="804" customWidth="1"/>
    <col min="3" max="6" width="23.5546875" style="804" customWidth="1"/>
    <col min="7" max="14" width="16.6640625" style="804" customWidth="1"/>
    <col min="15" max="15" width="17.21875" style="804" customWidth="1"/>
    <col min="16" max="22" width="16.33203125" style="804" customWidth="1"/>
    <col min="23" max="23" width="18.88671875" style="804" customWidth="1"/>
    <col min="24" max="25" width="16.33203125" style="804" customWidth="1"/>
    <col min="26" max="26" width="16.77734375" style="804" customWidth="1"/>
    <col min="27" max="31" width="16.33203125" style="804" customWidth="1"/>
    <col min="32" max="32" width="20.109375" style="804" customWidth="1"/>
    <col min="33" max="34" width="16.33203125" style="804" customWidth="1"/>
    <col min="35" max="35" width="17.21875" style="804" customWidth="1"/>
    <col min="36" max="37" width="16.33203125" style="804" customWidth="1"/>
    <col min="38" max="38" width="17.77734375" style="804" customWidth="1"/>
    <col min="39" max="43" width="16.33203125" style="804" customWidth="1"/>
    <col min="44" max="44" width="20.21875" style="804" bestFit="1" customWidth="1"/>
    <col min="45" max="46" width="16.33203125" style="804" customWidth="1"/>
    <col min="47" max="47" width="18.21875" style="804" bestFit="1" customWidth="1"/>
    <col min="48" max="49" width="16.33203125" style="804" bestFit="1" customWidth="1"/>
    <col min="50" max="50" width="17.5546875" style="804" bestFit="1" customWidth="1"/>
    <col min="51" max="52" width="16.33203125" style="804" bestFit="1" customWidth="1"/>
    <col min="53" max="53" width="18.5546875" style="804" bestFit="1" customWidth="1"/>
    <col min="54" max="55" width="16.33203125" style="804" bestFit="1" customWidth="1"/>
    <col min="56" max="56" width="17.44140625" style="804" bestFit="1" customWidth="1"/>
    <col min="57" max="58" width="16.33203125" style="804" bestFit="1" customWidth="1"/>
    <col min="59" max="59" width="17.109375" style="804" bestFit="1" customWidth="1"/>
    <col min="60" max="61" width="16.33203125" style="804" bestFit="1" customWidth="1"/>
    <col min="62" max="62" width="17.33203125" style="804" bestFit="1" customWidth="1"/>
    <col min="63" max="64" width="16.33203125" style="804" bestFit="1" customWidth="1"/>
    <col min="65" max="65" width="17" style="804" bestFit="1" customWidth="1"/>
    <col min="66" max="67" width="16.33203125" style="804" bestFit="1" customWidth="1"/>
    <col min="68" max="16384" width="8.88671875" style="804"/>
  </cols>
  <sheetData>
    <row r="1" spans="2:67" ht="14.25" customHeight="1" x14ac:dyDescent="0.25"/>
    <row r="4" spans="2:67" ht="28.5" customHeight="1" x14ac:dyDescent="0.25"/>
    <row r="5" spans="2:67" x14ac:dyDescent="0.25">
      <c r="B5" s="1111" t="s">
        <v>711</v>
      </c>
      <c r="C5" s="1104" t="s">
        <v>771</v>
      </c>
    </row>
    <row r="6" spans="2:67" x14ac:dyDescent="0.25">
      <c r="B6" s="1111" t="s">
        <v>902</v>
      </c>
      <c r="C6" s="1104" t="s">
        <v>702</v>
      </c>
    </row>
    <row r="8" spans="2:67" ht="15.75" x14ac:dyDescent="0.25">
      <c r="B8" s="1104"/>
      <c r="C8" s="1103" t="s">
        <v>684</v>
      </c>
      <c r="D8" s="1103" t="s">
        <v>683</v>
      </c>
      <c r="E8" s="1104"/>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2:67" ht="15.75" x14ac:dyDescent="0.25">
      <c r="B9" s="1104"/>
      <c r="C9" s="1104" t="s">
        <v>773</v>
      </c>
      <c r="D9" s="1104" t="s">
        <v>774</v>
      </c>
      <c r="E9" s="1104" t="s">
        <v>813</v>
      </c>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2:67" ht="15.75" x14ac:dyDescent="0.25">
      <c r="B10" s="1103" t="s">
        <v>690</v>
      </c>
      <c r="C10" s="1105">
        <v>41883</v>
      </c>
      <c r="D10" s="1105">
        <v>41897</v>
      </c>
      <c r="E10" s="1105">
        <v>41912</v>
      </c>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2:67" ht="15.75" x14ac:dyDescent="0.25">
      <c r="B11" s="1104" t="s">
        <v>686</v>
      </c>
      <c r="C11" s="1106">
        <v>2225.8480000000004</v>
      </c>
      <c r="D11" s="1106">
        <v>2178.308</v>
      </c>
      <c r="E11" s="1106">
        <v>2225.8179999999998</v>
      </c>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2:67" ht="15.75" x14ac:dyDescent="0.25">
      <c r="B12" s="1104" t="s">
        <v>687</v>
      </c>
      <c r="C12" s="1107">
        <v>79.807500000000005</v>
      </c>
      <c r="D12" s="1107">
        <v>64.478000000000009</v>
      </c>
      <c r="E12" s="1107">
        <v>63.268999999999998</v>
      </c>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2:67" ht="15.75" x14ac:dyDescent="0.25">
      <c r="B13" s="1104" t="s">
        <v>691</v>
      </c>
      <c r="C13" s="1107">
        <v>44.476599999999998</v>
      </c>
      <c r="D13" s="1107">
        <v>49.710799999999999</v>
      </c>
      <c r="E13" s="1107">
        <v>43.12</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row>
    <row r="14" spans="2:67" ht="15.75" x14ac:dyDescent="0.25">
      <c r="B14" s="1104" t="s">
        <v>692</v>
      </c>
      <c r="C14" s="1108">
        <v>602.59799999999996</v>
      </c>
      <c r="D14" s="1108">
        <v>379.16800000000001</v>
      </c>
      <c r="E14" s="1108">
        <v>336.63800000000003</v>
      </c>
      <c r="F14"/>
      <c r="G14"/>
      <c r="H14"/>
      <c r="I14"/>
      <c r="J14"/>
      <c r="K14"/>
      <c r="L14"/>
      <c r="M14"/>
      <c r="N14"/>
      <c r="O14"/>
    </row>
    <row r="15" spans="2:67" ht="15.75" x14ac:dyDescent="0.25">
      <c r="B15" s="1104" t="s">
        <v>693</v>
      </c>
      <c r="C15" s="1107">
        <v>2.8868400000000003</v>
      </c>
      <c r="D15" s="1107">
        <v>2.2311199999999998</v>
      </c>
      <c r="E15" s="1107">
        <v>1.2901500000000001</v>
      </c>
      <c r="F15"/>
      <c r="G15"/>
      <c r="H15"/>
      <c r="I15"/>
      <c r="J15"/>
      <c r="K15"/>
      <c r="L15"/>
      <c r="M15"/>
      <c r="N15"/>
      <c r="O15"/>
    </row>
    <row r="16" spans="2:67" ht="15.75" x14ac:dyDescent="0.25">
      <c r="B16" s="1104" t="s">
        <v>705</v>
      </c>
      <c r="C16" s="1107">
        <v>224</v>
      </c>
      <c r="D16" s="1107">
        <v>224</v>
      </c>
      <c r="E16" s="1107">
        <v>224</v>
      </c>
      <c r="F16"/>
      <c r="G16"/>
      <c r="H16"/>
      <c r="I16"/>
      <c r="J16"/>
      <c r="K16"/>
      <c r="L16"/>
      <c r="M16"/>
      <c r="N16"/>
      <c r="O16"/>
    </row>
    <row r="17" spans="2:15" ht="15.75" x14ac:dyDescent="0.25">
      <c r="B17" s="1104" t="s">
        <v>706</v>
      </c>
      <c r="C17" s="1107">
        <v>34.488499999999995</v>
      </c>
      <c r="D17" s="1107">
        <v>21.445999999999998</v>
      </c>
      <c r="E17" s="1107">
        <v>17.496500000000001</v>
      </c>
      <c r="F17"/>
      <c r="G17"/>
      <c r="H17"/>
      <c r="I17"/>
      <c r="J17"/>
      <c r="K17"/>
      <c r="L17"/>
      <c r="M17"/>
      <c r="N17"/>
      <c r="O17"/>
    </row>
    <row r="18" spans="2:15" ht="15.75" x14ac:dyDescent="0.25">
      <c r="B18" s="1104" t="s">
        <v>708</v>
      </c>
      <c r="C18" s="1108">
        <v>681.19</v>
      </c>
      <c r="D18" s="1108">
        <v>645.91999999999996</v>
      </c>
      <c r="E18" s="1108">
        <v>268.89999999999998</v>
      </c>
      <c r="F18"/>
      <c r="G18"/>
      <c r="H18"/>
      <c r="I18"/>
      <c r="J18"/>
      <c r="K18"/>
      <c r="L18"/>
      <c r="M18"/>
      <c r="N18"/>
      <c r="O18"/>
    </row>
    <row r="19" spans="2:15" ht="15.75" x14ac:dyDescent="0.25">
      <c r="B19" s="1104" t="s">
        <v>712</v>
      </c>
      <c r="C19" s="1107">
        <v>364.68400000000003</v>
      </c>
      <c r="D19" s="1107">
        <v>82.47399999999999</v>
      </c>
      <c r="E19" s="1107">
        <v>19.584000000000003</v>
      </c>
      <c r="F19"/>
      <c r="G19"/>
      <c r="H19"/>
      <c r="I19"/>
      <c r="J19"/>
      <c r="K19"/>
      <c r="L19"/>
      <c r="M19"/>
      <c r="N19"/>
      <c r="O19"/>
    </row>
    <row r="20" spans="2:15" ht="15.75" x14ac:dyDescent="0.25">
      <c r="B20" s="1104" t="s">
        <v>713</v>
      </c>
      <c r="C20" s="1107">
        <v>21.069100000000002</v>
      </c>
      <c r="D20" s="1107">
        <v>15.620799999999999</v>
      </c>
      <c r="E20" s="1107">
        <v>14.404500000000001</v>
      </c>
      <c r="F20"/>
      <c r="G20"/>
      <c r="H20"/>
      <c r="I20"/>
      <c r="J20"/>
      <c r="K20"/>
      <c r="L20"/>
      <c r="M20"/>
      <c r="N20"/>
      <c r="O20"/>
    </row>
    <row r="21" spans="2:15" ht="15.75" x14ac:dyDescent="0.25">
      <c r="B21" s="1104" t="s">
        <v>714</v>
      </c>
      <c r="C21" s="1106">
        <v>847.25227027027029</v>
      </c>
      <c r="D21" s="1106">
        <v>558.20722522522522</v>
      </c>
      <c r="E21" s="1106">
        <v>650.69731531531534</v>
      </c>
      <c r="F21"/>
      <c r="G21"/>
      <c r="H21"/>
      <c r="I21"/>
      <c r="J21"/>
      <c r="K21"/>
      <c r="L21"/>
      <c r="M21"/>
      <c r="N21"/>
      <c r="O21"/>
    </row>
    <row r="22" spans="2:15" ht="15.75" x14ac:dyDescent="0.25">
      <c r="B22" s="1104" t="s">
        <v>715</v>
      </c>
      <c r="C22" s="1109">
        <v>2.7044400000000008</v>
      </c>
      <c r="D22" s="1109">
        <v>2.4447200000000002</v>
      </c>
      <c r="E22" s="1109">
        <v>1.6466000000000003</v>
      </c>
      <c r="F22"/>
      <c r="G22"/>
      <c r="H22"/>
      <c r="I22"/>
      <c r="J22"/>
      <c r="K22"/>
      <c r="L22"/>
      <c r="M22"/>
      <c r="N22"/>
      <c r="O22"/>
    </row>
    <row r="23" spans="2:15" ht="15.75" x14ac:dyDescent="0.25">
      <c r="B23" s="1104" t="s">
        <v>716</v>
      </c>
      <c r="C23" s="1109">
        <v>1.1560799999999998</v>
      </c>
      <c r="D23" s="1109">
        <v>1.39384</v>
      </c>
      <c r="E23" s="1109">
        <v>0.84814999999999996</v>
      </c>
      <c r="F23"/>
      <c r="G23"/>
      <c r="H23"/>
      <c r="I23"/>
      <c r="J23"/>
      <c r="K23"/>
      <c r="L23"/>
      <c r="M23"/>
      <c r="N23"/>
      <c r="O23"/>
    </row>
    <row r="24" spans="2:15" ht="15.75" x14ac:dyDescent="0.25">
      <c r="B24" s="1104" t="s">
        <v>717</v>
      </c>
      <c r="C24" s="1107">
        <v>32.245530000000002</v>
      </c>
      <c r="D24" s="1107">
        <v>16.932106666666666</v>
      </c>
      <c r="E24" s="1107">
        <v>15.355999999999998</v>
      </c>
      <c r="F24"/>
      <c r="G24"/>
      <c r="H24"/>
      <c r="I24"/>
      <c r="J24"/>
      <c r="K24"/>
      <c r="L24"/>
      <c r="M24"/>
      <c r="N24"/>
      <c r="O24"/>
    </row>
    <row r="25" spans="2:15" ht="15.75" x14ac:dyDescent="0.25">
      <c r="B25" s="1104" t="s">
        <v>718</v>
      </c>
      <c r="C25" s="1107">
        <v>5.8814799999999989</v>
      </c>
      <c r="D25" s="1107">
        <v>3.6126399999999999</v>
      </c>
      <c r="E25" s="1107">
        <v>8.4770000000000003</v>
      </c>
      <c r="F25"/>
      <c r="G25"/>
      <c r="H25"/>
      <c r="I25"/>
      <c r="J25"/>
      <c r="K25"/>
      <c r="L25"/>
      <c r="M25"/>
      <c r="N25"/>
      <c r="O25"/>
    </row>
    <row r="26" spans="2:15" ht="15.75" x14ac:dyDescent="0.25">
      <c r="B26" s="1104" t="s">
        <v>719</v>
      </c>
      <c r="C26" s="1107">
        <v>2.8705099999999995</v>
      </c>
      <c r="D26" s="1107">
        <v>3.7696800000000001</v>
      </c>
      <c r="E26" s="1107">
        <v>2.0735000000000001</v>
      </c>
      <c r="F26"/>
      <c r="G26"/>
      <c r="H26"/>
      <c r="I26"/>
      <c r="J26"/>
      <c r="K26"/>
      <c r="L26"/>
      <c r="M26"/>
      <c r="N26"/>
      <c r="O26"/>
    </row>
    <row r="27" spans="2:15" ht="15.75" x14ac:dyDescent="0.25">
      <c r="B27" s="1104" t="s">
        <v>720</v>
      </c>
      <c r="C27" s="1108">
        <v>655.78200000000004</v>
      </c>
      <c r="D27" s="1108">
        <v>451.202</v>
      </c>
      <c r="E27" s="1108">
        <v>701.02199999999993</v>
      </c>
      <c r="F27"/>
      <c r="G27"/>
      <c r="H27"/>
      <c r="I27"/>
      <c r="J27"/>
      <c r="K27"/>
      <c r="L27"/>
      <c r="M27"/>
      <c r="N27"/>
      <c r="O27"/>
    </row>
    <row r="28" spans="2:15" ht="15.75" x14ac:dyDescent="0.25">
      <c r="B28" s="1104" t="s">
        <v>721</v>
      </c>
      <c r="C28" s="1107">
        <v>1.2</v>
      </c>
      <c r="D28" s="1107">
        <v>1.2</v>
      </c>
      <c r="E28" s="1107">
        <v>1.2</v>
      </c>
      <c r="F28"/>
      <c r="G28"/>
      <c r="H28"/>
      <c r="I28"/>
      <c r="J28"/>
      <c r="K28"/>
      <c r="L28"/>
      <c r="M28"/>
      <c r="N28"/>
      <c r="O28"/>
    </row>
    <row r="29" spans="2:15" ht="15.75" x14ac:dyDescent="0.25">
      <c r="B29" s="1104" t="s">
        <v>722</v>
      </c>
      <c r="C29" s="1107">
        <v>79.516999999999996</v>
      </c>
      <c r="D29" s="1107">
        <v>63.771999999999998</v>
      </c>
      <c r="E29" s="1107">
        <v>65.831999999999994</v>
      </c>
      <c r="F29"/>
      <c r="G29"/>
      <c r="H29"/>
      <c r="I29"/>
      <c r="J29"/>
      <c r="K29"/>
      <c r="L29"/>
      <c r="M29"/>
      <c r="N29"/>
      <c r="O29"/>
    </row>
    <row r="30" spans="2:15" ht="15.75" x14ac:dyDescent="0.25">
      <c r="B30" s="1104" t="s">
        <v>723</v>
      </c>
      <c r="C30" s="1107">
        <v>5.85</v>
      </c>
      <c r="D30" s="1107">
        <v>5.4749999999999996</v>
      </c>
      <c r="E30" s="1107">
        <v>6.2249999999999996</v>
      </c>
      <c r="F30"/>
      <c r="G30"/>
      <c r="H30"/>
      <c r="I30"/>
      <c r="J30"/>
      <c r="K30"/>
      <c r="L30"/>
      <c r="M30"/>
      <c r="N30"/>
      <c r="O30"/>
    </row>
    <row r="31" spans="2:15" ht="15.75" x14ac:dyDescent="0.25">
      <c r="B31" s="1104" t="s">
        <v>724</v>
      </c>
      <c r="C31" s="1107">
        <v>11.7996</v>
      </c>
      <c r="D31" s="1107">
        <v>5.9007999999999994</v>
      </c>
      <c r="E31" s="1107">
        <v>6.3479999999999999</v>
      </c>
      <c r="F31"/>
      <c r="G31"/>
      <c r="H31"/>
      <c r="I31"/>
      <c r="J31"/>
      <c r="K31"/>
      <c r="L31"/>
      <c r="M31"/>
      <c r="N31"/>
      <c r="O31"/>
    </row>
    <row r="32" spans="2:15" ht="15.75" x14ac:dyDescent="0.25">
      <c r="B32" s="1104" t="s">
        <v>707</v>
      </c>
      <c r="C32" s="1107">
        <v>340.38099999999997</v>
      </c>
      <c r="D32" s="1107">
        <v>6.2080000000000011</v>
      </c>
      <c r="E32" s="1107">
        <v>6</v>
      </c>
      <c r="F32"/>
      <c r="G32"/>
      <c r="H32"/>
      <c r="I32"/>
      <c r="J32"/>
      <c r="K32"/>
    </row>
    <row r="33" spans="2:11" ht="15.75" x14ac:dyDescent="0.25">
      <c r="B33"/>
      <c r="C33"/>
      <c r="D33"/>
      <c r="E33"/>
      <c r="F33"/>
      <c r="G33"/>
      <c r="H33"/>
      <c r="I33"/>
      <c r="J33"/>
      <c r="K33"/>
    </row>
    <row r="34" spans="2:11" ht="15.75" x14ac:dyDescent="0.25">
      <c r="B34"/>
      <c r="C34"/>
      <c r="D34"/>
      <c r="E34"/>
      <c r="F34"/>
      <c r="G34"/>
    </row>
    <row r="35" spans="2:11" ht="15.75" x14ac:dyDescent="0.25">
      <c r="B35"/>
      <c r="C35"/>
      <c r="D35"/>
      <c r="E35"/>
      <c r="F35"/>
      <c r="G35"/>
    </row>
    <row r="36" spans="2:11" ht="15.75" x14ac:dyDescent="0.25">
      <c r="B36"/>
      <c r="C36"/>
      <c r="D36"/>
      <c r="E36"/>
      <c r="F36"/>
      <c r="G36"/>
    </row>
    <row r="37" spans="2:11" ht="15.75" x14ac:dyDescent="0.25">
      <c r="B37"/>
      <c r="C37"/>
      <c r="D37"/>
      <c r="E37"/>
      <c r="F37"/>
      <c r="G37"/>
    </row>
    <row r="38" spans="2:11" ht="15.75" x14ac:dyDescent="0.25">
      <c r="B38"/>
      <c r="C38"/>
      <c r="D38"/>
      <c r="E38"/>
      <c r="F38"/>
      <c r="G38"/>
    </row>
    <row r="39" spans="2:11" ht="15.75" x14ac:dyDescent="0.25">
      <c r="B39"/>
      <c r="C39"/>
      <c r="D39"/>
      <c r="E39"/>
      <c r="F39"/>
      <c r="G39"/>
    </row>
    <row r="40" spans="2:11" ht="15.75" x14ac:dyDescent="0.25">
      <c r="B40"/>
      <c r="C40"/>
      <c r="D40"/>
      <c r="E40"/>
      <c r="F40"/>
      <c r="G40"/>
    </row>
    <row r="41" spans="2:11" ht="15.75" x14ac:dyDescent="0.25">
      <c r="B41"/>
      <c r="C41"/>
      <c r="D41"/>
      <c r="E41"/>
      <c r="F41"/>
      <c r="G41"/>
    </row>
    <row r="42" spans="2:11" ht="15.75" x14ac:dyDescent="0.25">
      <c r="B42"/>
      <c r="C42"/>
      <c r="D42"/>
      <c r="E42"/>
      <c r="F42"/>
      <c r="G42"/>
    </row>
    <row r="43" spans="2:11" ht="15.75" x14ac:dyDescent="0.25">
      <c r="B43"/>
      <c r="C43"/>
      <c r="D43"/>
      <c r="E43"/>
      <c r="F43"/>
      <c r="G43"/>
    </row>
    <row r="44" spans="2:11" ht="15.75" x14ac:dyDescent="0.25">
      <c r="B44"/>
      <c r="C44"/>
      <c r="D44"/>
      <c r="E44"/>
      <c r="F44"/>
      <c r="G44"/>
    </row>
    <row r="45" spans="2:11" ht="15.75" x14ac:dyDescent="0.25">
      <c r="B45"/>
      <c r="C45"/>
      <c r="D45"/>
      <c r="E45"/>
      <c r="F45"/>
      <c r="G45"/>
    </row>
    <row r="46" spans="2:11" ht="15.75" x14ac:dyDescent="0.25">
      <c r="B46"/>
      <c r="C46"/>
      <c r="D46"/>
      <c r="E46"/>
      <c r="F46"/>
      <c r="G46"/>
    </row>
    <row r="47" spans="2:11" ht="15.75" x14ac:dyDescent="0.25">
      <c r="B47"/>
      <c r="C47"/>
      <c r="D47"/>
      <c r="E47"/>
      <c r="F47"/>
      <c r="G47"/>
    </row>
    <row r="48" spans="2:11" ht="15.75" x14ac:dyDescent="0.25">
      <c r="B48"/>
      <c r="C48"/>
      <c r="D48"/>
      <c r="E48"/>
      <c r="F48"/>
      <c r="G48"/>
    </row>
    <row r="49" spans="2:7" ht="15.75" x14ac:dyDescent="0.25">
      <c r="B49"/>
      <c r="C49"/>
      <c r="D49"/>
      <c r="E49"/>
      <c r="F49"/>
      <c r="G49"/>
    </row>
    <row r="50" spans="2:7" ht="15.75" x14ac:dyDescent="0.25">
      <c r="B50"/>
      <c r="C50"/>
      <c r="D50"/>
      <c r="E50"/>
      <c r="F50"/>
      <c r="G50"/>
    </row>
    <row r="51" spans="2:7" ht="15.75" x14ac:dyDescent="0.25">
      <c r="B51"/>
      <c r="C51"/>
      <c r="D51"/>
      <c r="E51"/>
      <c r="F51"/>
      <c r="G51"/>
    </row>
    <row r="52" spans="2:7" ht="15.75" x14ac:dyDescent="0.25">
      <c r="B52"/>
      <c r="C52"/>
      <c r="D52"/>
      <c r="E52"/>
      <c r="F52"/>
      <c r="G52"/>
    </row>
    <row r="53" spans="2:7" ht="15.75" x14ac:dyDescent="0.25">
      <c r="B53"/>
      <c r="C53"/>
      <c r="D53"/>
      <c r="E53"/>
      <c r="F53"/>
      <c r="G53"/>
    </row>
    <row r="54" spans="2:7" ht="15.75" x14ac:dyDescent="0.25">
      <c r="B54"/>
      <c r="C54"/>
      <c r="D54"/>
      <c r="E54"/>
      <c r="F54"/>
      <c r="G54"/>
    </row>
    <row r="55" spans="2:7" ht="15.75" x14ac:dyDescent="0.25">
      <c r="B55"/>
      <c r="C55"/>
      <c r="D55"/>
      <c r="E55"/>
      <c r="F55"/>
      <c r="G55"/>
    </row>
    <row r="56" spans="2:7" ht="15.75" x14ac:dyDescent="0.25">
      <c r="B56"/>
      <c r="C56"/>
      <c r="D56"/>
      <c r="E56"/>
      <c r="F56"/>
      <c r="G56"/>
    </row>
    <row r="57" spans="2:7" ht="15.75" x14ac:dyDescent="0.25">
      <c r="B57"/>
      <c r="C57"/>
      <c r="D57"/>
      <c r="E57"/>
      <c r="F57"/>
      <c r="G57"/>
    </row>
    <row r="58" spans="2:7" ht="15.75" x14ac:dyDescent="0.25">
      <c r="B58"/>
      <c r="C58"/>
      <c r="D58"/>
      <c r="E58"/>
      <c r="F58"/>
      <c r="G58"/>
    </row>
    <row r="59" spans="2:7" ht="15.75" x14ac:dyDescent="0.25">
      <c r="B59"/>
      <c r="C59"/>
      <c r="D59"/>
      <c r="E59"/>
      <c r="F59"/>
      <c r="G59"/>
    </row>
    <row r="60" spans="2:7" ht="15.75" x14ac:dyDescent="0.25">
      <c r="B60"/>
      <c r="C60"/>
      <c r="D60"/>
      <c r="E60"/>
      <c r="F60"/>
      <c r="G60"/>
    </row>
    <row r="61" spans="2:7" ht="15.75" x14ac:dyDescent="0.25">
      <c r="B61"/>
      <c r="C61"/>
      <c r="D61"/>
      <c r="E61"/>
      <c r="F61"/>
      <c r="G61"/>
    </row>
    <row r="62" spans="2:7" ht="15.75" x14ac:dyDescent="0.25">
      <c r="B62"/>
      <c r="C62"/>
      <c r="D62"/>
      <c r="E62"/>
      <c r="F62"/>
      <c r="G62"/>
    </row>
    <row r="63" spans="2:7" ht="15.75" x14ac:dyDescent="0.25">
      <c r="B63"/>
      <c r="C63"/>
      <c r="D63"/>
      <c r="E63"/>
      <c r="F63"/>
      <c r="G63"/>
    </row>
    <row r="64" spans="2:7" ht="15.75" x14ac:dyDescent="0.25">
      <c r="B64"/>
      <c r="C64"/>
      <c r="D64"/>
      <c r="E64"/>
      <c r="F64"/>
      <c r="G64"/>
    </row>
    <row r="65" spans="2:7" ht="15.75" x14ac:dyDescent="0.25">
      <c r="B65"/>
      <c r="C65"/>
      <c r="D65"/>
      <c r="E65"/>
      <c r="F65"/>
      <c r="G65"/>
    </row>
    <row r="66" spans="2:7" ht="15.75" x14ac:dyDescent="0.25">
      <c r="B66"/>
      <c r="C66"/>
      <c r="D66"/>
      <c r="E66"/>
      <c r="F66"/>
      <c r="G66"/>
    </row>
    <row r="67" spans="2:7" ht="15.75" x14ac:dyDescent="0.25">
      <c r="B67"/>
      <c r="C67"/>
      <c r="D67"/>
      <c r="E67"/>
      <c r="F67"/>
      <c r="G67"/>
    </row>
    <row r="68" spans="2:7" ht="15.75" x14ac:dyDescent="0.25">
      <c r="B68"/>
      <c r="C68"/>
      <c r="D68"/>
      <c r="E68"/>
      <c r="F68"/>
      <c r="G68"/>
    </row>
    <row r="69" spans="2:7" ht="15.75" x14ac:dyDescent="0.25">
      <c r="B69"/>
      <c r="C69"/>
      <c r="D69"/>
      <c r="E69"/>
      <c r="F69"/>
      <c r="G69"/>
    </row>
    <row r="70" spans="2:7" ht="15.75" x14ac:dyDescent="0.25">
      <c r="B70"/>
      <c r="C70"/>
      <c r="D70"/>
      <c r="E70"/>
      <c r="F70"/>
      <c r="G70"/>
    </row>
    <row r="71" spans="2:7" ht="15.75" x14ac:dyDescent="0.25">
      <c r="B71"/>
      <c r="C71"/>
      <c r="D71"/>
      <c r="E71"/>
      <c r="F71"/>
      <c r="G71"/>
    </row>
    <row r="72" spans="2:7" ht="15.75" x14ac:dyDescent="0.25">
      <c r="B72"/>
      <c r="C72"/>
      <c r="D72"/>
      <c r="E72"/>
      <c r="F72"/>
      <c r="G72"/>
    </row>
    <row r="73" spans="2:7" ht="15.75" x14ac:dyDescent="0.25">
      <c r="B73"/>
      <c r="C73"/>
      <c r="D73"/>
      <c r="E73"/>
      <c r="F73"/>
      <c r="G73"/>
    </row>
    <row r="74" spans="2:7" ht="15.75" x14ac:dyDescent="0.25">
      <c r="B74"/>
      <c r="C74"/>
      <c r="D74"/>
      <c r="E74"/>
      <c r="F74"/>
      <c r="G74"/>
    </row>
    <row r="75" spans="2:7" ht="15.75" x14ac:dyDescent="0.25">
      <c r="B75"/>
      <c r="C75"/>
      <c r="D75"/>
      <c r="E75"/>
      <c r="F75"/>
      <c r="G75"/>
    </row>
    <row r="76" spans="2:7" ht="15.75" x14ac:dyDescent="0.25">
      <c r="B76"/>
      <c r="C76"/>
      <c r="D76"/>
      <c r="E76"/>
      <c r="F76"/>
      <c r="G76"/>
    </row>
    <row r="77" spans="2:7" ht="15.75" x14ac:dyDescent="0.25">
      <c r="B77"/>
      <c r="C77"/>
      <c r="D77"/>
      <c r="E77"/>
      <c r="F77"/>
      <c r="G77"/>
    </row>
    <row r="78" spans="2:7" ht="15.75" x14ac:dyDescent="0.25">
      <c r="B78"/>
      <c r="C78"/>
      <c r="D78"/>
      <c r="E78"/>
      <c r="F78"/>
      <c r="G78"/>
    </row>
    <row r="79" spans="2:7" ht="15.75" x14ac:dyDescent="0.25">
      <c r="B79"/>
      <c r="C79"/>
      <c r="D79"/>
      <c r="E79"/>
      <c r="F79"/>
      <c r="G79"/>
    </row>
    <row r="80" spans="2:7" ht="15.75" x14ac:dyDescent="0.25">
      <c r="B80"/>
      <c r="C80"/>
      <c r="D80"/>
      <c r="E80"/>
      <c r="F80"/>
      <c r="G80"/>
    </row>
    <row r="81" spans="2:7" ht="15.75" x14ac:dyDescent="0.25">
      <c r="B81"/>
      <c r="C81"/>
      <c r="D81"/>
      <c r="E81"/>
      <c r="F81"/>
      <c r="G81"/>
    </row>
    <row r="82" spans="2:7" ht="15.75" x14ac:dyDescent="0.25">
      <c r="B82"/>
      <c r="C82"/>
      <c r="D82"/>
      <c r="E82"/>
      <c r="F82"/>
      <c r="G82"/>
    </row>
    <row r="83" spans="2:7" ht="15.75" x14ac:dyDescent="0.25">
      <c r="B83"/>
      <c r="C83"/>
      <c r="D83"/>
      <c r="E83"/>
      <c r="F83"/>
      <c r="G83"/>
    </row>
    <row r="84" spans="2:7" ht="15.75" x14ac:dyDescent="0.25">
      <c r="B84"/>
      <c r="C84"/>
      <c r="D84"/>
      <c r="E84"/>
      <c r="F84"/>
      <c r="G84"/>
    </row>
    <row r="85" spans="2:7" ht="15.75" x14ac:dyDescent="0.25">
      <c r="B85"/>
      <c r="C85"/>
      <c r="D85"/>
      <c r="E85"/>
      <c r="F85"/>
      <c r="G85"/>
    </row>
    <row r="86" spans="2:7" ht="15.75" x14ac:dyDescent="0.25">
      <c r="B86"/>
      <c r="C86"/>
      <c r="D86"/>
      <c r="E86"/>
      <c r="F86"/>
      <c r="G86"/>
    </row>
    <row r="87" spans="2:7" ht="15.75" x14ac:dyDescent="0.25">
      <c r="B87"/>
      <c r="C87"/>
      <c r="D87"/>
      <c r="E87"/>
      <c r="F87"/>
      <c r="G87"/>
    </row>
    <row r="88" spans="2:7" ht="15.75" x14ac:dyDescent="0.25">
      <c r="B88"/>
      <c r="C88"/>
      <c r="D88"/>
      <c r="E88"/>
      <c r="F88"/>
      <c r="G88"/>
    </row>
    <row r="89" spans="2:7" ht="15.75" x14ac:dyDescent="0.25">
      <c r="B89"/>
      <c r="C89"/>
      <c r="D89"/>
      <c r="E89"/>
      <c r="F89"/>
      <c r="G89"/>
    </row>
    <row r="90" spans="2:7" ht="15.75" x14ac:dyDescent="0.25">
      <c r="B90"/>
      <c r="C90"/>
      <c r="D90"/>
      <c r="E90"/>
      <c r="F90"/>
      <c r="G90"/>
    </row>
    <row r="91" spans="2:7" ht="15.75" x14ac:dyDescent="0.25">
      <c r="B91"/>
      <c r="C91"/>
      <c r="D91"/>
      <c r="E91"/>
      <c r="F91"/>
      <c r="G91"/>
    </row>
    <row r="92" spans="2:7" ht="15.75" x14ac:dyDescent="0.25">
      <c r="B92"/>
      <c r="C92"/>
      <c r="D92"/>
      <c r="E92"/>
      <c r="F92"/>
      <c r="G92"/>
    </row>
    <row r="93" spans="2:7" ht="15.75" x14ac:dyDescent="0.25">
      <c r="B93"/>
      <c r="C93"/>
      <c r="D93"/>
      <c r="E93"/>
      <c r="F93"/>
      <c r="G93"/>
    </row>
    <row r="94" spans="2:7" ht="15.75" x14ac:dyDescent="0.25">
      <c r="B94"/>
      <c r="C94"/>
      <c r="D94"/>
      <c r="E94"/>
      <c r="F94"/>
      <c r="G94"/>
    </row>
    <row r="95" spans="2:7" ht="15.75" x14ac:dyDescent="0.25">
      <c r="B95"/>
      <c r="C95"/>
      <c r="D95"/>
      <c r="E95"/>
      <c r="F95"/>
      <c r="G95"/>
    </row>
    <row r="96" spans="2:7" ht="15.75" x14ac:dyDescent="0.25">
      <c r="B96"/>
      <c r="C96"/>
      <c r="D96"/>
      <c r="E96"/>
      <c r="F96"/>
      <c r="G96"/>
    </row>
    <row r="97" spans="2:7" ht="15.75" x14ac:dyDescent="0.25">
      <c r="B97"/>
      <c r="C97"/>
      <c r="D97"/>
      <c r="E97"/>
      <c r="F97"/>
      <c r="G97"/>
    </row>
    <row r="98" spans="2:7" ht="15.75" x14ac:dyDescent="0.25">
      <c r="B98"/>
      <c r="C98"/>
      <c r="D98"/>
      <c r="E98"/>
      <c r="F98"/>
      <c r="G98"/>
    </row>
    <row r="99" spans="2:7" ht="15.75" x14ac:dyDescent="0.25">
      <c r="B99"/>
      <c r="C99"/>
      <c r="D99"/>
      <c r="E99"/>
      <c r="F99"/>
      <c r="G99"/>
    </row>
    <row r="100" spans="2:7" ht="15.75" x14ac:dyDescent="0.25">
      <c r="B100"/>
      <c r="C100"/>
      <c r="D100"/>
      <c r="E100"/>
      <c r="F100"/>
      <c r="G100"/>
    </row>
    <row r="101" spans="2:7" ht="15.75" x14ac:dyDescent="0.25">
      <c r="B101"/>
      <c r="C101"/>
      <c r="D101"/>
      <c r="E101"/>
      <c r="F101"/>
      <c r="G101"/>
    </row>
    <row r="102" spans="2:7" ht="15.75" x14ac:dyDescent="0.25">
      <c r="B102"/>
      <c r="C102"/>
      <c r="D102"/>
      <c r="E102"/>
      <c r="F102"/>
      <c r="G102"/>
    </row>
    <row r="103" spans="2:7" ht="15.75" x14ac:dyDescent="0.25">
      <c r="B103"/>
      <c r="C103"/>
      <c r="D103"/>
      <c r="E103"/>
      <c r="F103"/>
      <c r="G103"/>
    </row>
    <row r="104" spans="2:7" ht="15.75" x14ac:dyDescent="0.25">
      <c r="B104"/>
      <c r="C104"/>
      <c r="D104"/>
      <c r="E104"/>
      <c r="F104"/>
      <c r="G104"/>
    </row>
    <row r="105" spans="2:7" ht="15.75" x14ac:dyDescent="0.25">
      <c r="B105"/>
      <c r="C105"/>
      <c r="D105"/>
      <c r="E105"/>
      <c r="F105"/>
      <c r="G105"/>
    </row>
    <row r="106" spans="2:7" ht="15.75" x14ac:dyDescent="0.25">
      <c r="B106"/>
      <c r="C106"/>
      <c r="D106"/>
      <c r="E106"/>
      <c r="F106"/>
      <c r="G106"/>
    </row>
    <row r="107" spans="2:7" ht="15.75" x14ac:dyDescent="0.25">
      <c r="B107"/>
      <c r="C107"/>
      <c r="D107"/>
      <c r="E107"/>
      <c r="F107"/>
      <c r="G107"/>
    </row>
    <row r="108" spans="2:7" ht="15.75" x14ac:dyDescent="0.25">
      <c r="B108"/>
      <c r="C108"/>
      <c r="D108"/>
      <c r="E108"/>
      <c r="F108"/>
      <c r="G108"/>
    </row>
    <row r="109" spans="2:7" ht="15.75" x14ac:dyDescent="0.25">
      <c r="B109"/>
      <c r="C109"/>
      <c r="D109"/>
      <c r="E109"/>
      <c r="F109"/>
      <c r="G109"/>
    </row>
    <row r="110" spans="2:7" ht="15.75" x14ac:dyDescent="0.25">
      <c r="B110"/>
      <c r="C110"/>
      <c r="D110"/>
      <c r="E110"/>
      <c r="F110"/>
      <c r="G110"/>
    </row>
    <row r="111" spans="2:7" ht="15.75" x14ac:dyDescent="0.25">
      <c r="B111"/>
      <c r="C111"/>
      <c r="D111"/>
      <c r="E111"/>
      <c r="F111"/>
      <c r="G111"/>
    </row>
    <row r="112" spans="2:7" ht="15.75" x14ac:dyDescent="0.25">
      <c r="B112"/>
      <c r="C112"/>
      <c r="D112"/>
      <c r="E112"/>
      <c r="F112"/>
      <c r="G112"/>
    </row>
    <row r="113" spans="2:7" ht="15.75" x14ac:dyDescent="0.25">
      <c r="B113"/>
      <c r="C113"/>
      <c r="D113"/>
      <c r="E113"/>
      <c r="F113"/>
      <c r="G113"/>
    </row>
    <row r="114" spans="2:7" ht="15.75" x14ac:dyDescent="0.25">
      <c r="B114"/>
      <c r="C114"/>
      <c r="D114"/>
      <c r="E114"/>
      <c r="F114"/>
      <c r="G114"/>
    </row>
    <row r="115" spans="2:7" ht="15.75" x14ac:dyDescent="0.25">
      <c r="B115"/>
      <c r="C115"/>
      <c r="D115"/>
      <c r="E115"/>
      <c r="F115"/>
      <c r="G115"/>
    </row>
    <row r="116" spans="2:7" ht="15.75" x14ac:dyDescent="0.25">
      <c r="B116"/>
      <c r="C116"/>
      <c r="D116"/>
      <c r="E116"/>
      <c r="F116"/>
    </row>
    <row r="117" spans="2:7" ht="15.75" x14ac:dyDescent="0.25">
      <c r="B117"/>
      <c r="C117"/>
      <c r="D117"/>
      <c r="E117"/>
      <c r="F117"/>
    </row>
    <row r="118" spans="2:7" ht="15.75" x14ac:dyDescent="0.25">
      <c r="B118"/>
      <c r="C118"/>
      <c r="D118"/>
      <c r="E118"/>
      <c r="F118"/>
    </row>
    <row r="119" spans="2:7" ht="15.75" x14ac:dyDescent="0.25">
      <c r="B119"/>
      <c r="C119"/>
      <c r="D119"/>
      <c r="E119"/>
      <c r="F119"/>
    </row>
    <row r="120" spans="2:7" ht="15.75" x14ac:dyDescent="0.25">
      <c r="B120"/>
      <c r="C120"/>
      <c r="D120"/>
      <c r="E120"/>
      <c r="F120"/>
    </row>
    <row r="121" spans="2:7" ht="15.75" x14ac:dyDescent="0.25">
      <c r="B121"/>
      <c r="C121"/>
      <c r="D121"/>
      <c r="E121"/>
      <c r="F121"/>
    </row>
    <row r="122" spans="2:7" ht="15.75" x14ac:dyDescent="0.25">
      <c r="B122"/>
      <c r="C122"/>
      <c r="D122"/>
      <c r="E122"/>
      <c r="F122"/>
    </row>
    <row r="123" spans="2:7" ht="15.75" x14ac:dyDescent="0.25">
      <c r="B123"/>
      <c r="C123"/>
      <c r="D123"/>
      <c r="E123"/>
      <c r="F123"/>
    </row>
    <row r="124" spans="2:7" ht="15.75" x14ac:dyDescent="0.25">
      <c r="B124"/>
      <c r="C124"/>
      <c r="D124"/>
      <c r="E124"/>
      <c r="F124"/>
    </row>
    <row r="125" spans="2:7" ht="15.75" x14ac:dyDescent="0.25">
      <c r="B125"/>
      <c r="C125"/>
      <c r="D125"/>
      <c r="E125"/>
      <c r="F125"/>
    </row>
    <row r="126" spans="2:7" ht="15.75" x14ac:dyDescent="0.25">
      <c r="B126"/>
      <c r="C126"/>
      <c r="D126"/>
      <c r="E126"/>
      <c r="F126"/>
    </row>
    <row r="127" spans="2:7" ht="15.75" x14ac:dyDescent="0.25">
      <c r="B127"/>
      <c r="C127"/>
      <c r="D127"/>
      <c r="E127"/>
      <c r="F127"/>
    </row>
    <row r="128" spans="2:7" ht="15.75" x14ac:dyDescent="0.25">
      <c r="B128"/>
      <c r="C128"/>
      <c r="D128"/>
      <c r="E128"/>
      <c r="F128"/>
    </row>
    <row r="129" spans="2:6" ht="15.75" x14ac:dyDescent="0.25">
      <c r="B129"/>
      <c r="C129"/>
      <c r="D129"/>
      <c r="E129"/>
      <c r="F129"/>
    </row>
    <row r="130" spans="2:6" ht="15.75" x14ac:dyDescent="0.25">
      <c r="B130"/>
      <c r="C130"/>
      <c r="D130"/>
      <c r="E130"/>
      <c r="F130"/>
    </row>
    <row r="131" spans="2:6" ht="15.75" x14ac:dyDescent="0.25">
      <c r="B131"/>
      <c r="C131"/>
      <c r="D131"/>
      <c r="E131"/>
      <c r="F131"/>
    </row>
    <row r="132" spans="2:6" ht="15.75" x14ac:dyDescent="0.25">
      <c r="B132"/>
      <c r="C132"/>
      <c r="D132"/>
      <c r="E132"/>
      <c r="F132"/>
    </row>
    <row r="133" spans="2:6" ht="15.75" x14ac:dyDescent="0.25">
      <c r="B133"/>
      <c r="C133"/>
      <c r="D133"/>
      <c r="E133"/>
      <c r="F133"/>
    </row>
    <row r="134" spans="2:6" ht="15.75" x14ac:dyDescent="0.25">
      <c r="B134"/>
      <c r="C134"/>
      <c r="D134"/>
      <c r="E134"/>
      <c r="F134"/>
    </row>
    <row r="135" spans="2:6" ht="15.75" x14ac:dyDescent="0.25">
      <c r="B135"/>
      <c r="C135"/>
      <c r="D135"/>
      <c r="E135"/>
      <c r="F135"/>
    </row>
    <row r="136" spans="2:6" ht="15.75" x14ac:dyDescent="0.25">
      <c r="B136"/>
      <c r="C136"/>
      <c r="D136"/>
      <c r="E136"/>
      <c r="F136"/>
    </row>
    <row r="137" spans="2:6" ht="15.75" x14ac:dyDescent="0.25">
      <c r="B137"/>
      <c r="C137"/>
      <c r="D137"/>
      <c r="E137"/>
      <c r="F137"/>
    </row>
    <row r="138" spans="2:6" ht="15.75" x14ac:dyDescent="0.25">
      <c r="B138"/>
      <c r="C138"/>
      <c r="D138"/>
      <c r="E138"/>
      <c r="F138"/>
    </row>
    <row r="139" spans="2:6" ht="15.75" x14ac:dyDescent="0.25">
      <c r="B139"/>
      <c r="C139"/>
      <c r="D139"/>
      <c r="E139"/>
      <c r="F139"/>
    </row>
    <row r="140" spans="2:6" ht="15.75" x14ac:dyDescent="0.25">
      <c r="B140"/>
      <c r="C140"/>
      <c r="D140"/>
      <c r="E140"/>
      <c r="F140"/>
    </row>
    <row r="141" spans="2:6" ht="15.75" x14ac:dyDescent="0.25">
      <c r="B141"/>
      <c r="C141"/>
      <c r="D141"/>
      <c r="E141"/>
      <c r="F141"/>
    </row>
    <row r="142" spans="2:6" ht="15.75" x14ac:dyDescent="0.25">
      <c r="B142"/>
      <c r="C142"/>
      <c r="D142"/>
      <c r="E142"/>
      <c r="F142"/>
    </row>
    <row r="143" spans="2:6" ht="15.75" x14ac:dyDescent="0.25">
      <c r="B143"/>
      <c r="C143"/>
      <c r="D143"/>
      <c r="E143"/>
      <c r="F143"/>
    </row>
    <row r="144" spans="2:6" ht="15.75" x14ac:dyDescent="0.25">
      <c r="B144"/>
      <c r="C144"/>
      <c r="D144"/>
      <c r="E144"/>
      <c r="F144"/>
    </row>
    <row r="145" spans="2:6" ht="15.75" x14ac:dyDescent="0.25">
      <c r="B145"/>
      <c r="C145"/>
      <c r="D145"/>
      <c r="E145"/>
      <c r="F145"/>
    </row>
    <row r="146" spans="2:6" ht="15.75" x14ac:dyDescent="0.25">
      <c r="B146"/>
      <c r="C146"/>
      <c r="D146"/>
      <c r="E146"/>
      <c r="F146"/>
    </row>
    <row r="147" spans="2:6" ht="15.75" x14ac:dyDescent="0.25">
      <c r="B147"/>
      <c r="C147"/>
      <c r="D147"/>
      <c r="E147"/>
      <c r="F147"/>
    </row>
    <row r="148" spans="2:6" ht="15.75" x14ac:dyDescent="0.25">
      <c r="B148"/>
      <c r="C148"/>
      <c r="D148"/>
      <c r="E148"/>
      <c r="F148"/>
    </row>
    <row r="149" spans="2:6" ht="15.75" x14ac:dyDescent="0.25">
      <c r="B149"/>
      <c r="C149"/>
      <c r="D149"/>
      <c r="E149"/>
      <c r="F149"/>
    </row>
    <row r="150" spans="2:6" ht="15.75" x14ac:dyDescent="0.25">
      <c r="B150"/>
      <c r="C150"/>
      <c r="D150"/>
      <c r="E150"/>
      <c r="F150"/>
    </row>
    <row r="151" spans="2:6" ht="15.75" x14ac:dyDescent="0.25">
      <c r="B151"/>
      <c r="C151"/>
      <c r="D151"/>
      <c r="E151"/>
      <c r="F151"/>
    </row>
    <row r="152" spans="2:6" ht="15.75" x14ac:dyDescent="0.25">
      <c r="B152"/>
      <c r="C152"/>
      <c r="D152"/>
      <c r="E152"/>
      <c r="F152"/>
    </row>
    <row r="153" spans="2:6" ht="15.75" x14ac:dyDescent="0.25">
      <c r="B153"/>
      <c r="C153"/>
      <c r="D153"/>
      <c r="E153"/>
      <c r="F153"/>
    </row>
    <row r="154" spans="2:6" ht="15.75" x14ac:dyDescent="0.25">
      <c r="B154"/>
      <c r="C154"/>
      <c r="D154"/>
      <c r="E154"/>
      <c r="F154"/>
    </row>
    <row r="155" spans="2:6" ht="15.75" x14ac:dyDescent="0.25">
      <c r="B155"/>
      <c r="C155"/>
      <c r="D155"/>
      <c r="E155"/>
      <c r="F155"/>
    </row>
    <row r="156" spans="2:6" ht="15.75" x14ac:dyDescent="0.25">
      <c r="B156"/>
      <c r="C156"/>
      <c r="D156"/>
      <c r="E156"/>
      <c r="F156"/>
    </row>
    <row r="157" spans="2:6" ht="15.75" x14ac:dyDescent="0.25">
      <c r="B157"/>
      <c r="C157"/>
      <c r="D157"/>
      <c r="E157"/>
      <c r="F157"/>
    </row>
    <row r="158" spans="2:6" ht="15.75" x14ac:dyDescent="0.25">
      <c r="B158"/>
      <c r="C158"/>
      <c r="D158"/>
      <c r="E158"/>
      <c r="F158"/>
    </row>
    <row r="159" spans="2:6" ht="15.75" x14ac:dyDescent="0.25">
      <c r="B159"/>
      <c r="C159"/>
      <c r="D159"/>
      <c r="E159"/>
      <c r="F159"/>
    </row>
    <row r="160" spans="2:6" ht="15.75" x14ac:dyDescent="0.25">
      <c r="B160"/>
      <c r="C160"/>
      <c r="D160"/>
      <c r="E160"/>
      <c r="F160"/>
    </row>
    <row r="161" spans="2:6" ht="15.75" x14ac:dyDescent="0.25">
      <c r="B161"/>
      <c r="C161"/>
      <c r="D161"/>
      <c r="E161"/>
      <c r="F161"/>
    </row>
    <row r="162" spans="2:6" ht="15.75" x14ac:dyDescent="0.25">
      <c r="B162"/>
      <c r="C162"/>
      <c r="D162"/>
      <c r="E162"/>
      <c r="F162"/>
    </row>
    <row r="163" spans="2:6" ht="15.75" x14ac:dyDescent="0.25">
      <c r="B163"/>
      <c r="C163"/>
      <c r="D163"/>
      <c r="E163"/>
      <c r="F163"/>
    </row>
    <row r="164" spans="2:6" ht="15.75" x14ac:dyDescent="0.25">
      <c r="B164"/>
      <c r="C164"/>
      <c r="D164"/>
      <c r="E164"/>
      <c r="F164"/>
    </row>
    <row r="165" spans="2:6" ht="15.75" x14ac:dyDescent="0.25">
      <c r="B165"/>
      <c r="C165"/>
      <c r="D165"/>
      <c r="E165"/>
      <c r="F165"/>
    </row>
    <row r="166" spans="2:6" ht="15.75" x14ac:dyDescent="0.25">
      <c r="B166"/>
      <c r="C166"/>
      <c r="D166"/>
      <c r="E166"/>
      <c r="F166"/>
    </row>
    <row r="167" spans="2:6" ht="15.75" x14ac:dyDescent="0.25">
      <c r="B167"/>
      <c r="C167"/>
      <c r="D167"/>
      <c r="E167"/>
      <c r="F167"/>
    </row>
    <row r="168" spans="2:6" ht="15.75" x14ac:dyDescent="0.25">
      <c r="B168"/>
      <c r="C168"/>
      <c r="D168"/>
      <c r="E168"/>
      <c r="F168"/>
    </row>
    <row r="169" spans="2:6" ht="15.75" x14ac:dyDescent="0.25">
      <c r="B169"/>
      <c r="C169"/>
      <c r="D169"/>
      <c r="E169"/>
      <c r="F169"/>
    </row>
    <row r="170" spans="2:6" ht="15.75" x14ac:dyDescent="0.25">
      <c r="B170"/>
      <c r="C170"/>
      <c r="D170"/>
      <c r="E170"/>
      <c r="F170"/>
    </row>
    <row r="171" spans="2:6" ht="15.75" x14ac:dyDescent="0.25">
      <c r="B171"/>
      <c r="C171"/>
      <c r="D171"/>
      <c r="E171"/>
      <c r="F171"/>
    </row>
    <row r="172" spans="2:6" ht="15.75" x14ac:dyDescent="0.25">
      <c r="B172"/>
      <c r="C172"/>
      <c r="D172"/>
      <c r="E172"/>
      <c r="F172"/>
    </row>
    <row r="173" spans="2:6" ht="15.75" x14ac:dyDescent="0.25">
      <c r="B173"/>
      <c r="C173"/>
      <c r="D173"/>
      <c r="E173"/>
      <c r="F173"/>
    </row>
    <row r="174" spans="2:6" ht="15.75" x14ac:dyDescent="0.25">
      <c r="B174"/>
      <c r="C174"/>
      <c r="D174"/>
      <c r="E174"/>
      <c r="F174"/>
    </row>
    <row r="175" spans="2:6" ht="15.75" x14ac:dyDescent="0.25">
      <c r="B175"/>
      <c r="C175"/>
      <c r="D175"/>
      <c r="E175"/>
      <c r="F175"/>
    </row>
    <row r="176" spans="2:6" ht="15.75" x14ac:dyDescent="0.25">
      <c r="B176"/>
      <c r="C176"/>
      <c r="D176"/>
      <c r="E176"/>
      <c r="F176"/>
    </row>
    <row r="177" spans="2:6" ht="15.75" x14ac:dyDescent="0.25">
      <c r="B177"/>
      <c r="C177"/>
      <c r="D177"/>
      <c r="E177"/>
      <c r="F177"/>
    </row>
    <row r="178" spans="2:6" ht="15.75" x14ac:dyDescent="0.25">
      <c r="B178"/>
      <c r="C178"/>
      <c r="D178"/>
      <c r="E178"/>
      <c r="F178"/>
    </row>
    <row r="179" spans="2:6" ht="15.75" x14ac:dyDescent="0.25">
      <c r="B179"/>
      <c r="C179"/>
      <c r="D179"/>
      <c r="E179"/>
      <c r="F179"/>
    </row>
    <row r="180" spans="2:6" ht="15.75" x14ac:dyDescent="0.25">
      <c r="B180"/>
      <c r="C180"/>
      <c r="D180"/>
      <c r="E180"/>
      <c r="F180"/>
    </row>
    <row r="181" spans="2:6" ht="15.75" x14ac:dyDescent="0.25">
      <c r="B181"/>
      <c r="C181"/>
      <c r="D181"/>
      <c r="E181"/>
      <c r="F181"/>
    </row>
    <row r="182" spans="2:6" ht="15.75" x14ac:dyDescent="0.25">
      <c r="B182"/>
      <c r="C182"/>
      <c r="D182"/>
      <c r="E182"/>
      <c r="F182"/>
    </row>
    <row r="183" spans="2:6" ht="15.75" x14ac:dyDescent="0.25">
      <c r="B183"/>
      <c r="C183"/>
      <c r="D183"/>
      <c r="E183"/>
      <c r="F183"/>
    </row>
    <row r="184" spans="2:6" ht="15.75" x14ac:dyDescent="0.25">
      <c r="B184"/>
      <c r="C184"/>
      <c r="D184"/>
      <c r="E184"/>
      <c r="F184"/>
    </row>
    <row r="185" spans="2:6" ht="15.75" x14ac:dyDescent="0.25">
      <c r="B185"/>
      <c r="C185"/>
      <c r="D185"/>
      <c r="E185"/>
      <c r="F185"/>
    </row>
    <row r="186" spans="2:6" ht="15.75" x14ac:dyDescent="0.25">
      <c r="B186"/>
      <c r="C186"/>
      <c r="D186"/>
      <c r="E186"/>
      <c r="F186"/>
    </row>
    <row r="187" spans="2:6" ht="15.75" x14ac:dyDescent="0.25">
      <c r="B187"/>
      <c r="C187"/>
      <c r="D187"/>
      <c r="E187"/>
      <c r="F187"/>
    </row>
    <row r="188" spans="2:6" ht="15.75" x14ac:dyDescent="0.25">
      <c r="B188"/>
      <c r="C188"/>
      <c r="D188"/>
      <c r="E188"/>
      <c r="F188"/>
    </row>
    <row r="189" spans="2:6" ht="15.75" x14ac:dyDescent="0.25">
      <c r="B189"/>
      <c r="C189"/>
      <c r="D189"/>
      <c r="E189"/>
      <c r="F189"/>
    </row>
    <row r="190" spans="2:6" ht="15.75" x14ac:dyDescent="0.25">
      <c r="B190"/>
      <c r="C190"/>
      <c r="D190"/>
      <c r="E190"/>
      <c r="F190"/>
    </row>
    <row r="191" spans="2:6" ht="15.75" x14ac:dyDescent="0.25">
      <c r="B191"/>
      <c r="C191"/>
      <c r="D191"/>
      <c r="E191"/>
      <c r="F191"/>
    </row>
    <row r="192" spans="2:6" ht="15.75" x14ac:dyDescent="0.25">
      <c r="B192"/>
      <c r="C192"/>
      <c r="D192"/>
      <c r="E192"/>
      <c r="F192"/>
    </row>
    <row r="193" spans="2:6" ht="15.75" x14ac:dyDescent="0.25">
      <c r="B193"/>
      <c r="C193"/>
      <c r="D193"/>
      <c r="E193"/>
      <c r="F193"/>
    </row>
    <row r="194" spans="2:6" ht="15.75" x14ac:dyDescent="0.25">
      <c r="B194"/>
      <c r="C194"/>
      <c r="D194"/>
      <c r="E194"/>
      <c r="F194"/>
    </row>
    <row r="195" spans="2:6" ht="15.75" x14ac:dyDescent="0.25">
      <c r="B195"/>
      <c r="C195"/>
      <c r="D195"/>
      <c r="E195"/>
      <c r="F195"/>
    </row>
    <row r="196" spans="2:6" ht="15.75" x14ac:dyDescent="0.25">
      <c r="B196"/>
      <c r="C196"/>
      <c r="D196"/>
      <c r="E196"/>
      <c r="F196"/>
    </row>
    <row r="197" spans="2:6" ht="15.75" x14ac:dyDescent="0.25">
      <c r="B197"/>
      <c r="C197"/>
      <c r="D197"/>
      <c r="E197"/>
      <c r="F197"/>
    </row>
    <row r="198" spans="2:6" ht="15.75" x14ac:dyDescent="0.25">
      <c r="B198"/>
      <c r="C198"/>
      <c r="D198"/>
      <c r="E198"/>
      <c r="F198"/>
    </row>
    <row r="199" spans="2:6" ht="15.75" x14ac:dyDescent="0.25">
      <c r="B199"/>
      <c r="C199"/>
      <c r="D199"/>
      <c r="E199"/>
      <c r="F199"/>
    </row>
    <row r="200" spans="2:6" ht="15.75" x14ac:dyDescent="0.25">
      <c r="B200"/>
      <c r="C200"/>
      <c r="D200"/>
      <c r="E200"/>
      <c r="F200"/>
    </row>
    <row r="201" spans="2:6" ht="15.75" x14ac:dyDescent="0.25">
      <c r="B201"/>
      <c r="C201"/>
      <c r="D201"/>
      <c r="E201"/>
      <c r="F201"/>
    </row>
    <row r="202" spans="2:6" ht="15.75" x14ac:dyDescent="0.25">
      <c r="B202"/>
      <c r="C202"/>
      <c r="D202"/>
      <c r="E202"/>
      <c r="F202"/>
    </row>
    <row r="203" spans="2:6" ht="15.75" x14ac:dyDescent="0.25">
      <c r="B203"/>
      <c r="C203"/>
      <c r="D203"/>
      <c r="E203"/>
      <c r="F203"/>
    </row>
    <row r="204" spans="2:6" ht="15.75" x14ac:dyDescent="0.25">
      <c r="B204"/>
      <c r="C204"/>
      <c r="D204"/>
      <c r="E204"/>
      <c r="F204"/>
    </row>
    <row r="205" spans="2:6" ht="15.75" x14ac:dyDescent="0.25">
      <c r="B205"/>
      <c r="C205"/>
      <c r="D205"/>
      <c r="E205"/>
      <c r="F205"/>
    </row>
    <row r="206" spans="2:6" ht="15.75" x14ac:dyDescent="0.25">
      <c r="B206"/>
      <c r="C206"/>
      <c r="D206"/>
      <c r="E206"/>
      <c r="F206"/>
    </row>
    <row r="207" spans="2:6" ht="15.75" x14ac:dyDescent="0.25">
      <c r="B207"/>
      <c r="C207"/>
      <c r="D207"/>
      <c r="E207"/>
      <c r="F207"/>
    </row>
    <row r="208" spans="2:6" ht="15.75" x14ac:dyDescent="0.25">
      <c r="B208"/>
      <c r="C208"/>
      <c r="D208"/>
      <c r="E208"/>
      <c r="F208"/>
    </row>
    <row r="209" spans="2:6" ht="15.75" x14ac:dyDescent="0.25">
      <c r="B209"/>
      <c r="C209"/>
      <c r="D209"/>
      <c r="E209"/>
      <c r="F209"/>
    </row>
    <row r="210" spans="2:6" ht="15.75" x14ac:dyDescent="0.25">
      <c r="B210"/>
      <c r="C210"/>
      <c r="D210"/>
      <c r="E210"/>
      <c r="F210"/>
    </row>
    <row r="211" spans="2:6" ht="15.75" x14ac:dyDescent="0.25">
      <c r="B211"/>
      <c r="C211"/>
      <c r="D211"/>
      <c r="E211"/>
      <c r="F211"/>
    </row>
    <row r="212" spans="2:6" ht="15.75" x14ac:dyDescent="0.25">
      <c r="B212"/>
      <c r="C212"/>
      <c r="D212"/>
      <c r="E212"/>
      <c r="F212"/>
    </row>
    <row r="213" spans="2:6" ht="15.75" x14ac:dyDescent="0.25">
      <c r="B213"/>
      <c r="C213"/>
      <c r="D213"/>
      <c r="E213"/>
      <c r="F213"/>
    </row>
    <row r="214" spans="2:6" ht="15.75" x14ac:dyDescent="0.25">
      <c r="B214"/>
      <c r="C214"/>
      <c r="D214"/>
      <c r="E214"/>
      <c r="F214"/>
    </row>
    <row r="215" spans="2:6" ht="15.75" x14ac:dyDescent="0.25">
      <c r="B215"/>
      <c r="C215"/>
      <c r="D215"/>
      <c r="E215"/>
      <c r="F215"/>
    </row>
    <row r="216" spans="2:6" ht="15.75" x14ac:dyDescent="0.25">
      <c r="B216"/>
      <c r="C216"/>
      <c r="D216"/>
      <c r="E216"/>
      <c r="F216"/>
    </row>
    <row r="217" spans="2:6" ht="15.75" x14ac:dyDescent="0.25">
      <c r="B217"/>
      <c r="C217"/>
      <c r="D217"/>
      <c r="E217"/>
      <c r="F217"/>
    </row>
    <row r="218" spans="2:6" ht="15.75" x14ac:dyDescent="0.25">
      <c r="B218"/>
      <c r="C218"/>
      <c r="D218"/>
      <c r="E218"/>
      <c r="F218"/>
    </row>
    <row r="219" spans="2:6" ht="15.75" x14ac:dyDescent="0.25">
      <c r="B219"/>
      <c r="C219"/>
      <c r="D219"/>
      <c r="E219"/>
      <c r="F219"/>
    </row>
    <row r="220" spans="2:6" ht="15.75" x14ac:dyDescent="0.25">
      <c r="B220"/>
      <c r="C220"/>
      <c r="D220"/>
      <c r="E220"/>
      <c r="F220"/>
    </row>
    <row r="221" spans="2:6" ht="15.75" x14ac:dyDescent="0.25">
      <c r="B221"/>
      <c r="C221"/>
      <c r="D221"/>
      <c r="E221"/>
      <c r="F221"/>
    </row>
    <row r="222" spans="2:6" ht="15.75" x14ac:dyDescent="0.25">
      <c r="B222"/>
      <c r="C222"/>
      <c r="D222"/>
      <c r="E222"/>
      <c r="F222"/>
    </row>
    <row r="223" spans="2:6" ht="15.75" x14ac:dyDescent="0.25">
      <c r="B223"/>
      <c r="C223"/>
      <c r="D223"/>
      <c r="E223"/>
      <c r="F223"/>
    </row>
    <row r="224" spans="2:6" ht="15.75" x14ac:dyDescent="0.25">
      <c r="B224"/>
      <c r="C224"/>
      <c r="D224"/>
      <c r="E224"/>
      <c r="F224"/>
    </row>
    <row r="225" spans="2:6" ht="15.75" x14ac:dyDescent="0.25">
      <c r="B225"/>
      <c r="C225"/>
      <c r="D225"/>
      <c r="E225"/>
      <c r="F225"/>
    </row>
    <row r="226" spans="2:6" ht="15.75" x14ac:dyDescent="0.25">
      <c r="B226"/>
      <c r="C226"/>
      <c r="D226"/>
      <c r="E226"/>
      <c r="F226"/>
    </row>
    <row r="227" spans="2:6" ht="15.75" x14ac:dyDescent="0.25">
      <c r="B227"/>
      <c r="C227"/>
      <c r="D227"/>
      <c r="E227"/>
      <c r="F227"/>
    </row>
    <row r="228" spans="2:6" ht="15.75" x14ac:dyDescent="0.25">
      <c r="B228"/>
      <c r="C228"/>
      <c r="D228"/>
      <c r="E228"/>
      <c r="F228"/>
    </row>
    <row r="229" spans="2:6" ht="15.75" x14ac:dyDescent="0.25">
      <c r="B229"/>
      <c r="C229"/>
      <c r="D229"/>
      <c r="E229"/>
      <c r="F229"/>
    </row>
    <row r="230" spans="2:6" ht="15.75" x14ac:dyDescent="0.25">
      <c r="B230"/>
      <c r="C230"/>
      <c r="D230"/>
      <c r="E230"/>
      <c r="F230"/>
    </row>
    <row r="231" spans="2:6" ht="15.75" x14ac:dyDescent="0.25">
      <c r="B231"/>
      <c r="C231"/>
      <c r="D231"/>
      <c r="E231"/>
      <c r="F231"/>
    </row>
    <row r="232" spans="2:6" ht="15.75" x14ac:dyDescent="0.25">
      <c r="B232"/>
      <c r="C232"/>
      <c r="D232"/>
      <c r="E232"/>
      <c r="F232"/>
    </row>
    <row r="233" spans="2:6" ht="15.75" x14ac:dyDescent="0.25">
      <c r="B233"/>
      <c r="C233"/>
      <c r="D233"/>
      <c r="E233"/>
      <c r="F233"/>
    </row>
    <row r="234" spans="2:6" ht="15.75" x14ac:dyDescent="0.25">
      <c r="B234"/>
      <c r="C234"/>
      <c r="D234"/>
      <c r="E234"/>
      <c r="F234"/>
    </row>
    <row r="235" spans="2:6" ht="15.75" x14ac:dyDescent="0.25">
      <c r="B235"/>
      <c r="C235"/>
      <c r="D235"/>
      <c r="E235"/>
      <c r="F235"/>
    </row>
    <row r="236" spans="2:6" ht="15.75" x14ac:dyDescent="0.25">
      <c r="B236"/>
      <c r="C236"/>
      <c r="D236"/>
      <c r="E236"/>
      <c r="F236"/>
    </row>
    <row r="237" spans="2:6" ht="15.75" x14ac:dyDescent="0.25">
      <c r="B237"/>
      <c r="C237"/>
      <c r="D237"/>
      <c r="E237"/>
      <c r="F237"/>
    </row>
    <row r="238" spans="2:6" ht="15.75" x14ac:dyDescent="0.25">
      <c r="B238"/>
      <c r="C238"/>
      <c r="D238"/>
      <c r="E238"/>
      <c r="F238"/>
    </row>
    <row r="239" spans="2:6" ht="15.75" x14ac:dyDescent="0.25">
      <c r="B239"/>
      <c r="C239"/>
      <c r="D239"/>
      <c r="E239"/>
      <c r="F239"/>
    </row>
    <row r="240" spans="2:6" ht="15.75" x14ac:dyDescent="0.25">
      <c r="B240"/>
      <c r="C240"/>
      <c r="D240"/>
      <c r="E240"/>
      <c r="F240"/>
    </row>
    <row r="241" spans="2:6" ht="15.75" x14ac:dyDescent="0.25">
      <c r="B241"/>
      <c r="C241"/>
      <c r="D241"/>
      <c r="E241"/>
      <c r="F241"/>
    </row>
    <row r="242" spans="2:6" ht="15.75" x14ac:dyDescent="0.25">
      <c r="B242"/>
      <c r="C242"/>
      <c r="D242"/>
      <c r="E242"/>
      <c r="F242"/>
    </row>
    <row r="243" spans="2:6" ht="15.75" x14ac:dyDescent="0.25">
      <c r="B243"/>
      <c r="C243"/>
      <c r="D243"/>
      <c r="E243"/>
      <c r="F243"/>
    </row>
    <row r="244" spans="2:6" ht="15.75" x14ac:dyDescent="0.25">
      <c r="B244"/>
      <c r="C244"/>
      <c r="D244"/>
      <c r="E244"/>
      <c r="F244"/>
    </row>
    <row r="245" spans="2:6" ht="15.75" x14ac:dyDescent="0.25">
      <c r="B245"/>
      <c r="C245"/>
      <c r="D245"/>
      <c r="E245"/>
      <c r="F245"/>
    </row>
    <row r="246" spans="2:6" ht="15.75" x14ac:dyDescent="0.25">
      <c r="B246"/>
      <c r="C246"/>
      <c r="D246"/>
      <c r="E246"/>
      <c r="F246"/>
    </row>
    <row r="247" spans="2:6" ht="15.75" x14ac:dyDescent="0.25">
      <c r="B247"/>
      <c r="C247"/>
      <c r="D247"/>
      <c r="E247"/>
      <c r="F247"/>
    </row>
    <row r="248" spans="2:6" ht="15.75" x14ac:dyDescent="0.25">
      <c r="B248"/>
      <c r="C248"/>
      <c r="D248"/>
      <c r="E248"/>
      <c r="F248"/>
    </row>
    <row r="249" spans="2:6" ht="15.75" x14ac:dyDescent="0.25">
      <c r="B249"/>
      <c r="C249"/>
      <c r="D249"/>
      <c r="E249"/>
      <c r="F249"/>
    </row>
    <row r="250" spans="2:6" ht="15.75" x14ac:dyDescent="0.25">
      <c r="B250"/>
      <c r="C250"/>
      <c r="D250"/>
      <c r="E250"/>
      <c r="F250"/>
    </row>
    <row r="251" spans="2:6" ht="15.75" x14ac:dyDescent="0.25">
      <c r="B251"/>
      <c r="C251"/>
      <c r="D251"/>
      <c r="E251"/>
      <c r="F251"/>
    </row>
    <row r="252" spans="2:6" ht="15.75" x14ac:dyDescent="0.25">
      <c r="B252"/>
      <c r="C252"/>
      <c r="D252"/>
      <c r="E252"/>
      <c r="F252"/>
    </row>
    <row r="253" spans="2:6" ht="15.75" x14ac:dyDescent="0.25">
      <c r="B253"/>
      <c r="C253"/>
      <c r="D253"/>
      <c r="E253"/>
      <c r="F253"/>
    </row>
    <row r="254" spans="2:6" ht="15.75" x14ac:dyDescent="0.25">
      <c r="B254"/>
      <c r="C254"/>
      <c r="D254"/>
      <c r="E254"/>
      <c r="F254"/>
    </row>
    <row r="255" spans="2:6" ht="15.75" x14ac:dyDescent="0.25">
      <c r="B255"/>
      <c r="C255"/>
      <c r="D255"/>
      <c r="E255"/>
      <c r="F255"/>
    </row>
    <row r="256" spans="2:6" ht="15.75" x14ac:dyDescent="0.25">
      <c r="B256"/>
      <c r="C256"/>
      <c r="D256"/>
      <c r="E256"/>
      <c r="F256"/>
    </row>
    <row r="257" spans="2:6" ht="15.75" x14ac:dyDescent="0.25">
      <c r="B257"/>
      <c r="C257"/>
      <c r="D257"/>
      <c r="E257"/>
      <c r="F257"/>
    </row>
    <row r="258" spans="2:6" ht="15.75" x14ac:dyDescent="0.25">
      <c r="B258"/>
      <c r="C258"/>
      <c r="D258"/>
      <c r="E258"/>
      <c r="F258"/>
    </row>
    <row r="259" spans="2:6" ht="15.75" x14ac:dyDescent="0.25">
      <c r="B259"/>
      <c r="C259"/>
      <c r="D259"/>
      <c r="E259"/>
      <c r="F259"/>
    </row>
    <row r="260" spans="2:6" ht="15.75" x14ac:dyDescent="0.25">
      <c r="B260"/>
      <c r="C260"/>
      <c r="D260"/>
      <c r="E260"/>
      <c r="F260"/>
    </row>
    <row r="261" spans="2:6" ht="15.75" x14ac:dyDescent="0.25">
      <c r="B261"/>
      <c r="C261"/>
      <c r="D261"/>
      <c r="E261"/>
      <c r="F261"/>
    </row>
    <row r="262" spans="2:6" ht="15.75" x14ac:dyDescent="0.25">
      <c r="B262"/>
      <c r="C262"/>
      <c r="D262"/>
      <c r="E262"/>
      <c r="F262"/>
    </row>
    <row r="263" spans="2:6" ht="15.75" x14ac:dyDescent="0.25">
      <c r="B263"/>
      <c r="C263"/>
      <c r="D263"/>
      <c r="E263"/>
      <c r="F263"/>
    </row>
    <row r="264" spans="2:6" ht="15.75" x14ac:dyDescent="0.25">
      <c r="B264"/>
      <c r="C264"/>
      <c r="D264"/>
      <c r="E264"/>
      <c r="F264"/>
    </row>
    <row r="265" spans="2:6" ht="15.75" x14ac:dyDescent="0.25">
      <c r="B265"/>
      <c r="C265"/>
      <c r="D265"/>
      <c r="E265"/>
      <c r="F265"/>
    </row>
    <row r="266" spans="2:6" ht="15.75" x14ac:dyDescent="0.25">
      <c r="B266"/>
      <c r="C266"/>
      <c r="D266"/>
      <c r="E266"/>
      <c r="F266"/>
    </row>
    <row r="267" spans="2:6" ht="15.75" x14ac:dyDescent="0.25">
      <c r="B267"/>
      <c r="C267"/>
      <c r="D267"/>
      <c r="E267"/>
      <c r="F267"/>
    </row>
    <row r="268" spans="2:6" ht="15.75" x14ac:dyDescent="0.25">
      <c r="B268"/>
      <c r="C268"/>
      <c r="D268"/>
      <c r="E268"/>
      <c r="F268"/>
    </row>
    <row r="269" spans="2:6" ht="15.75" x14ac:dyDescent="0.25">
      <c r="B269"/>
      <c r="C269"/>
      <c r="D269"/>
      <c r="E269"/>
      <c r="F269"/>
    </row>
    <row r="270" spans="2:6" ht="15.75" x14ac:dyDescent="0.25">
      <c r="B270"/>
      <c r="C270"/>
      <c r="D270"/>
      <c r="E270"/>
      <c r="F270"/>
    </row>
    <row r="271" spans="2:6" ht="15.75" x14ac:dyDescent="0.25">
      <c r="B271"/>
      <c r="C271"/>
      <c r="D271"/>
      <c r="E271"/>
      <c r="F271"/>
    </row>
    <row r="272" spans="2:6" ht="15.75" x14ac:dyDescent="0.25">
      <c r="B272"/>
      <c r="C272"/>
      <c r="D272"/>
      <c r="E272"/>
      <c r="F272"/>
    </row>
    <row r="273" spans="2:6" ht="15.75" x14ac:dyDescent="0.25">
      <c r="B273"/>
      <c r="C273"/>
      <c r="D273"/>
      <c r="E273"/>
      <c r="F273"/>
    </row>
    <row r="274" spans="2:6" ht="15.75" x14ac:dyDescent="0.25">
      <c r="B274"/>
      <c r="C274"/>
      <c r="D274"/>
      <c r="E274"/>
      <c r="F274"/>
    </row>
    <row r="275" spans="2:6" ht="15.75" x14ac:dyDescent="0.25">
      <c r="B275"/>
      <c r="C275"/>
      <c r="D275"/>
      <c r="E275"/>
      <c r="F275"/>
    </row>
    <row r="276" spans="2:6" ht="15.75" x14ac:dyDescent="0.25">
      <c r="B276"/>
      <c r="C276"/>
      <c r="D276"/>
      <c r="E276"/>
      <c r="F276"/>
    </row>
    <row r="277" spans="2:6" ht="15.75" x14ac:dyDescent="0.25">
      <c r="B277"/>
      <c r="C277"/>
      <c r="D277"/>
      <c r="E277"/>
      <c r="F277"/>
    </row>
    <row r="278" spans="2:6" ht="15.75" x14ac:dyDescent="0.25">
      <c r="B278"/>
      <c r="C278"/>
      <c r="D278"/>
      <c r="E278"/>
      <c r="F278"/>
    </row>
    <row r="279" spans="2:6" ht="15.75" x14ac:dyDescent="0.25">
      <c r="B279"/>
      <c r="C279"/>
      <c r="D279"/>
      <c r="E279"/>
      <c r="F279"/>
    </row>
    <row r="280" spans="2:6" ht="15.75" x14ac:dyDescent="0.25">
      <c r="B280"/>
      <c r="C280"/>
      <c r="D280"/>
      <c r="E280"/>
      <c r="F280"/>
    </row>
    <row r="281" spans="2:6" ht="15.75" x14ac:dyDescent="0.25">
      <c r="B281"/>
      <c r="C281"/>
      <c r="D281"/>
      <c r="E281"/>
      <c r="F281"/>
    </row>
    <row r="282" spans="2:6" ht="15.75" x14ac:dyDescent="0.25">
      <c r="B282"/>
      <c r="C282"/>
      <c r="D282"/>
      <c r="E282"/>
      <c r="F282"/>
    </row>
    <row r="283" spans="2:6" ht="15.75" x14ac:dyDescent="0.25">
      <c r="B283"/>
      <c r="C283"/>
      <c r="D283"/>
      <c r="E283"/>
      <c r="F283"/>
    </row>
  </sheetData>
  <sheetProtection algorithmName="SHA-512" hashValue="F0t3jpIrmIhgw/D1xg8MPHl6TZm99F2II80lSf2Gcdyhsq5DNCHy0LLPEbpjlZ7mpVurcBMmyjwj+tu+WRDa7w==" saltValue="1LqjXcF7/wyP42DCHU+3GQ==" spinCount="100000" sheet="1" objects="1" scenarios="1" pivotTables="0"/>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3825" r:id="rId5" name="Button 1">
              <controlPr defaultSize="0" print="0" autoFill="0" autoPict="0" macro="[0]!Goto_Menu1">
                <anchor>
                  <from>
                    <xdr:col>1</xdr:col>
                    <xdr:colOff>19050</xdr:colOff>
                    <xdr:row>0</xdr:row>
                    <xdr:rowOff>171450</xdr:rowOff>
                  </from>
                  <to>
                    <xdr:col>1</xdr:col>
                    <xdr:colOff>1095375</xdr:colOff>
                    <xdr:row>2</xdr:row>
                    <xdr:rowOff>66675</xdr:rowOff>
                  </to>
                </anchor>
              </controlPr>
            </control>
          </mc:Choice>
        </mc:AlternateContent>
        <mc:AlternateContent xmlns:mc="http://schemas.openxmlformats.org/markup-compatibility/2006">
          <mc:Choice Requires="x14">
            <control shapeId="6093826" r:id="rId6" name="Button 2">
              <controlPr defaultSize="0" print="0" autoFill="0" autoPict="0" macro="[0]!Goto_Calculation_Sheet">
                <anchor>
                  <from>
                    <xdr:col>1</xdr:col>
                    <xdr:colOff>1123950</xdr:colOff>
                    <xdr:row>0</xdr:row>
                    <xdr:rowOff>171450</xdr:rowOff>
                  </from>
                  <to>
                    <xdr:col>2</xdr:col>
                    <xdr:colOff>561975</xdr:colOff>
                    <xdr:row>3</xdr:row>
                    <xdr:rowOff>161925</xdr:rowOff>
                  </to>
                </anchor>
              </controlPr>
            </control>
          </mc:Choice>
        </mc:AlternateContent>
        <mc:AlternateContent xmlns:mc="http://schemas.openxmlformats.org/markup-compatibility/2006">
          <mc:Choice Requires="x14">
            <control shapeId="6093827" r:id="rId7" name="Button 3">
              <controlPr defaultSize="0" print="0" autoFill="0" autoPict="0" macro="[0]!Goto_Help4">
                <anchor>
                  <from>
                    <xdr:col>1</xdr:col>
                    <xdr:colOff>19050</xdr:colOff>
                    <xdr:row>2</xdr:row>
                    <xdr:rowOff>85725</xdr:rowOff>
                  </from>
                  <to>
                    <xdr:col>1</xdr:col>
                    <xdr:colOff>1095375</xdr:colOff>
                    <xdr:row>3</xdr:row>
                    <xdr:rowOff>161925</xdr:rowOff>
                  </to>
                </anchor>
              </controlPr>
            </control>
          </mc:Choice>
        </mc:AlternateContent>
        <mc:AlternateContent xmlns:mc="http://schemas.openxmlformats.org/markup-compatibility/2006">
          <mc:Choice Requires="x14">
            <control shapeId="6093828" r:id="rId8" name="Button 4">
              <controlPr defaultSize="0" print="0" autoFill="0" autoPict="0" macro="[0]!Goto_PivotChart4">
                <anchor>
                  <from>
                    <xdr:col>5</xdr:col>
                    <xdr:colOff>847725</xdr:colOff>
                    <xdr:row>1</xdr:row>
                    <xdr:rowOff>171450</xdr:rowOff>
                  </from>
                  <to>
                    <xdr:col>5</xdr:col>
                    <xdr:colOff>1857375</xdr:colOff>
                    <xdr:row>3</xdr:row>
                    <xdr:rowOff>190500</xdr:rowOff>
                  </to>
                </anchor>
              </controlPr>
            </control>
          </mc:Choice>
        </mc:AlternateContent>
        <mc:AlternateContent xmlns:mc="http://schemas.openxmlformats.org/markup-compatibility/2006">
          <mc:Choice Requires="x14">
            <control shapeId="6093829" r:id="rId9" name="Button 5">
              <controlPr defaultSize="0" print="0" autoFill="0" autoPict="0" macro="[0]!Goto_PivotChart2">
                <anchor>
                  <from>
                    <xdr:col>5</xdr:col>
                    <xdr:colOff>1876425</xdr:colOff>
                    <xdr:row>1</xdr:row>
                    <xdr:rowOff>171450</xdr:rowOff>
                  </from>
                  <to>
                    <xdr:col>6</xdr:col>
                    <xdr:colOff>857250</xdr:colOff>
                    <xdr:row>3</xdr:row>
                    <xdr:rowOff>190500</xdr:rowOff>
                  </to>
                </anchor>
              </controlPr>
            </control>
          </mc:Choice>
        </mc:AlternateContent>
        <mc:AlternateContent xmlns:mc="http://schemas.openxmlformats.org/markup-compatibility/2006">
          <mc:Choice Requires="x14">
            <control shapeId="6093830" r:id="rId10" name="Button 6">
              <controlPr defaultSize="0" print="0" autoFill="0" autoPict="0" macro="[0]!Goto_PivotChart3">
                <anchor>
                  <from>
                    <xdr:col>6</xdr:col>
                    <xdr:colOff>876300</xdr:colOff>
                    <xdr:row>1</xdr:row>
                    <xdr:rowOff>171450</xdr:rowOff>
                  </from>
                  <to>
                    <xdr:col>7</xdr:col>
                    <xdr:colOff>447675</xdr:colOff>
                    <xdr:row>3</xdr:row>
                    <xdr:rowOff>190500</xdr:rowOff>
                  </to>
                </anchor>
              </controlPr>
            </control>
          </mc:Choice>
        </mc:AlternateContent>
        <mc:AlternateContent xmlns:mc="http://schemas.openxmlformats.org/markup-compatibility/2006">
          <mc:Choice Requires="x14">
            <control shapeId="6093831" r:id="rId11" name="Button 7">
              <controlPr defaultSize="0" print="0" autoFill="0" autoPict="0" macro="[0]!Goto_PivotChart1">
                <anchor>
                  <from>
                    <xdr:col>4</xdr:col>
                    <xdr:colOff>1838325</xdr:colOff>
                    <xdr:row>1</xdr:row>
                    <xdr:rowOff>171450</xdr:rowOff>
                  </from>
                  <to>
                    <xdr:col>5</xdr:col>
                    <xdr:colOff>828675</xdr:colOff>
                    <xdr:row>3</xdr:row>
                    <xdr:rowOff>190500</xdr:rowOff>
                  </to>
                </anchor>
              </controlPr>
            </control>
          </mc:Choice>
        </mc:AlternateContent>
        <mc:AlternateContent xmlns:mc="http://schemas.openxmlformats.org/markup-compatibility/2006">
          <mc:Choice Requires="x14">
            <control shapeId="6093832" r:id="rId12" name="Button 8">
              <controlPr defaultSize="0" print="0" autoFill="0" autoPict="0">
                <anchor>
                  <from>
                    <xdr:col>4</xdr:col>
                    <xdr:colOff>1847850</xdr:colOff>
                    <xdr:row>0</xdr:row>
                    <xdr:rowOff>171450</xdr:rowOff>
                  </from>
                  <to>
                    <xdr:col>7</xdr:col>
                    <xdr:colOff>447675</xdr:colOff>
                    <xdr:row>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Y314"/>
  <sheetViews>
    <sheetView showGridLines="0" showRowColHeaders="0" workbookViewId="0">
      <selection activeCell="J171" sqref="J171"/>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s="575" customFormat="1" hidden="1" x14ac:dyDescent="0.25"/>
    <row r="6" spans="1:129" s="923" customFormat="1" ht="15" hidden="1" x14ac:dyDescent="0.25">
      <c r="B6" s="1113" t="s">
        <v>725</v>
      </c>
      <c r="C6" s="1114" t="s">
        <v>703</v>
      </c>
      <c r="E6" s="1113" t="s">
        <v>726</v>
      </c>
      <c r="F6" s="1114" t="s">
        <v>771</v>
      </c>
    </row>
    <row r="7" spans="1:129" s="923" customFormat="1" ht="15" hidden="1" x14ac:dyDescent="0.25"/>
    <row r="8" spans="1:129" s="923" customFormat="1" hidden="1" x14ac:dyDescent="0.25">
      <c r="B8" s="1114"/>
      <c r="C8" s="1114"/>
      <c r="D8" s="1113" t="s">
        <v>709</v>
      </c>
      <c r="E8" s="1114"/>
      <c r="F8" s="1114"/>
      <c r="G8" s="575"/>
      <c r="H8" s="575"/>
      <c r="I8" s="575"/>
      <c r="J8" s="575"/>
      <c r="K8" s="575"/>
      <c r="L8" s="575"/>
      <c r="M8" s="575"/>
      <c r="N8" s="575"/>
      <c r="O8" s="575"/>
      <c r="P8" s="575"/>
      <c r="Q8" s="575"/>
      <c r="R8" s="575"/>
      <c r="S8" s="575"/>
      <c r="T8" s="575"/>
      <c r="U8" s="575"/>
      <c r="V8" s="575"/>
      <c r="W8" s="575"/>
      <c r="X8" s="575"/>
      <c r="Y8" s="575"/>
      <c r="Z8" s="575"/>
      <c r="AA8" s="575"/>
      <c r="AB8" s="575"/>
      <c r="AC8" s="575"/>
      <c r="AD8" s="575"/>
      <c r="AE8" s="575"/>
      <c r="AF8" s="575"/>
      <c r="AG8" s="575"/>
      <c r="AH8" s="575"/>
      <c r="AI8" s="575"/>
      <c r="AJ8" s="575"/>
      <c r="AK8" s="575"/>
      <c r="AL8" s="575"/>
      <c r="AM8" s="575"/>
      <c r="AN8" s="575"/>
      <c r="AO8" s="575"/>
      <c r="AP8" s="575"/>
      <c r="AQ8" s="575"/>
      <c r="AR8" s="575"/>
      <c r="AS8" s="575"/>
      <c r="AT8" s="575"/>
      <c r="AU8" s="575"/>
      <c r="AV8" s="575"/>
      <c r="AW8" s="575"/>
      <c r="AX8" s="575"/>
      <c r="AY8" s="575"/>
      <c r="AZ8" s="575"/>
      <c r="BA8" s="575"/>
      <c r="BB8" s="575"/>
      <c r="BC8" s="575"/>
      <c r="BD8" s="575"/>
      <c r="BE8" s="575"/>
      <c r="BF8" s="575"/>
      <c r="BG8" s="575"/>
      <c r="BH8" s="575"/>
      <c r="BI8" s="575"/>
      <c r="BJ8" s="575"/>
      <c r="BK8" s="575"/>
      <c r="BL8" s="575"/>
      <c r="BM8" s="575"/>
      <c r="BN8" s="575"/>
      <c r="BO8" s="575"/>
      <c r="BP8" s="575"/>
      <c r="BQ8" s="575"/>
      <c r="BR8" s="575"/>
      <c r="BS8" s="575"/>
      <c r="BT8" s="575"/>
      <c r="BU8" s="575"/>
      <c r="BV8" s="575"/>
      <c r="BW8" s="575"/>
      <c r="BX8" s="575"/>
      <c r="BY8" s="575"/>
      <c r="BZ8" s="575"/>
      <c r="CA8" s="575"/>
      <c r="CB8" s="575"/>
      <c r="CC8" s="575"/>
      <c r="CD8" s="575"/>
      <c r="CE8" s="575"/>
      <c r="CF8" s="575"/>
      <c r="CG8" s="575"/>
      <c r="CH8" s="575"/>
      <c r="CI8" s="575"/>
      <c r="CJ8" s="575"/>
      <c r="CK8" s="575"/>
      <c r="CL8" s="575"/>
      <c r="CM8" s="575"/>
      <c r="CN8" s="575"/>
      <c r="CO8" s="575"/>
      <c r="CP8" s="575"/>
      <c r="CQ8" s="575"/>
      <c r="CR8" s="575"/>
      <c r="CS8" s="575"/>
      <c r="CT8" s="575"/>
      <c r="CU8" s="575"/>
      <c r="CV8" s="575"/>
      <c r="CW8" s="575"/>
      <c r="CX8" s="575"/>
      <c r="CY8" s="575"/>
      <c r="CZ8" s="575"/>
      <c r="DA8" s="575"/>
      <c r="DB8" s="575"/>
      <c r="DC8" s="575"/>
      <c r="DD8" s="575"/>
      <c r="DE8" s="575"/>
      <c r="DF8" s="575"/>
      <c r="DG8" s="575"/>
      <c r="DH8" s="575"/>
      <c r="DI8" s="575"/>
      <c r="DJ8" s="575"/>
      <c r="DK8" s="575"/>
      <c r="DL8" s="575"/>
      <c r="DM8" s="575"/>
      <c r="DN8" s="575"/>
      <c r="DO8" s="575"/>
      <c r="DP8" s="575"/>
      <c r="DQ8" s="575"/>
      <c r="DR8" s="575"/>
      <c r="DS8" s="575"/>
      <c r="DT8" s="575"/>
      <c r="DU8" s="575"/>
      <c r="DV8" s="575"/>
      <c r="DW8" s="575"/>
      <c r="DX8" s="575"/>
      <c r="DY8" s="575"/>
    </row>
    <row r="9" spans="1:129" s="923" customFormat="1" hidden="1" x14ac:dyDescent="0.25">
      <c r="B9" s="1113" t="s">
        <v>683</v>
      </c>
      <c r="C9" s="1113" t="s">
        <v>684</v>
      </c>
      <c r="D9" s="1114" t="s">
        <v>686</v>
      </c>
      <c r="E9" s="1114" t="s">
        <v>762</v>
      </c>
      <c r="F9" s="1114" t="s">
        <v>691</v>
      </c>
      <c r="G9" s="575"/>
      <c r="H9" s="575"/>
      <c r="I9" s="575"/>
      <c r="J9" s="575"/>
      <c r="K9" s="575"/>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5"/>
      <c r="BC9" s="575"/>
      <c r="BD9" s="575"/>
      <c r="BE9" s="575"/>
      <c r="BF9" s="575"/>
      <c r="BG9" s="575"/>
      <c r="BH9" s="575"/>
      <c r="BI9" s="575"/>
      <c r="BJ9" s="575"/>
      <c r="BK9" s="575"/>
      <c r="BL9" s="575"/>
      <c r="BM9" s="575"/>
      <c r="BN9" s="575"/>
      <c r="BO9" s="575"/>
      <c r="BP9" s="575"/>
      <c r="BQ9" s="575"/>
      <c r="BR9" s="575"/>
      <c r="BS9" s="575"/>
      <c r="BT9" s="575"/>
      <c r="BU9" s="575"/>
      <c r="BV9" s="575"/>
      <c r="BW9" s="575"/>
      <c r="BX9" s="575"/>
      <c r="BY9" s="575"/>
      <c r="BZ9" s="575"/>
      <c r="CA9" s="575"/>
      <c r="CB9" s="575"/>
      <c r="CC9" s="575"/>
      <c r="CD9" s="575"/>
      <c r="CE9" s="575"/>
      <c r="CF9" s="575"/>
      <c r="CG9" s="575"/>
      <c r="CH9" s="575"/>
      <c r="CI9" s="575"/>
      <c r="CJ9" s="575"/>
      <c r="CK9" s="575"/>
      <c r="CL9" s="575"/>
      <c r="CM9" s="575"/>
      <c r="CN9" s="575"/>
      <c r="CO9" s="575"/>
      <c r="CP9" s="575"/>
      <c r="CQ9" s="575"/>
      <c r="CR9" s="575"/>
      <c r="CS9" s="575"/>
      <c r="CT9" s="575"/>
      <c r="CU9" s="575"/>
      <c r="CV9" s="575"/>
      <c r="CW9" s="575"/>
      <c r="CX9" s="575"/>
      <c r="CY9" s="575"/>
      <c r="CZ9" s="575"/>
      <c r="DA9" s="575"/>
      <c r="DB9" s="575"/>
      <c r="DC9" s="575"/>
      <c r="DD9" s="575"/>
      <c r="DE9" s="575"/>
      <c r="DF9" s="575"/>
      <c r="DG9" s="575"/>
      <c r="DH9" s="575"/>
      <c r="DI9" s="575"/>
      <c r="DJ9" s="575"/>
      <c r="DK9" s="575"/>
      <c r="DL9" s="575"/>
      <c r="DM9" s="575"/>
      <c r="DN9" s="575"/>
      <c r="DO9" s="575"/>
      <c r="DP9" s="575"/>
      <c r="DQ9" s="575"/>
      <c r="DR9" s="575"/>
      <c r="DS9" s="575"/>
      <c r="DT9" s="575"/>
      <c r="DU9" s="575"/>
      <c r="DV9" s="575"/>
      <c r="DW9" s="575"/>
      <c r="DX9" s="575"/>
      <c r="DY9" s="575"/>
    </row>
    <row r="10" spans="1:129" s="923" customFormat="1" hidden="1" x14ac:dyDescent="0.25">
      <c r="B10" s="1115">
        <v>41883</v>
      </c>
      <c r="C10" s="1114" t="s">
        <v>773</v>
      </c>
      <c r="D10" s="1116">
        <v>1.0599276190476192</v>
      </c>
      <c r="E10" s="1116">
        <v>1</v>
      </c>
      <c r="F10" s="1116">
        <v>1.111915</v>
      </c>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5"/>
      <c r="BC10" s="575"/>
      <c r="BD10" s="575"/>
      <c r="BE10" s="575"/>
      <c r="BF10" s="575"/>
      <c r="BG10" s="575"/>
      <c r="BH10" s="575"/>
      <c r="BI10" s="575"/>
      <c r="BJ10" s="575"/>
      <c r="BK10" s="575"/>
      <c r="BL10" s="575"/>
      <c r="BM10" s="575"/>
      <c r="BN10" s="575"/>
      <c r="BO10" s="575"/>
      <c r="BP10" s="575"/>
      <c r="BQ10" s="575"/>
      <c r="BR10" s="575"/>
      <c r="BS10" s="575"/>
      <c r="BT10" s="575"/>
      <c r="BU10" s="575"/>
      <c r="BV10" s="575"/>
      <c r="BW10" s="575"/>
      <c r="BX10" s="575"/>
      <c r="BY10" s="575"/>
      <c r="BZ10" s="575"/>
      <c r="CA10" s="575"/>
      <c r="CB10" s="575"/>
      <c r="CC10" s="575"/>
      <c r="CD10" s="575"/>
      <c r="CE10" s="575"/>
      <c r="CF10" s="575"/>
      <c r="CG10" s="575"/>
      <c r="CH10" s="575"/>
      <c r="CI10" s="575"/>
      <c r="CJ10" s="575"/>
      <c r="CK10" s="575"/>
      <c r="CL10" s="575"/>
      <c r="CM10" s="575"/>
      <c r="CN10" s="575"/>
      <c r="CO10" s="575"/>
      <c r="CP10" s="575"/>
      <c r="CQ10" s="575"/>
      <c r="CR10" s="575"/>
      <c r="CS10" s="575"/>
      <c r="CT10" s="575"/>
      <c r="CU10" s="575"/>
      <c r="CV10" s="575"/>
      <c r="CW10" s="575"/>
      <c r="CX10" s="575"/>
      <c r="CY10" s="575"/>
      <c r="CZ10" s="575"/>
      <c r="DA10" s="575"/>
      <c r="DB10" s="575"/>
      <c r="DC10" s="575"/>
      <c r="DD10" s="575"/>
      <c r="DE10" s="575"/>
      <c r="DF10" s="575"/>
      <c r="DG10" s="575"/>
      <c r="DH10" s="575"/>
      <c r="DI10" s="575"/>
      <c r="DJ10" s="575"/>
      <c r="DK10" s="575"/>
      <c r="DL10" s="575"/>
      <c r="DM10" s="575"/>
      <c r="DN10" s="575"/>
      <c r="DO10" s="575"/>
      <c r="DP10" s="575"/>
      <c r="DQ10" s="575"/>
      <c r="DR10" s="575"/>
      <c r="DS10" s="575"/>
      <c r="DT10" s="575"/>
      <c r="DU10" s="575"/>
      <c r="DV10" s="575"/>
      <c r="DW10" s="575"/>
      <c r="DX10" s="575"/>
      <c r="DY10" s="575"/>
    </row>
    <row r="11" spans="1:129" s="923" customFormat="1" hidden="1" x14ac:dyDescent="0.25">
      <c r="B11" s="1115">
        <v>41897</v>
      </c>
      <c r="C11" s="1114" t="s">
        <v>774</v>
      </c>
      <c r="D11" s="1116">
        <v>1.0372895238095239</v>
      </c>
      <c r="E11" s="1116">
        <v>1</v>
      </c>
      <c r="F11" s="1116">
        <v>1.2427699999999999</v>
      </c>
      <c r="G11" s="575"/>
      <c r="H11" s="575"/>
      <c r="I11" s="575"/>
      <c r="J11" s="575"/>
      <c r="K11" s="575"/>
      <c r="L11" s="575"/>
      <c r="M11" s="575"/>
      <c r="N11" s="575"/>
      <c r="O11" s="575"/>
      <c r="P11" s="575"/>
      <c r="Q11" s="575"/>
      <c r="R11" s="575"/>
      <c r="S11" s="575"/>
      <c r="T11" s="575"/>
      <c r="U11" s="575"/>
      <c r="V11" s="575"/>
      <c r="W11" s="575"/>
      <c r="X11" s="575"/>
      <c r="Y11" s="575"/>
      <c r="Z11" s="575"/>
      <c r="AA11" s="575"/>
      <c r="AB11" s="575"/>
      <c r="AC11" s="575"/>
      <c r="AD11" s="575"/>
      <c r="AE11" s="575"/>
      <c r="AF11" s="575"/>
      <c r="AG11" s="575"/>
      <c r="AH11" s="575"/>
      <c r="AI11" s="575"/>
      <c r="AJ11" s="575"/>
      <c r="AK11" s="575"/>
      <c r="AL11" s="575"/>
      <c r="AM11" s="575"/>
      <c r="AN11" s="575"/>
      <c r="AO11" s="575"/>
      <c r="AP11" s="575"/>
      <c r="AQ11" s="575"/>
      <c r="AR11" s="575"/>
      <c r="AS11" s="575"/>
      <c r="AT11" s="575"/>
      <c r="AU11" s="575"/>
      <c r="AV11" s="575"/>
      <c r="AW11" s="575"/>
      <c r="AX11" s="575"/>
      <c r="AY11" s="575"/>
      <c r="AZ11" s="575"/>
      <c r="BA11" s="575"/>
      <c r="BB11" s="575"/>
      <c r="BC11" s="575"/>
      <c r="BD11" s="575"/>
      <c r="BE11" s="575"/>
      <c r="BF11" s="575"/>
      <c r="BG11" s="575"/>
      <c r="BH11" s="575"/>
      <c r="BI11" s="575"/>
      <c r="BJ11" s="575"/>
      <c r="BK11" s="575"/>
      <c r="BL11" s="575"/>
      <c r="BM11" s="575"/>
      <c r="BN11" s="575"/>
      <c r="BO11" s="575"/>
      <c r="BP11" s="575"/>
      <c r="BQ11" s="575"/>
      <c r="BR11" s="575"/>
      <c r="BS11" s="575"/>
      <c r="BT11" s="575"/>
      <c r="BU11" s="575"/>
      <c r="BV11" s="575"/>
      <c r="BW11" s="575"/>
      <c r="BX11" s="575"/>
      <c r="BY11" s="575"/>
      <c r="BZ11" s="575"/>
      <c r="CA11" s="575"/>
      <c r="CB11" s="575"/>
      <c r="CC11" s="575"/>
      <c r="CD11" s="575"/>
      <c r="CE11" s="575"/>
      <c r="CF11" s="575"/>
      <c r="CG11" s="575"/>
      <c r="CH11" s="575"/>
      <c r="CI11" s="575"/>
      <c r="CJ11" s="575"/>
      <c r="CK11" s="575"/>
      <c r="CL11" s="575"/>
      <c r="CM11" s="575"/>
      <c r="CN11" s="575"/>
      <c r="CO11" s="575"/>
      <c r="CP11" s="575"/>
      <c r="CQ11" s="575"/>
      <c r="CR11" s="575"/>
      <c r="CS11" s="575"/>
      <c r="CT11" s="575"/>
      <c r="CU11" s="575"/>
      <c r="CV11" s="575"/>
      <c r="CW11" s="575"/>
      <c r="CX11" s="575"/>
      <c r="CY11" s="575"/>
      <c r="CZ11" s="575"/>
      <c r="DA11" s="575"/>
      <c r="DB11" s="575"/>
      <c r="DC11" s="575"/>
      <c r="DD11" s="575"/>
      <c r="DE11" s="575"/>
      <c r="DF11" s="575"/>
      <c r="DG11" s="575"/>
      <c r="DH11" s="575"/>
      <c r="DI11" s="575"/>
      <c r="DJ11" s="575"/>
      <c r="DK11" s="575"/>
      <c r="DL11" s="575"/>
      <c r="DM11" s="575"/>
      <c r="DN11" s="575"/>
      <c r="DO11" s="575"/>
      <c r="DP11" s="575"/>
      <c r="DQ11" s="575"/>
      <c r="DR11" s="575"/>
      <c r="DS11" s="575"/>
      <c r="DT11" s="575"/>
      <c r="DU11" s="575"/>
      <c r="DV11" s="575"/>
      <c r="DW11" s="575"/>
      <c r="DX11" s="575"/>
      <c r="DY11" s="575"/>
    </row>
    <row r="12" spans="1:129" s="923" customFormat="1" hidden="1" x14ac:dyDescent="0.25">
      <c r="B12" s="1115">
        <v>41912</v>
      </c>
      <c r="C12" s="1114" t="s">
        <v>813</v>
      </c>
      <c r="D12" s="1116">
        <v>1.0599133333333333</v>
      </c>
      <c r="E12" s="1116">
        <v>1</v>
      </c>
      <c r="F12" s="1116">
        <v>1.0779999999999998</v>
      </c>
      <c r="G12" s="575"/>
      <c r="H12" s="575"/>
      <c r="I12" s="575"/>
      <c r="J12" s="575"/>
      <c r="K12" s="575"/>
      <c r="L12" s="575"/>
      <c r="M12" s="575"/>
      <c r="N12" s="575"/>
      <c r="O12" s="575"/>
      <c r="P12" s="575"/>
      <c r="Q12" s="575"/>
      <c r="R12" s="575"/>
      <c r="S12" s="575"/>
      <c r="T12" s="575"/>
      <c r="U12" s="575"/>
      <c r="V12" s="575"/>
      <c r="W12" s="575"/>
      <c r="X12" s="575"/>
      <c r="Y12" s="575"/>
      <c r="Z12" s="575"/>
      <c r="AA12" s="575"/>
      <c r="AB12" s="575"/>
      <c r="AC12" s="575"/>
      <c r="AD12" s="575"/>
      <c r="AE12" s="575"/>
      <c r="AF12" s="575"/>
      <c r="AG12" s="575"/>
      <c r="AH12" s="575"/>
      <c r="AI12" s="575"/>
      <c r="AJ12" s="575"/>
      <c r="AK12" s="575"/>
      <c r="AL12" s="575"/>
      <c r="AM12" s="575"/>
      <c r="AN12" s="575"/>
      <c r="AO12" s="575"/>
      <c r="AP12" s="575"/>
      <c r="AQ12" s="575"/>
      <c r="AR12" s="575"/>
      <c r="AS12" s="575"/>
      <c r="AT12" s="575"/>
      <c r="AU12" s="575"/>
      <c r="AV12" s="575"/>
      <c r="AW12" s="575"/>
      <c r="AX12" s="575"/>
      <c r="AY12" s="575"/>
      <c r="AZ12" s="575"/>
      <c r="BA12" s="575"/>
      <c r="BB12" s="575"/>
      <c r="BC12" s="575"/>
      <c r="BD12" s="575"/>
      <c r="BE12" s="575"/>
      <c r="BF12" s="575"/>
      <c r="BG12" s="575"/>
      <c r="BH12" s="575"/>
      <c r="BI12" s="575"/>
      <c r="BJ12" s="575"/>
      <c r="BK12" s="575"/>
      <c r="BL12" s="575"/>
      <c r="BM12" s="575"/>
      <c r="BN12" s="575"/>
      <c r="BO12" s="575"/>
      <c r="BP12" s="575"/>
      <c r="BQ12" s="575"/>
      <c r="BR12" s="575"/>
      <c r="BS12" s="575"/>
      <c r="BT12" s="575"/>
      <c r="BU12" s="575"/>
      <c r="BV12" s="575"/>
      <c r="BW12" s="575"/>
      <c r="BX12" s="575"/>
      <c r="BY12" s="575"/>
      <c r="BZ12" s="575"/>
      <c r="CA12" s="575"/>
      <c r="CB12" s="575"/>
      <c r="CC12" s="575"/>
      <c r="CD12" s="575"/>
      <c r="CE12" s="575"/>
      <c r="CF12" s="575"/>
      <c r="CG12" s="575"/>
      <c r="CH12" s="575"/>
      <c r="CI12" s="575"/>
      <c r="CJ12" s="575"/>
      <c r="CK12" s="575"/>
      <c r="CL12" s="575"/>
      <c r="CM12" s="575"/>
      <c r="CN12" s="575"/>
      <c r="CO12" s="575"/>
      <c r="CP12" s="575"/>
      <c r="CQ12" s="575"/>
      <c r="CR12" s="575"/>
      <c r="CS12" s="575"/>
      <c r="CT12" s="575"/>
      <c r="CU12" s="575"/>
      <c r="CV12" s="575"/>
      <c r="CW12" s="575"/>
      <c r="CX12" s="575"/>
      <c r="CY12" s="575"/>
      <c r="CZ12" s="575"/>
      <c r="DA12" s="575"/>
      <c r="DB12" s="575"/>
      <c r="DC12" s="575"/>
      <c r="DD12" s="575"/>
      <c r="DE12" s="575"/>
      <c r="DF12" s="575"/>
      <c r="DG12" s="575"/>
      <c r="DH12" s="575"/>
      <c r="DI12" s="575"/>
      <c r="DJ12" s="575"/>
      <c r="DK12" s="575"/>
      <c r="DL12" s="575"/>
      <c r="DM12" s="575"/>
      <c r="DN12" s="575"/>
      <c r="DO12" s="575"/>
      <c r="DP12" s="575"/>
      <c r="DQ12" s="575"/>
      <c r="DR12" s="575"/>
      <c r="DS12" s="575"/>
      <c r="DT12" s="575"/>
      <c r="DU12" s="575"/>
      <c r="DV12" s="575"/>
      <c r="DW12" s="575"/>
      <c r="DX12" s="575"/>
      <c r="DY12" s="575"/>
    </row>
    <row r="13" spans="1:129" s="923" customFormat="1" hidden="1" x14ac:dyDescent="0.25">
      <c r="B13"/>
      <c r="C13"/>
      <c r="D13"/>
      <c r="E13"/>
      <c r="F13"/>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c r="AM13" s="575"/>
      <c r="AN13" s="575"/>
      <c r="AO13" s="575"/>
      <c r="AP13" s="575"/>
      <c r="AQ13" s="575"/>
      <c r="AR13" s="575"/>
      <c r="AS13" s="575"/>
      <c r="AT13" s="575"/>
      <c r="AU13" s="575"/>
      <c r="AV13" s="575"/>
      <c r="AW13" s="575"/>
      <c r="AX13" s="575"/>
      <c r="AY13" s="575"/>
      <c r="AZ13" s="575"/>
      <c r="BA13" s="575"/>
      <c r="BB13" s="575"/>
      <c r="BC13" s="575"/>
      <c r="BD13" s="575"/>
      <c r="BE13" s="575"/>
      <c r="BF13" s="575"/>
      <c r="BG13" s="575"/>
      <c r="BH13" s="575"/>
      <c r="BI13" s="575"/>
      <c r="BJ13" s="575"/>
      <c r="BK13" s="575"/>
      <c r="BL13" s="575"/>
      <c r="BM13" s="575"/>
      <c r="BN13" s="575"/>
      <c r="BO13" s="575"/>
      <c r="BP13" s="575"/>
      <c r="BQ13" s="575"/>
      <c r="BR13" s="575"/>
      <c r="BS13" s="575"/>
      <c r="BT13" s="575"/>
      <c r="BU13" s="575"/>
      <c r="BV13" s="575"/>
      <c r="BW13" s="575"/>
      <c r="BX13" s="575"/>
      <c r="BY13" s="575"/>
      <c r="BZ13" s="575"/>
      <c r="CA13" s="575"/>
      <c r="CB13" s="575"/>
      <c r="CC13" s="575"/>
      <c r="CD13" s="575"/>
      <c r="CE13" s="575"/>
      <c r="CF13" s="575"/>
      <c r="CG13" s="575"/>
      <c r="CH13" s="575"/>
      <c r="CI13" s="575"/>
      <c r="CJ13" s="575"/>
      <c r="CK13" s="575"/>
      <c r="CL13" s="575"/>
      <c r="CM13" s="575"/>
      <c r="CN13" s="575"/>
      <c r="CO13" s="575"/>
      <c r="CP13" s="575"/>
      <c r="CQ13" s="575"/>
      <c r="CR13" s="575"/>
      <c r="CS13" s="575"/>
      <c r="CT13" s="575"/>
      <c r="CU13" s="575"/>
      <c r="CV13" s="575"/>
      <c r="CW13" s="575"/>
      <c r="CX13" s="575"/>
      <c r="CY13" s="575"/>
      <c r="CZ13" s="575"/>
      <c r="DA13" s="575"/>
      <c r="DB13" s="575"/>
      <c r="DC13" s="575"/>
      <c r="DD13" s="575"/>
      <c r="DE13" s="575"/>
      <c r="DF13" s="575"/>
      <c r="DG13" s="575"/>
      <c r="DH13" s="575"/>
      <c r="DI13" s="575"/>
      <c r="DJ13" s="575"/>
      <c r="DK13" s="575"/>
      <c r="DL13" s="575"/>
      <c r="DM13" s="575"/>
      <c r="DN13" s="575"/>
      <c r="DO13" s="575"/>
      <c r="DP13" s="575"/>
      <c r="DQ13" s="575"/>
      <c r="DR13" s="575"/>
      <c r="DS13" s="575"/>
      <c r="DT13" s="575"/>
      <c r="DU13" s="575"/>
      <c r="DV13" s="575"/>
      <c r="DW13" s="575"/>
      <c r="DX13" s="575"/>
      <c r="DY13" s="575"/>
    </row>
    <row r="14" spans="1:129" s="923" customFormat="1" hidden="1" x14ac:dyDescent="0.25">
      <c r="B14"/>
      <c r="C14"/>
      <c r="D14"/>
      <c r="E14"/>
      <c r="F14"/>
      <c r="G14" s="575"/>
      <c r="H14" s="575"/>
      <c r="I14" s="575"/>
      <c r="J14" s="575"/>
      <c r="K14" s="575"/>
      <c r="L14" s="575"/>
      <c r="M14" s="575"/>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575"/>
      <c r="BI14" s="575"/>
      <c r="BJ14" s="575"/>
      <c r="BK14" s="575"/>
      <c r="BL14" s="575"/>
      <c r="BM14" s="575"/>
      <c r="BN14" s="575"/>
      <c r="BO14" s="575"/>
      <c r="BP14" s="575"/>
      <c r="BQ14" s="575"/>
      <c r="BR14" s="575"/>
      <c r="BS14" s="575"/>
      <c r="BT14" s="575"/>
      <c r="BU14" s="575"/>
      <c r="BV14" s="575"/>
      <c r="BW14" s="575"/>
      <c r="BX14" s="575"/>
      <c r="BY14" s="575"/>
      <c r="BZ14" s="575"/>
      <c r="CA14" s="575"/>
      <c r="CB14" s="575"/>
      <c r="CC14" s="575"/>
      <c r="CD14" s="575"/>
      <c r="CE14" s="575"/>
      <c r="CF14" s="575"/>
      <c r="CG14" s="575"/>
      <c r="CH14" s="575"/>
      <c r="CI14" s="575"/>
      <c r="CJ14" s="575"/>
      <c r="CK14" s="575"/>
      <c r="CL14" s="575"/>
      <c r="CM14" s="575"/>
      <c r="CN14" s="575"/>
      <c r="CO14" s="575"/>
      <c r="CP14" s="575"/>
      <c r="CQ14" s="575"/>
      <c r="CR14" s="575"/>
      <c r="CS14" s="575"/>
      <c r="CT14" s="575"/>
      <c r="CU14" s="575"/>
      <c r="CV14" s="575"/>
      <c r="CW14" s="575"/>
      <c r="CX14" s="575"/>
      <c r="CY14" s="575"/>
      <c r="CZ14" s="575"/>
      <c r="DA14" s="575"/>
      <c r="DB14" s="575"/>
      <c r="DC14" s="575"/>
      <c r="DD14" s="575"/>
      <c r="DE14" s="575"/>
      <c r="DF14" s="575"/>
      <c r="DG14" s="575"/>
      <c r="DH14" s="575"/>
      <c r="DI14" s="575"/>
      <c r="DJ14" s="575"/>
      <c r="DK14" s="575"/>
      <c r="DL14" s="575"/>
      <c r="DM14" s="575"/>
      <c r="DN14" s="575"/>
      <c r="DO14" s="575"/>
      <c r="DP14" s="575"/>
      <c r="DQ14" s="575"/>
      <c r="DR14" s="575"/>
      <c r="DS14" s="575"/>
      <c r="DT14" s="575"/>
      <c r="DU14" s="575"/>
      <c r="DV14" s="575"/>
      <c r="DW14" s="575"/>
      <c r="DX14" s="575"/>
      <c r="DY14" s="575"/>
    </row>
    <row r="15" spans="1:129" s="923" customFormat="1" hidden="1" x14ac:dyDescent="0.25">
      <c r="B15"/>
      <c r="C15"/>
      <c r="D15"/>
      <c r="E15"/>
      <c r="F15"/>
      <c r="G15" s="575"/>
      <c r="H15" s="575"/>
      <c r="I15" s="575"/>
      <c r="J15" s="575"/>
      <c r="K15" s="575"/>
      <c r="L15" s="575"/>
      <c r="M15" s="575"/>
      <c r="N15" s="575"/>
      <c r="O15" s="575"/>
      <c r="P15" s="575"/>
      <c r="Q15" s="575"/>
      <c r="R15" s="575"/>
      <c r="S15" s="575"/>
      <c r="T15" s="575"/>
      <c r="U15" s="575"/>
      <c r="V15" s="575"/>
      <c r="W15" s="575"/>
      <c r="X15" s="575"/>
      <c r="Y15" s="575"/>
    </row>
    <row r="16" spans="1:129" s="923" customFormat="1" hidden="1" x14ac:dyDescent="0.25">
      <c r="B16"/>
      <c r="C16"/>
      <c r="D16"/>
      <c r="E16"/>
      <c r="F16"/>
      <c r="G16" s="575"/>
      <c r="H16" s="575"/>
      <c r="I16" s="575"/>
      <c r="J16" s="575"/>
      <c r="K16" s="575"/>
      <c r="L16" s="575"/>
      <c r="M16" s="575"/>
      <c r="N16" s="575"/>
      <c r="O16" s="575"/>
      <c r="P16" s="575"/>
      <c r="Q16" s="575"/>
      <c r="R16" s="575"/>
      <c r="S16" s="575"/>
      <c r="T16" s="575"/>
      <c r="U16" s="575"/>
      <c r="V16" s="575"/>
      <c r="W16" s="575"/>
      <c r="X16" s="575"/>
      <c r="Y16" s="575"/>
    </row>
    <row r="17" spans="2:25" s="924" customFormat="1" hidden="1" x14ac:dyDescent="0.25">
      <c r="B17"/>
      <c r="C17"/>
      <c r="D17"/>
      <c r="E17"/>
      <c r="F17"/>
      <c r="G17" s="575"/>
      <c r="H17" s="575"/>
      <c r="I17" s="575"/>
      <c r="J17" s="575"/>
      <c r="K17" s="575"/>
      <c r="L17" s="575"/>
      <c r="M17" s="575"/>
      <c r="N17" s="575"/>
      <c r="O17" s="575"/>
      <c r="P17" s="575"/>
      <c r="Q17" s="575"/>
      <c r="R17" s="575"/>
      <c r="S17" s="575"/>
      <c r="T17" s="575"/>
      <c r="U17" s="575"/>
      <c r="V17" s="575"/>
      <c r="W17" s="575"/>
      <c r="X17" s="575"/>
      <c r="Y17" s="575"/>
    </row>
    <row r="18" spans="2:25" s="924" customFormat="1" hidden="1" x14ac:dyDescent="0.25">
      <c r="B18"/>
      <c r="C18"/>
      <c r="D18"/>
      <c r="E18"/>
      <c r="F18"/>
      <c r="G18" s="575"/>
      <c r="H18" s="575"/>
      <c r="I18" s="575"/>
      <c r="J18" s="575"/>
      <c r="K18" s="575"/>
      <c r="L18" s="575"/>
      <c r="M18" s="575"/>
      <c r="N18" s="575"/>
      <c r="O18" s="575"/>
      <c r="P18" s="575"/>
      <c r="Q18" s="575"/>
      <c r="R18" s="575"/>
      <c r="S18" s="575"/>
      <c r="T18" s="575"/>
      <c r="U18" s="575"/>
      <c r="V18" s="575"/>
      <c r="W18" s="575"/>
      <c r="X18" s="575"/>
      <c r="Y18" s="575"/>
    </row>
    <row r="19" spans="2:25" s="924" customFormat="1" hidden="1" x14ac:dyDescent="0.25">
      <c r="B19"/>
      <c r="C19"/>
      <c r="D19"/>
      <c r="E19"/>
      <c r="F19"/>
      <c r="G19" s="575"/>
      <c r="H19" s="575"/>
      <c r="I19" s="575"/>
      <c r="J19" s="575"/>
      <c r="K19" s="575"/>
      <c r="L19" s="575"/>
      <c r="M19" s="575"/>
    </row>
    <row r="20" spans="2:25" s="924" customFormat="1" hidden="1" x14ac:dyDescent="0.25">
      <c r="B20"/>
      <c r="C20"/>
      <c r="D20"/>
      <c r="E20"/>
      <c r="F20"/>
      <c r="G20" s="575"/>
      <c r="H20" s="575"/>
      <c r="I20" s="575"/>
      <c r="J20" s="575"/>
      <c r="K20" s="575"/>
      <c r="L20" s="575"/>
      <c r="M20" s="575"/>
    </row>
    <row r="21" spans="2:25" s="924" customFormat="1" hidden="1" x14ac:dyDescent="0.25">
      <c r="B21"/>
      <c r="C21"/>
      <c r="D21"/>
      <c r="E21"/>
      <c r="F21"/>
      <c r="G21" s="575"/>
      <c r="H21" s="575"/>
      <c r="I21" s="575"/>
      <c r="J21" s="575"/>
      <c r="K21" s="575"/>
      <c r="L21" s="575"/>
      <c r="M21" s="575"/>
    </row>
    <row r="22" spans="2:25" s="924" customFormat="1" hidden="1" x14ac:dyDescent="0.25">
      <c r="B22"/>
      <c r="C22"/>
      <c r="D22"/>
      <c r="E22"/>
      <c r="F22"/>
      <c r="G22" s="575"/>
      <c r="H22" s="575"/>
      <c r="I22" s="575"/>
      <c r="J22" s="575"/>
      <c r="K22" s="575"/>
      <c r="L22" s="575"/>
      <c r="M22" s="575"/>
    </row>
    <row r="23" spans="2:25" s="924" customFormat="1" hidden="1" x14ac:dyDescent="0.25">
      <c r="B23" s="575"/>
      <c r="C23" s="575"/>
      <c r="D23" s="575"/>
      <c r="E23" s="575"/>
      <c r="F23" s="575"/>
      <c r="G23" s="575"/>
    </row>
    <row r="24" spans="2:25" s="924" customFormat="1" hidden="1" x14ac:dyDescent="0.25">
      <c r="B24" s="575"/>
      <c r="C24" s="575"/>
      <c r="D24" s="575"/>
      <c r="E24" s="575"/>
      <c r="F24" s="575"/>
      <c r="G24" s="575"/>
    </row>
    <row r="25" spans="2:25" s="924" customFormat="1" hidden="1" x14ac:dyDescent="0.25">
      <c r="B25" s="575"/>
      <c r="C25" s="575"/>
      <c r="D25" s="575"/>
      <c r="E25" s="575"/>
      <c r="F25" s="575"/>
      <c r="G25" s="575"/>
    </row>
    <row r="26" spans="2:25" s="924" customFormat="1" hidden="1" x14ac:dyDescent="0.25">
      <c r="B26" s="575"/>
      <c r="C26" s="575"/>
      <c r="D26" s="575"/>
      <c r="E26" s="575"/>
      <c r="F26" s="575"/>
      <c r="G26" s="575"/>
    </row>
    <row r="27" spans="2:25" s="924" customFormat="1" hidden="1" x14ac:dyDescent="0.25">
      <c r="B27" s="575"/>
      <c r="C27" s="575"/>
      <c r="D27" s="575"/>
      <c r="E27" s="575"/>
      <c r="F27" s="575"/>
      <c r="G27" s="575"/>
    </row>
    <row r="28" spans="2:25" s="924" customFormat="1" hidden="1" x14ac:dyDescent="0.25">
      <c r="B28" s="575"/>
      <c r="C28" s="575"/>
      <c r="D28" s="575"/>
      <c r="E28" s="575"/>
      <c r="F28" s="575"/>
      <c r="G28" s="575"/>
    </row>
    <row r="29" spans="2:25" s="924" customFormat="1" hidden="1" x14ac:dyDescent="0.25">
      <c r="B29" s="575"/>
      <c r="C29" s="575"/>
      <c r="D29" s="575"/>
      <c r="E29" s="575"/>
      <c r="F29" s="575"/>
      <c r="G29" s="575"/>
    </row>
    <row r="30" spans="2:25" s="924" customFormat="1" hidden="1" x14ac:dyDescent="0.25">
      <c r="B30" s="575"/>
      <c r="C30" s="575"/>
      <c r="D30" s="575"/>
      <c r="E30" s="575"/>
      <c r="F30" s="575"/>
      <c r="G30" s="575"/>
    </row>
    <row r="31" spans="2:25" s="924" customFormat="1" hidden="1" x14ac:dyDescent="0.25">
      <c r="B31" s="575"/>
      <c r="C31" s="575"/>
      <c r="D31" s="575"/>
      <c r="E31" s="575"/>
      <c r="F31" s="575"/>
      <c r="G31" s="575"/>
    </row>
    <row r="32" spans="2:25" s="924" customFormat="1" hidden="1" x14ac:dyDescent="0.25">
      <c r="B32" s="575"/>
      <c r="C32" s="575"/>
      <c r="D32" s="575"/>
      <c r="E32" s="575"/>
      <c r="F32" s="575"/>
      <c r="G32" s="575"/>
    </row>
    <row r="33" s="924" customFormat="1" ht="12.75" hidden="1" x14ac:dyDescent="0.2"/>
    <row r="34" s="575" customFormat="1" hidden="1" x14ac:dyDescent="0.25"/>
    <row r="35" s="575" customFormat="1" hidden="1" x14ac:dyDescent="0.25"/>
    <row r="36" s="575" customFormat="1" hidden="1" x14ac:dyDescent="0.25"/>
    <row r="37" s="575" customFormat="1" hidden="1" x14ac:dyDescent="0.25"/>
    <row r="38" s="575" customFormat="1" hidden="1" x14ac:dyDescent="0.25"/>
    <row r="39" s="575" customFormat="1" hidden="1" x14ac:dyDescent="0.25"/>
    <row r="40" s="575" customFormat="1" hidden="1" x14ac:dyDescent="0.25"/>
    <row r="41" s="575" customFormat="1" hidden="1" x14ac:dyDescent="0.25"/>
    <row r="42" s="575" customFormat="1" hidden="1" x14ac:dyDescent="0.25"/>
    <row r="43" s="575" customFormat="1" hidden="1" x14ac:dyDescent="0.25"/>
    <row r="44" s="575" customFormat="1" hidden="1" x14ac:dyDescent="0.25"/>
    <row r="45" s="575" customFormat="1" hidden="1" x14ac:dyDescent="0.25"/>
    <row r="46" s="575" customFormat="1" hidden="1" x14ac:dyDescent="0.25"/>
    <row r="47" s="575" customFormat="1" hidden="1" x14ac:dyDescent="0.25"/>
    <row r="48" s="575" customFormat="1" hidden="1" x14ac:dyDescent="0.25"/>
    <row r="49" s="575" customFormat="1" hidden="1" x14ac:dyDescent="0.25"/>
    <row r="50" s="575" customFormat="1" hidden="1" x14ac:dyDescent="0.25"/>
    <row r="51" s="575" customFormat="1" hidden="1" x14ac:dyDescent="0.25"/>
    <row r="52" s="575" customFormat="1" hidden="1" x14ac:dyDescent="0.25"/>
    <row r="53" s="575" customFormat="1" hidden="1" x14ac:dyDescent="0.25"/>
    <row r="54" s="575" customFormat="1" hidden="1" x14ac:dyDescent="0.25"/>
    <row r="55" s="575" customFormat="1" hidden="1" x14ac:dyDescent="0.25"/>
    <row r="56" s="575" customFormat="1" hidden="1" x14ac:dyDescent="0.25"/>
    <row r="57" s="575" customFormat="1" hidden="1" x14ac:dyDescent="0.25"/>
    <row r="58" s="575" customFormat="1" hidden="1" x14ac:dyDescent="0.25"/>
    <row r="59" s="575" customFormat="1" hidden="1" x14ac:dyDescent="0.25"/>
    <row r="60" s="575" customFormat="1" hidden="1" x14ac:dyDescent="0.25"/>
    <row r="61" s="575" customFormat="1" hidden="1" x14ac:dyDescent="0.25"/>
    <row r="62" s="575" customFormat="1" hidden="1" x14ac:dyDescent="0.25"/>
    <row r="63" s="575" customFormat="1" hidden="1" x14ac:dyDescent="0.25"/>
    <row r="64" s="575" customFormat="1" hidden="1" x14ac:dyDescent="0.25"/>
    <row r="65" s="575" customFormat="1" hidden="1" x14ac:dyDescent="0.25"/>
    <row r="66" s="575" customFormat="1" hidden="1" x14ac:dyDescent="0.25"/>
    <row r="67" s="575" customFormat="1" hidden="1" x14ac:dyDescent="0.25"/>
    <row r="68" s="575" customFormat="1" hidden="1" x14ac:dyDescent="0.25"/>
    <row r="69" s="575" customFormat="1" hidden="1" x14ac:dyDescent="0.25"/>
    <row r="70" s="575" customFormat="1" hidden="1" x14ac:dyDescent="0.25"/>
    <row r="71" s="575" customFormat="1" hidden="1" x14ac:dyDescent="0.25"/>
    <row r="72" s="575" customFormat="1" hidden="1" x14ac:dyDescent="0.25"/>
    <row r="73" s="575" customFormat="1" hidden="1" x14ac:dyDescent="0.25"/>
    <row r="74" s="575" customFormat="1" hidden="1" x14ac:dyDescent="0.25"/>
    <row r="75" s="575" customFormat="1" hidden="1" x14ac:dyDescent="0.25"/>
    <row r="76" s="575" customFormat="1" hidden="1" x14ac:dyDescent="0.25"/>
    <row r="77" s="575" customFormat="1" hidden="1" x14ac:dyDescent="0.25"/>
    <row r="78" s="575" customFormat="1" hidden="1" x14ac:dyDescent="0.25"/>
    <row r="79" s="575" customFormat="1" hidden="1" x14ac:dyDescent="0.25"/>
    <row r="80" s="575" customFormat="1" hidden="1" x14ac:dyDescent="0.25"/>
    <row r="81" s="575" customFormat="1" hidden="1" x14ac:dyDescent="0.25"/>
    <row r="82" s="575" customFormat="1" hidden="1" x14ac:dyDescent="0.25"/>
    <row r="83" s="575" customFormat="1" hidden="1" x14ac:dyDescent="0.25"/>
    <row r="84" s="575" customFormat="1" hidden="1" x14ac:dyDescent="0.25"/>
    <row r="85" s="575" customFormat="1" hidden="1" x14ac:dyDescent="0.25"/>
    <row r="86" s="575" customFormat="1" hidden="1" x14ac:dyDescent="0.25"/>
    <row r="87" s="575" customFormat="1" hidden="1" x14ac:dyDescent="0.25"/>
    <row r="88" s="575" customFormat="1" hidden="1" x14ac:dyDescent="0.25"/>
    <row r="89" s="575" customFormat="1" hidden="1" x14ac:dyDescent="0.25"/>
    <row r="90" s="575" customFormat="1" hidden="1" x14ac:dyDescent="0.25"/>
    <row r="91" s="575" customFormat="1" hidden="1" x14ac:dyDescent="0.25"/>
    <row r="92" s="575" customFormat="1" hidden="1" x14ac:dyDescent="0.25"/>
    <row r="93" s="575" customFormat="1" hidden="1" x14ac:dyDescent="0.25"/>
    <row r="94" s="575" customFormat="1" hidden="1" x14ac:dyDescent="0.25"/>
    <row r="95" s="575" customFormat="1" hidden="1" x14ac:dyDescent="0.25"/>
    <row r="96" s="575" customFormat="1" hidden="1" x14ac:dyDescent="0.25"/>
    <row r="97" s="575" customFormat="1" hidden="1" x14ac:dyDescent="0.25"/>
    <row r="98" s="575" customFormat="1" hidden="1" x14ac:dyDescent="0.25"/>
    <row r="99" s="575" customFormat="1" hidden="1" x14ac:dyDescent="0.25"/>
    <row r="100" s="575" customFormat="1" hidden="1" x14ac:dyDescent="0.25"/>
    <row r="101" s="575" customFormat="1" hidden="1" x14ac:dyDescent="0.25"/>
    <row r="102" s="575" customFormat="1" hidden="1" x14ac:dyDescent="0.25"/>
    <row r="103" s="575" customFormat="1" hidden="1" x14ac:dyDescent="0.25"/>
    <row r="104" s="575" customFormat="1" hidden="1" x14ac:dyDescent="0.25"/>
    <row r="105" s="575" customFormat="1" hidden="1" x14ac:dyDescent="0.25"/>
    <row r="106" s="575" customFormat="1" hidden="1" x14ac:dyDescent="0.25"/>
    <row r="107" s="575" customFormat="1" hidden="1" x14ac:dyDescent="0.25"/>
    <row r="108" s="575" customFormat="1" hidden="1" x14ac:dyDescent="0.25"/>
    <row r="109" s="575" customFormat="1" hidden="1" x14ac:dyDescent="0.25"/>
    <row r="110" s="575" customFormat="1" hidden="1" x14ac:dyDescent="0.25"/>
    <row r="111" s="575" customFormat="1" hidden="1" x14ac:dyDescent="0.25"/>
    <row r="112" s="575" customFormat="1" hidden="1" x14ac:dyDescent="0.25"/>
    <row r="113" s="575" customFormat="1" hidden="1" x14ac:dyDescent="0.25"/>
    <row r="114" s="575" customFormat="1" hidden="1" x14ac:dyDescent="0.25"/>
    <row r="115" s="575" customFormat="1" hidden="1" x14ac:dyDescent="0.25"/>
    <row r="116" s="575" customFormat="1" hidden="1" x14ac:dyDescent="0.25"/>
    <row r="117" s="575" customFormat="1" hidden="1" x14ac:dyDescent="0.25"/>
    <row r="118" s="575" customFormat="1" hidden="1" x14ac:dyDescent="0.25"/>
    <row r="119" s="575" customFormat="1" hidden="1" x14ac:dyDescent="0.25"/>
    <row r="120" s="575" customFormat="1" hidden="1" x14ac:dyDescent="0.25"/>
    <row r="121" s="575" customFormat="1" hidden="1" x14ac:dyDescent="0.25"/>
    <row r="122" s="575" customFormat="1" hidden="1" x14ac:dyDescent="0.25"/>
    <row r="123" s="575" customFormat="1" hidden="1" x14ac:dyDescent="0.25"/>
    <row r="124" s="575" customFormat="1" hidden="1" x14ac:dyDescent="0.25"/>
    <row r="125" s="575" customFormat="1" hidden="1" x14ac:dyDescent="0.25"/>
    <row r="126" s="575" customFormat="1" hidden="1" x14ac:dyDescent="0.25"/>
    <row r="127" s="575" customFormat="1" hidden="1" x14ac:dyDescent="0.25"/>
    <row r="128" s="575" customFormat="1" hidden="1" x14ac:dyDescent="0.25"/>
    <row r="129" s="575" customFormat="1" hidden="1" x14ac:dyDescent="0.25"/>
    <row r="130" s="575" customFormat="1" hidden="1" x14ac:dyDescent="0.25"/>
    <row r="131" s="575" customFormat="1" hidden="1" x14ac:dyDescent="0.25"/>
    <row r="132" s="575" customFormat="1" hidden="1" x14ac:dyDescent="0.25"/>
    <row r="133" s="575" customFormat="1" hidden="1" x14ac:dyDescent="0.25"/>
    <row r="134" s="575" customFormat="1" hidden="1" x14ac:dyDescent="0.25"/>
    <row r="135" s="575" customFormat="1" hidden="1" x14ac:dyDescent="0.25"/>
    <row r="136" s="575" customFormat="1" hidden="1" x14ac:dyDescent="0.25"/>
    <row r="137" s="575" customFormat="1" hidden="1" x14ac:dyDescent="0.25"/>
    <row r="138" s="575" customFormat="1" hidden="1" x14ac:dyDescent="0.25"/>
    <row r="139" s="575" customFormat="1" hidden="1" x14ac:dyDescent="0.25"/>
    <row r="140" s="575" customFormat="1" hidden="1" x14ac:dyDescent="0.25"/>
    <row r="141" s="575" customFormat="1" hidden="1" x14ac:dyDescent="0.25"/>
    <row r="142" s="575" customFormat="1" hidden="1" x14ac:dyDescent="0.25"/>
    <row r="143" s="575" customFormat="1" hidden="1" x14ac:dyDescent="0.25"/>
    <row r="144" s="575" customFormat="1" hidden="1" x14ac:dyDescent="0.25"/>
    <row r="145" s="575" customFormat="1" hidden="1" x14ac:dyDescent="0.25"/>
    <row r="146" s="575" customFormat="1" hidden="1" x14ac:dyDescent="0.25"/>
    <row r="147" s="575" customFormat="1" hidden="1" x14ac:dyDescent="0.25"/>
    <row r="148" s="575" customFormat="1" hidden="1" x14ac:dyDescent="0.25"/>
    <row r="149" s="575" customFormat="1" hidden="1" x14ac:dyDescent="0.25"/>
    <row r="150" s="575" customFormat="1" hidden="1" x14ac:dyDescent="0.25"/>
    <row r="151" s="575" customFormat="1" ht="17.25" customHeight="1" x14ac:dyDescent="0.25"/>
    <row r="152" s="575" customFormat="1" x14ac:dyDescent="0.25"/>
    <row r="153" s="575" customFormat="1" x14ac:dyDescent="0.25"/>
    <row r="154" s="575" customFormat="1" x14ac:dyDescent="0.25"/>
    <row r="155" s="575" customFormat="1" x14ac:dyDescent="0.25"/>
    <row r="156" s="575" customFormat="1" x14ac:dyDescent="0.25"/>
    <row r="157" s="575" customFormat="1" x14ac:dyDescent="0.25"/>
    <row r="158" s="575" customFormat="1" x14ac:dyDescent="0.25"/>
    <row r="159" s="575" customFormat="1" x14ac:dyDescent="0.25"/>
    <row r="160" s="575" customFormat="1" x14ac:dyDescent="0.25"/>
    <row r="161" s="575" customFormat="1" x14ac:dyDescent="0.25"/>
    <row r="162" s="575" customFormat="1" x14ac:dyDescent="0.25"/>
    <row r="163" s="575" customFormat="1" x14ac:dyDescent="0.25"/>
    <row r="164" s="575" customFormat="1" x14ac:dyDescent="0.25"/>
    <row r="165" s="575" customFormat="1" x14ac:dyDescent="0.25"/>
    <row r="166" s="575" customFormat="1" x14ac:dyDescent="0.25"/>
    <row r="167" s="575" customFormat="1" x14ac:dyDescent="0.25"/>
    <row r="168" s="575" customFormat="1" x14ac:dyDescent="0.25"/>
    <row r="169" s="575" customFormat="1" x14ac:dyDescent="0.25"/>
    <row r="170" s="575" customFormat="1" x14ac:dyDescent="0.25"/>
    <row r="171" s="575" customFormat="1" x14ac:dyDescent="0.25"/>
    <row r="172" s="575" customFormat="1" x14ac:dyDescent="0.25"/>
    <row r="173" s="575" customFormat="1" x14ac:dyDescent="0.25"/>
    <row r="174" s="575" customFormat="1" x14ac:dyDescent="0.25"/>
    <row r="175" s="575" customFormat="1" x14ac:dyDescent="0.25"/>
    <row r="176" s="575" customFormat="1" x14ac:dyDescent="0.25"/>
    <row r="177" s="575" customFormat="1" x14ac:dyDescent="0.25"/>
    <row r="178" s="575" customFormat="1" x14ac:dyDescent="0.25"/>
    <row r="179" s="575" customFormat="1" x14ac:dyDescent="0.25"/>
    <row r="180" s="575" customFormat="1" x14ac:dyDescent="0.25"/>
    <row r="181" s="575" customFormat="1" x14ac:dyDescent="0.25"/>
    <row r="182" s="575" customFormat="1" x14ac:dyDescent="0.25"/>
    <row r="183" s="575" customFormat="1" x14ac:dyDescent="0.25"/>
    <row r="184" s="575" customFormat="1" x14ac:dyDescent="0.25"/>
    <row r="185" s="575" customFormat="1" x14ac:dyDescent="0.25"/>
    <row r="186" s="575" customFormat="1" x14ac:dyDescent="0.25"/>
    <row r="187" s="575" customFormat="1" x14ac:dyDescent="0.25"/>
    <row r="188" s="575" customFormat="1" x14ac:dyDescent="0.25"/>
    <row r="189" s="575" customFormat="1" x14ac:dyDescent="0.25"/>
    <row r="190" s="575" customFormat="1" x14ac:dyDescent="0.25"/>
    <row r="191" s="575" customFormat="1" x14ac:dyDescent="0.25"/>
    <row r="192" s="575" customFormat="1" x14ac:dyDescent="0.25"/>
    <row r="193" s="575" customFormat="1" x14ac:dyDescent="0.25"/>
    <row r="194" s="575" customFormat="1" x14ac:dyDescent="0.25"/>
    <row r="195" s="575" customFormat="1" x14ac:dyDescent="0.25"/>
    <row r="196" s="575" customFormat="1" x14ac:dyDescent="0.25"/>
    <row r="197" s="575" customFormat="1" x14ac:dyDescent="0.25"/>
    <row r="198" s="575" customFormat="1" x14ac:dyDescent="0.25"/>
    <row r="199" s="575" customFormat="1" x14ac:dyDescent="0.25"/>
    <row r="200" s="575" customFormat="1" x14ac:dyDescent="0.25"/>
    <row r="201" s="575" customFormat="1" x14ac:dyDescent="0.25"/>
    <row r="202" s="575" customFormat="1" x14ac:dyDescent="0.25"/>
    <row r="203" s="575" customFormat="1" x14ac:dyDescent="0.25"/>
    <row r="204" s="575" customFormat="1" x14ac:dyDescent="0.25"/>
    <row r="205" s="575" customFormat="1" x14ac:dyDescent="0.25"/>
    <row r="206" s="575" customFormat="1" x14ac:dyDescent="0.25"/>
    <row r="207" s="575" customFormat="1" x14ac:dyDescent="0.25"/>
    <row r="208" s="575" customFormat="1" x14ac:dyDescent="0.25"/>
    <row r="209" s="575" customFormat="1" x14ac:dyDescent="0.25"/>
    <row r="210" s="575" customFormat="1" x14ac:dyDescent="0.25"/>
    <row r="211" s="575" customFormat="1" x14ac:dyDescent="0.25"/>
    <row r="212" s="575" customFormat="1" x14ac:dyDescent="0.25"/>
    <row r="213" s="575" customFormat="1" x14ac:dyDescent="0.25"/>
    <row r="214" s="575" customFormat="1" x14ac:dyDescent="0.25"/>
    <row r="215" s="575" customFormat="1" x14ac:dyDescent="0.25"/>
    <row r="216" s="575" customFormat="1" x14ac:dyDescent="0.25"/>
    <row r="217" s="575" customFormat="1" x14ac:dyDescent="0.25"/>
    <row r="218" s="575" customFormat="1" x14ac:dyDescent="0.25"/>
    <row r="219" s="575" customFormat="1" x14ac:dyDescent="0.25"/>
    <row r="220" s="575" customFormat="1" x14ac:dyDescent="0.25"/>
    <row r="221" s="575" customFormat="1" x14ac:dyDescent="0.25"/>
    <row r="222" s="575" customFormat="1" x14ac:dyDescent="0.25"/>
    <row r="223" s="575" customFormat="1" x14ac:dyDescent="0.25"/>
    <row r="224" s="575" customFormat="1" x14ac:dyDescent="0.25"/>
    <row r="225" s="575" customFormat="1" x14ac:dyDescent="0.25"/>
    <row r="226" s="575" customFormat="1" x14ac:dyDescent="0.25"/>
    <row r="227" s="575" customFormat="1" x14ac:dyDescent="0.25"/>
    <row r="228" s="575" customFormat="1" x14ac:dyDescent="0.25"/>
    <row r="229" s="575" customFormat="1" x14ac:dyDescent="0.25"/>
    <row r="230" s="575" customFormat="1" x14ac:dyDescent="0.25"/>
    <row r="231" s="575" customFormat="1" x14ac:dyDescent="0.25"/>
    <row r="232" s="575" customFormat="1" x14ac:dyDescent="0.25"/>
    <row r="233" s="575" customFormat="1" x14ac:dyDescent="0.25"/>
    <row r="234" s="575" customFormat="1" x14ac:dyDescent="0.25"/>
    <row r="235" s="575" customFormat="1" x14ac:dyDescent="0.25"/>
    <row r="236" s="575" customFormat="1" x14ac:dyDescent="0.25"/>
    <row r="237" s="575" customFormat="1" x14ac:dyDescent="0.25"/>
    <row r="238" s="575" customFormat="1" x14ac:dyDescent="0.25"/>
    <row r="239" s="575" customFormat="1" x14ac:dyDescent="0.25"/>
    <row r="240" s="575" customFormat="1" x14ac:dyDescent="0.25"/>
    <row r="241" s="575" customFormat="1" x14ac:dyDescent="0.25"/>
    <row r="242" s="575" customFormat="1" x14ac:dyDescent="0.25"/>
    <row r="243" s="575" customFormat="1" x14ac:dyDescent="0.25"/>
    <row r="244" s="575" customFormat="1" x14ac:dyDescent="0.25"/>
    <row r="245" s="575" customFormat="1" x14ac:dyDescent="0.25"/>
    <row r="246" s="575" customFormat="1" x14ac:dyDescent="0.25"/>
    <row r="247" s="575" customFormat="1" x14ac:dyDescent="0.25"/>
    <row r="248" s="575" customFormat="1" x14ac:dyDescent="0.25"/>
    <row r="249" s="575" customFormat="1" x14ac:dyDescent="0.25"/>
    <row r="250" s="575" customFormat="1" x14ac:dyDescent="0.25"/>
    <row r="251" s="575" customFormat="1" x14ac:dyDescent="0.25"/>
    <row r="252" s="575" customFormat="1" x14ac:dyDescent="0.25"/>
    <row r="253" s="575" customFormat="1" x14ac:dyDescent="0.25"/>
    <row r="254" s="575" customFormat="1" x14ac:dyDescent="0.25"/>
    <row r="255" s="575" customFormat="1" x14ac:dyDescent="0.25"/>
    <row r="256" s="575" customFormat="1" x14ac:dyDescent="0.25"/>
    <row r="257" s="575" customFormat="1" x14ac:dyDescent="0.25"/>
    <row r="258" s="575" customFormat="1" x14ac:dyDescent="0.25"/>
    <row r="259" s="575" customFormat="1" x14ac:dyDescent="0.25"/>
    <row r="260" s="575" customFormat="1" x14ac:dyDescent="0.25"/>
    <row r="261" s="575" customFormat="1" x14ac:dyDescent="0.25"/>
    <row r="262" s="575" customFormat="1" x14ac:dyDescent="0.25"/>
    <row r="263" s="575" customFormat="1" x14ac:dyDescent="0.25"/>
    <row r="264" s="575" customFormat="1" x14ac:dyDescent="0.25"/>
    <row r="265" s="575" customFormat="1" x14ac:dyDescent="0.25"/>
    <row r="266" s="575" customFormat="1" x14ac:dyDescent="0.25"/>
    <row r="267" s="575" customFormat="1" x14ac:dyDescent="0.25"/>
    <row r="268" s="575" customFormat="1" x14ac:dyDescent="0.25"/>
    <row r="269" s="575" customFormat="1" x14ac:dyDescent="0.25"/>
    <row r="270" s="575" customFormat="1" x14ac:dyDescent="0.25"/>
    <row r="271" s="575" customFormat="1" x14ac:dyDescent="0.25"/>
    <row r="272" s="575" customFormat="1" x14ac:dyDescent="0.25"/>
    <row r="273" s="575" customFormat="1" x14ac:dyDescent="0.25"/>
    <row r="274" s="575" customFormat="1" x14ac:dyDescent="0.25"/>
    <row r="275" s="575" customFormat="1" x14ac:dyDescent="0.25"/>
    <row r="276" s="575" customFormat="1" x14ac:dyDescent="0.25"/>
    <row r="277" s="575" customFormat="1" x14ac:dyDescent="0.25"/>
    <row r="278" s="575" customFormat="1" x14ac:dyDescent="0.25"/>
    <row r="279" s="575" customFormat="1" x14ac:dyDescent="0.25"/>
    <row r="280" s="575" customFormat="1" x14ac:dyDescent="0.25"/>
    <row r="281" s="575" customFormat="1" x14ac:dyDescent="0.25"/>
    <row r="282" s="575" customFormat="1" x14ac:dyDescent="0.25"/>
    <row r="283" s="575" customFormat="1" x14ac:dyDescent="0.25"/>
    <row r="284" s="575" customFormat="1" x14ac:dyDescent="0.25"/>
    <row r="285" s="575" customFormat="1" x14ac:dyDescent="0.25"/>
    <row r="286" s="575" customFormat="1" x14ac:dyDescent="0.25"/>
    <row r="287" s="575" customFormat="1" x14ac:dyDescent="0.25"/>
    <row r="288" s="575" customFormat="1" x14ac:dyDescent="0.25"/>
    <row r="289" s="575" customFormat="1" x14ac:dyDescent="0.25"/>
    <row r="290" s="575" customFormat="1" x14ac:dyDescent="0.25"/>
    <row r="291" s="575" customFormat="1" x14ac:dyDescent="0.25"/>
    <row r="292" s="575" customFormat="1" x14ac:dyDescent="0.25"/>
    <row r="293" s="575" customFormat="1" x14ac:dyDescent="0.25"/>
    <row r="294" s="575" customFormat="1" x14ac:dyDescent="0.25"/>
    <row r="295" s="575" customFormat="1" x14ac:dyDescent="0.25"/>
    <row r="296" s="575" customFormat="1" x14ac:dyDescent="0.25"/>
    <row r="297" s="575" customFormat="1" x14ac:dyDescent="0.25"/>
    <row r="298" s="575" customFormat="1" x14ac:dyDescent="0.25"/>
    <row r="299" s="575" customFormat="1" x14ac:dyDescent="0.25"/>
    <row r="300" s="575" customFormat="1" x14ac:dyDescent="0.25"/>
    <row r="301" s="575" customFormat="1" x14ac:dyDescent="0.25"/>
    <row r="302" s="575" customFormat="1" x14ac:dyDescent="0.25"/>
    <row r="303" s="575" customFormat="1" x14ac:dyDescent="0.25"/>
    <row r="304" s="575" customFormat="1" x14ac:dyDescent="0.25"/>
    <row r="305" s="575" customFormat="1" x14ac:dyDescent="0.25"/>
    <row r="306" s="575" customFormat="1" x14ac:dyDescent="0.25"/>
    <row r="307" s="575" customFormat="1" x14ac:dyDescent="0.25"/>
    <row r="308" s="575" customFormat="1" x14ac:dyDescent="0.25"/>
    <row r="309" s="575" customFormat="1" x14ac:dyDescent="0.25"/>
    <row r="310" s="575" customFormat="1" x14ac:dyDescent="0.25"/>
    <row r="311" s="575" customFormat="1" x14ac:dyDescent="0.25"/>
    <row r="312" s="575" customFormat="1" x14ac:dyDescent="0.25"/>
    <row r="313" s="575" customFormat="1" x14ac:dyDescent="0.25"/>
    <row r="314" s="575" customFormat="1" x14ac:dyDescent="0.25"/>
  </sheetData>
  <sheetProtection password="CAB5" sheet="1" objects="1" scenarios="1" selectLockedCells="1" selectUnlockedCells="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4849" r:id="rId5"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4850" r:id="rId6"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4851" r:id="rId7"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4852" r:id="rId8" name="Button 4">
              <controlPr defaultSize="0" print="0" autoFill="0" autoPict="0" macro="[0]!Goto_PivotTable1">
                <anchor>
                  <from>
                    <xdr:col>8</xdr:col>
                    <xdr:colOff>257175</xdr:colOff>
                    <xdr:row>0</xdr:row>
                    <xdr:rowOff>180975</xdr:rowOff>
                  </from>
                  <to>
                    <xdr:col>8</xdr:col>
                    <xdr:colOff>1333500</xdr:colOff>
                    <xdr:row>3</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J150"/>
  <sheetViews>
    <sheetView showGridLines="0" showRowColHeaders="0" workbookViewId="0">
      <selection activeCell="H159" sqref="H159"/>
    </sheetView>
  </sheetViews>
  <sheetFormatPr defaultRowHeight="15.75" x14ac:dyDescent="0.25"/>
  <cols>
    <col min="1" max="1" width="3.21875" customWidth="1"/>
    <col min="2" max="3" width="15.77734375" customWidth="1"/>
    <col min="4" max="4" width="32.44140625" customWidth="1"/>
    <col min="5" max="5" width="18.44140625" customWidth="1"/>
    <col min="6" max="6" width="19" customWidth="1"/>
    <col min="7" max="7" width="16" customWidth="1"/>
    <col min="8" max="8" width="22.21875" customWidth="1"/>
    <col min="9" max="9" width="19.21875" customWidth="1"/>
    <col min="10" max="10" width="19.88671875" customWidth="1"/>
    <col min="11" max="11" width="20.44140625" customWidth="1"/>
    <col min="12" max="12" width="18.88671875" customWidth="1"/>
    <col min="13" max="16" width="18.21875" customWidth="1"/>
    <col min="17" max="17" width="27.109375" customWidth="1"/>
    <col min="18" max="18" width="22.88671875" customWidth="1"/>
    <col min="19" max="19" width="23.44140625" customWidth="1"/>
    <col min="20" max="20" width="20.44140625" customWidth="1"/>
    <col min="21" max="21" width="26.6640625" customWidth="1"/>
    <col min="22" max="22" width="23.6640625" customWidth="1"/>
    <col min="23" max="23" width="24.33203125" customWidth="1"/>
    <col min="24" max="24" width="24.88671875" customWidth="1"/>
    <col min="25" max="25" width="23.33203125" customWidth="1"/>
    <col min="26" max="26" width="22.88671875" customWidth="1"/>
    <col min="27" max="27" width="23.33203125" customWidth="1"/>
    <col min="28" max="28" width="22.6640625" customWidth="1"/>
    <col min="29" max="29" width="27.109375" customWidth="1"/>
    <col min="30" max="30" width="22.88671875" customWidth="1"/>
    <col min="31" max="31" width="23.44140625" customWidth="1"/>
    <col min="32" max="32" width="20.44140625" customWidth="1"/>
    <col min="33" max="33" width="26.6640625" customWidth="1"/>
    <col min="34" max="34" width="23.6640625" customWidth="1"/>
    <col min="35" max="35" width="24.33203125" customWidth="1"/>
    <col min="36" max="36" width="24.88671875" customWidth="1"/>
    <col min="37" max="37" width="23.33203125" customWidth="1"/>
    <col min="38" max="38" width="22.88671875" customWidth="1"/>
    <col min="39" max="39" width="23.33203125" customWidth="1"/>
    <col min="40" max="40" width="22.6640625" customWidth="1"/>
    <col min="41" max="103" width="32.44140625" bestFit="1" customWidth="1"/>
    <col min="104" max="104" width="22.88671875" bestFit="1" customWidth="1"/>
    <col min="105" max="105" width="23.44140625" bestFit="1" customWidth="1"/>
    <col min="106" max="106" width="20.44140625" bestFit="1" customWidth="1"/>
    <col min="107" max="107" width="26.6640625" bestFit="1" customWidth="1"/>
    <col min="108" max="108" width="23.6640625" bestFit="1" customWidth="1"/>
    <col min="109" max="109" width="24.33203125" bestFit="1" customWidth="1"/>
    <col min="110" max="110" width="24.88671875" bestFit="1" customWidth="1"/>
    <col min="111" max="111" width="23.33203125" bestFit="1" customWidth="1"/>
    <col min="112" max="112" width="22.88671875" bestFit="1" customWidth="1"/>
    <col min="113" max="113" width="23.33203125" bestFit="1" customWidth="1"/>
    <col min="114" max="114" width="22.6640625" bestFit="1" customWidth="1"/>
  </cols>
  <sheetData>
    <row r="1" spans="1:114" ht="15.75" customHeight="1" x14ac:dyDescent="0.25">
      <c r="A1" s="804"/>
      <c r="B1" s="804"/>
      <c r="C1" s="804"/>
      <c r="D1" s="804"/>
      <c r="E1" s="804"/>
      <c r="F1" s="804"/>
      <c r="G1" s="804"/>
    </row>
    <row r="2" spans="1:114" x14ac:dyDescent="0.25">
      <c r="A2" s="804"/>
      <c r="B2" s="804"/>
      <c r="C2" s="804"/>
      <c r="D2" s="804"/>
      <c r="E2" s="804"/>
      <c r="F2" s="804"/>
      <c r="G2" s="804"/>
    </row>
    <row r="3" spans="1:114" x14ac:dyDescent="0.25">
      <c r="A3" s="804"/>
      <c r="B3" s="804"/>
      <c r="C3" s="804"/>
      <c r="D3" s="804"/>
      <c r="E3" s="804"/>
      <c r="F3" s="804"/>
      <c r="G3" s="804"/>
    </row>
    <row r="4" spans="1:114" x14ac:dyDescent="0.25">
      <c r="A4" s="804"/>
      <c r="B4" s="804"/>
      <c r="C4" s="804"/>
      <c r="D4" s="804"/>
      <c r="E4" s="804"/>
      <c r="F4" s="804"/>
      <c r="G4" s="804"/>
    </row>
    <row r="5" spans="1:114" hidden="1" x14ac:dyDescent="0.25"/>
    <row r="6" spans="1:114" s="823" customFormat="1" hidden="1" x14ac:dyDescent="0.25">
      <c r="B6"/>
      <c r="C6"/>
      <c r="D6"/>
      <c r="E6"/>
      <c r="F6"/>
      <c r="G6"/>
      <c r="H6"/>
      <c r="I6"/>
      <c r="J6"/>
      <c r="K6"/>
      <c r="L6"/>
      <c r="M6"/>
      <c r="N6"/>
      <c r="O6"/>
      <c r="P6"/>
      <c r="Q6"/>
      <c r="R6"/>
      <c r="S6"/>
      <c r="T6"/>
      <c r="U6"/>
      <c r="V6"/>
      <c r="W6"/>
      <c r="X6"/>
      <c r="Y6"/>
    </row>
    <row r="7" spans="1:114" s="823" customFormat="1" hidden="1" x14ac:dyDescent="0.25">
      <c r="B7"/>
      <c r="C7"/>
      <c r="D7"/>
      <c r="E7"/>
      <c r="F7"/>
      <c r="G7"/>
    </row>
    <row r="8" spans="1:114" s="823" customFormat="1" hidden="1" x14ac:dyDescent="0.25">
      <c r="B8"/>
      <c r="C8" s="816" t="s">
        <v>725</v>
      </c>
      <c r="D8" s="817" t="s">
        <v>703</v>
      </c>
      <c r="E8"/>
      <c r="F8"/>
      <c r="G8"/>
    </row>
    <row r="9" spans="1:114" s="823" customFormat="1" hidden="1" x14ac:dyDescent="0.25">
      <c r="B9"/>
      <c r="C9" s="816" t="s">
        <v>726</v>
      </c>
      <c r="D9" s="817" t="s">
        <v>2</v>
      </c>
      <c r="E9"/>
      <c r="F9"/>
      <c r="G9"/>
    </row>
    <row r="10" spans="1:114" s="823" customFormat="1" hidden="1" x14ac:dyDescent="0.25">
      <c r="B10"/>
      <c r="C10"/>
      <c r="D10"/>
      <c r="E10"/>
      <c r="F10"/>
      <c r="G10"/>
    </row>
    <row r="11" spans="1:114" s="823" customFormat="1" hidden="1" x14ac:dyDescent="0.25">
      <c r="B11"/>
      <c r="C11" s="806"/>
      <c r="D11" s="807"/>
      <c r="E11" s="809" t="s">
        <v>709</v>
      </c>
      <c r="F11" s="807"/>
      <c r="G11" s="807"/>
      <c r="H11" s="807"/>
      <c r="I11" s="807"/>
      <c r="J11" s="807"/>
      <c r="K11" s="807"/>
      <c r="L11" s="808"/>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row>
    <row r="12" spans="1:114" s="823" customFormat="1" hidden="1" x14ac:dyDescent="0.25">
      <c r="B12"/>
      <c r="C12" s="809" t="s">
        <v>684</v>
      </c>
      <c r="D12" s="809" t="s">
        <v>683</v>
      </c>
      <c r="E12" s="806" t="s">
        <v>715</v>
      </c>
      <c r="F12" s="811" t="s">
        <v>716</v>
      </c>
      <c r="G12" s="811" t="s">
        <v>717</v>
      </c>
      <c r="H12" s="811" t="s">
        <v>718</v>
      </c>
      <c r="I12" s="811" t="s">
        <v>719</v>
      </c>
      <c r="J12" s="811" t="s">
        <v>720</v>
      </c>
      <c r="K12" s="811" t="s">
        <v>721</v>
      </c>
      <c r="L12" s="819" t="s">
        <v>722</v>
      </c>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row>
    <row r="13" spans="1:114" s="823" customFormat="1" hidden="1" x14ac:dyDescent="0.25">
      <c r="B13"/>
      <c r="C13" s="806" t="s">
        <v>773</v>
      </c>
      <c r="D13" s="818">
        <v>41883</v>
      </c>
      <c r="E13" s="814">
        <v>2.4585818181818189</v>
      </c>
      <c r="F13" s="815">
        <v>1.0509818181818178</v>
      </c>
      <c r="G13" s="815">
        <v>2.3366326086956524</v>
      </c>
      <c r="H13" s="815">
        <v>1.278582608695652</v>
      </c>
      <c r="I13" s="815">
        <v>2.3920916666666665</v>
      </c>
      <c r="J13" s="815">
        <v>1.8065619834710744</v>
      </c>
      <c r="K13" s="815">
        <v>0.54545454545454541</v>
      </c>
      <c r="L13" s="820">
        <v>1.9114663461538459</v>
      </c>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row>
    <row r="14" spans="1:114" s="823" customFormat="1" hidden="1" x14ac:dyDescent="0.25">
      <c r="B14"/>
      <c r="C14" s="806" t="s">
        <v>776</v>
      </c>
      <c r="D14" s="807"/>
      <c r="E14" s="814">
        <v>2.4585818181818189</v>
      </c>
      <c r="F14" s="815">
        <v>1.0509818181818178</v>
      </c>
      <c r="G14" s="815">
        <v>2.3366326086956524</v>
      </c>
      <c r="H14" s="815">
        <v>1.278582608695652</v>
      </c>
      <c r="I14" s="815">
        <v>2.3920916666666665</v>
      </c>
      <c r="J14" s="815">
        <v>1.8065619834710744</v>
      </c>
      <c r="K14" s="815">
        <v>0.54545454545454541</v>
      </c>
      <c r="L14" s="820">
        <v>1.9114663461538459</v>
      </c>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row>
    <row r="15" spans="1:114" s="823" customFormat="1" hidden="1" x14ac:dyDescent="0.25">
      <c r="B15"/>
      <c r="C15" s="806" t="s">
        <v>774</v>
      </c>
      <c r="D15" s="818">
        <v>41897</v>
      </c>
      <c r="E15" s="814">
        <v>2.2224727272727272</v>
      </c>
      <c r="F15" s="815">
        <v>1.2671272727272727</v>
      </c>
      <c r="G15" s="815">
        <v>1.2269642512077295</v>
      </c>
      <c r="H15" s="815">
        <v>0.78535652173913051</v>
      </c>
      <c r="I15" s="815">
        <v>3.1414000000000004</v>
      </c>
      <c r="J15" s="815">
        <v>1.2429807162534434</v>
      </c>
      <c r="K15" s="815">
        <v>0.54545454545454541</v>
      </c>
      <c r="L15" s="820">
        <v>1.5329807692307691</v>
      </c>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row>
    <row r="16" spans="1:114" s="823" customFormat="1" hidden="1" x14ac:dyDescent="0.25">
      <c r="B16"/>
      <c r="C16" s="806" t="s">
        <v>777</v>
      </c>
      <c r="D16" s="807"/>
      <c r="E16" s="814">
        <v>2.2224727272727272</v>
      </c>
      <c r="F16" s="815">
        <v>1.2671272727272727</v>
      </c>
      <c r="G16" s="815">
        <v>1.2269642512077295</v>
      </c>
      <c r="H16" s="815">
        <v>0.78535652173913051</v>
      </c>
      <c r="I16" s="815">
        <v>3.1414000000000004</v>
      </c>
      <c r="J16" s="815">
        <v>1.2429807162534434</v>
      </c>
      <c r="K16" s="815">
        <v>0.54545454545454541</v>
      </c>
      <c r="L16" s="820">
        <v>1.5329807692307691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row>
    <row r="17" spans="2:114" s="823" customFormat="1" hidden="1" x14ac:dyDescent="0.25">
      <c r="B17"/>
      <c r="C17" s="806" t="s">
        <v>813</v>
      </c>
      <c r="D17" s="818">
        <v>41912</v>
      </c>
      <c r="E17" s="814">
        <v>1.496909090909091</v>
      </c>
      <c r="F17" s="815">
        <v>0.77104545454545448</v>
      </c>
      <c r="G17" s="815">
        <v>1.1127536231884056</v>
      </c>
      <c r="H17" s="815">
        <v>1.8428260869565221</v>
      </c>
      <c r="I17" s="815">
        <v>1.7279166666666668</v>
      </c>
      <c r="J17" s="815">
        <v>1.931190082644628</v>
      </c>
      <c r="K17" s="815">
        <v>0.54545454545454541</v>
      </c>
      <c r="L17" s="820">
        <v>1.5824999999999998</v>
      </c>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row>
    <row r="18" spans="2:114" s="823" customFormat="1" hidden="1" x14ac:dyDescent="0.25">
      <c r="B18"/>
      <c r="C18" s="806" t="s">
        <v>814</v>
      </c>
      <c r="D18" s="807"/>
      <c r="E18" s="814">
        <v>1.496909090909091</v>
      </c>
      <c r="F18" s="815">
        <v>0.77104545454545448</v>
      </c>
      <c r="G18" s="815">
        <v>1.1127536231884056</v>
      </c>
      <c r="H18" s="815">
        <v>1.8428260869565221</v>
      </c>
      <c r="I18" s="815">
        <v>1.7279166666666668</v>
      </c>
      <c r="J18" s="815">
        <v>1.931190082644628</v>
      </c>
      <c r="K18" s="815">
        <v>0.54545454545454541</v>
      </c>
      <c r="L18" s="820">
        <v>1.5824999999999998</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row>
    <row r="19" spans="2:114" s="823" customFormat="1" hidden="1" x14ac:dyDescent="0.25">
      <c r="B19"/>
      <c r="C19" s="810" t="s">
        <v>704</v>
      </c>
      <c r="D19" s="821"/>
      <c r="E19" s="812">
        <v>6.1779636363636374</v>
      </c>
      <c r="F19" s="813">
        <v>3.0891545454545453</v>
      </c>
      <c r="G19" s="813">
        <v>4.6763504830917872</v>
      </c>
      <c r="H19" s="813">
        <v>3.9067652173913046</v>
      </c>
      <c r="I19" s="813">
        <v>7.2614083333333337</v>
      </c>
      <c r="J19" s="813">
        <v>4.9807327823691461</v>
      </c>
      <c r="K19" s="813">
        <v>1.6363636363636362</v>
      </c>
      <c r="L19" s="822">
        <v>5.0269471153846146</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row>
    <row r="20" spans="2:114" s="823" customFormat="1" hidden="1" x14ac:dyDescent="0.25">
      <c r="B20"/>
      <c r="C20"/>
      <c r="D20"/>
      <c r="E20"/>
      <c r="F20"/>
      <c r="G20"/>
      <c r="H20"/>
      <c r="I20"/>
      <c r="J20"/>
      <c r="K20"/>
      <c r="L20"/>
      <c r="M20"/>
      <c r="N20"/>
      <c r="O20"/>
      <c r="P20"/>
      <c r="Q20"/>
    </row>
    <row r="21" spans="2:114" s="823" customFormat="1" hidden="1" x14ac:dyDescent="0.25">
      <c r="C21"/>
      <c r="D21"/>
      <c r="E21"/>
      <c r="F21"/>
      <c r="G21"/>
      <c r="H21"/>
      <c r="I21"/>
      <c r="J21"/>
      <c r="K21"/>
      <c r="L21"/>
      <c r="M21"/>
      <c r="N21"/>
      <c r="O21"/>
      <c r="P21"/>
      <c r="Q21"/>
    </row>
    <row r="22" spans="2:114" hidden="1" x14ac:dyDescent="0.25"/>
    <row r="23" spans="2:114" hidden="1" x14ac:dyDescent="0.25"/>
    <row r="24" spans="2:114" hidden="1" x14ac:dyDescent="0.25"/>
    <row r="25" spans="2:114" hidden="1" x14ac:dyDescent="0.25"/>
    <row r="26" spans="2:114" hidden="1" x14ac:dyDescent="0.25"/>
    <row r="27" spans="2:114" hidden="1" x14ac:dyDescent="0.25"/>
    <row r="28" spans="2:114" hidden="1" x14ac:dyDescent="0.25"/>
    <row r="29" spans="2:114" hidden="1" x14ac:dyDescent="0.25"/>
    <row r="30" spans="2:114" hidden="1" x14ac:dyDescent="0.25"/>
    <row r="31" spans="2:114" hidden="1" x14ac:dyDescent="0.25"/>
    <row r="32" spans="2:1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5873"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5874"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5875"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5876" r:id="rId7" name="Button 4">
              <controlPr defaultSize="0" print="0" autoFill="0" autoPict="0" macro="[0]!Goto_PivotTable1">
                <anchor>
                  <from>
                    <xdr:col>6</xdr:col>
                    <xdr:colOff>962025</xdr:colOff>
                    <xdr:row>0</xdr:row>
                    <xdr:rowOff>180975</xdr:rowOff>
                  </from>
                  <to>
                    <xdr:col>7</xdr:col>
                    <xdr:colOff>666750</xdr:colOff>
                    <xdr:row>3</xdr:row>
                    <xdr:rowOff>133350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G151"/>
  <sheetViews>
    <sheetView showGridLines="0" showRowColHeaders="0" workbookViewId="0">
      <selection activeCell="G175" sqref="G175"/>
    </sheetView>
  </sheetViews>
  <sheetFormatPr defaultRowHeight="15.75" x14ac:dyDescent="0.25"/>
  <cols>
    <col min="1" max="1" width="3.21875" customWidth="1"/>
    <col min="2" max="2" width="19.88671875" customWidth="1"/>
    <col min="3" max="3" width="32.44140625" bestFit="1" customWidth="1"/>
    <col min="4" max="4" width="22.6640625" customWidth="1"/>
    <col min="5" max="5" width="18.44140625" customWidth="1"/>
    <col min="6" max="6" width="18.88671875" customWidth="1"/>
    <col min="7" max="7" width="18.21875" customWidth="1"/>
  </cols>
  <sheetData>
    <row r="1" spans="2:7" ht="15.75" customHeight="1" x14ac:dyDescent="0.25"/>
    <row r="5" spans="2:7" hidden="1" x14ac:dyDescent="0.25"/>
    <row r="6" spans="2:7" hidden="1" x14ac:dyDescent="0.25"/>
    <row r="7" spans="2:7" hidden="1" x14ac:dyDescent="0.25">
      <c r="B7" s="816" t="s">
        <v>725</v>
      </c>
      <c r="C7" s="817" t="s">
        <v>703</v>
      </c>
    </row>
    <row r="8" spans="2:7" hidden="1" x14ac:dyDescent="0.25">
      <c r="B8" s="816" t="s">
        <v>726</v>
      </c>
      <c r="C8" s="817" t="s">
        <v>771</v>
      </c>
    </row>
    <row r="9" spans="2:7" hidden="1" x14ac:dyDescent="0.25"/>
    <row r="10" spans="2:7" hidden="1" x14ac:dyDescent="0.25">
      <c r="B10" s="806"/>
      <c r="C10" s="807"/>
      <c r="D10" s="809" t="s">
        <v>709</v>
      </c>
      <c r="E10" s="807"/>
      <c r="F10" s="807"/>
      <c r="G10" s="808"/>
    </row>
    <row r="11" spans="2:7" hidden="1" x14ac:dyDescent="0.25">
      <c r="B11" s="809" t="s">
        <v>684</v>
      </c>
      <c r="C11" s="809" t="s">
        <v>683</v>
      </c>
      <c r="D11" s="806" t="s">
        <v>714</v>
      </c>
      <c r="E11" s="811" t="s">
        <v>723</v>
      </c>
      <c r="F11" s="811" t="s">
        <v>724</v>
      </c>
      <c r="G11" s="819" t="s">
        <v>707</v>
      </c>
    </row>
    <row r="12" spans="2:7" hidden="1" x14ac:dyDescent="0.25">
      <c r="B12" s="806" t="s">
        <v>773</v>
      </c>
      <c r="C12" s="818">
        <v>41883</v>
      </c>
      <c r="D12" s="824">
        <v>1.5404586732186734</v>
      </c>
      <c r="E12" s="825">
        <v>0.95901639344262291</v>
      </c>
      <c r="F12" s="825">
        <v>1.47495</v>
      </c>
      <c r="G12" s="826">
        <v>7.0618464730290444</v>
      </c>
    </row>
    <row r="13" spans="2:7" hidden="1" x14ac:dyDescent="0.25">
      <c r="B13" s="806" t="s">
        <v>776</v>
      </c>
      <c r="C13" s="807"/>
      <c r="D13" s="824">
        <v>1.5404586732186734</v>
      </c>
      <c r="E13" s="825">
        <v>0.95901639344262291</v>
      </c>
      <c r="F13" s="825">
        <v>1.47495</v>
      </c>
      <c r="G13" s="826">
        <v>7.0618464730290444</v>
      </c>
    </row>
    <row r="14" spans="2:7" hidden="1" x14ac:dyDescent="0.25">
      <c r="B14" s="806" t="s">
        <v>774</v>
      </c>
      <c r="C14" s="818">
        <v>41897</v>
      </c>
      <c r="D14" s="824">
        <v>1.0149222276822276</v>
      </c>
      <c r="E14" s="825">
        <v>0.89754098360655732</v>
      </c>
      <c r="F14" s="825">
        <v>0.73759999999999992</v>
      </c>
      <c r="G14" s="826">
        <v>0.12879668049792534</v>
      </c>
    </row>
    <row r="15" spans="2:7" hidden="1" x14ac:dyDescent="0.25">
      <c r="B15" s="806" t="s">
        <v>777</v>
      </c>
      <c r="C15" s="807"/>
      <c r="D15" s="824">
        <v>1.0149222276822276</v>
      </c>
      <c r="E15" s="825">
        <v>0.89754098360655732</v>
      </c>
      <c r="F15" s="825">
        <v>0.73759999999999992</v>
      </c>
      <c r="G15" s="826">
        <v>0.12879668049792534</v>
      </c>
    </row>
    <row r="16" spans="2:7" hidden="1" x14ac:dyDescent="0.25">
      <c r="B16" s="806" t="s">
        <v>813</v>
      </c>
      <c r="C16" s="818">
        <v>41912</v>
      </c>
      <c r="D16" s="824">
        <v>1.1830860278460278</v>
      </c>
      <c r="E16" s="825">
        <v>1.0204918032786885</v>
      </c>
      <c r="F16" s="825">
        <v>0.79349999999999998</v>
      </c>
      <c r="G16" s="826">
        <v>0.12448132780082986</v>
      </c>
    </row>
    <row r="17" spans="2:7" hidden="1" x14ac:dyDescent="0.25">
      <c r="B17" s="810" t="s">
        <v>814</v>
      </c>
      <c r="C17" s="821"/>
      <c r="D17" s="827">
        <v>1.1830860278460278</v>
      </c>
      <c r="E17" s="828">
        <v>1.0204918032786885</v>
      </c>
      <c r="F17" s="828">
        <v>0.79349999999999998</v>
      </c>
      <c r="G17" s="829">
        <v>0.12448132780082986</v>
      </c>
    </row>
    <row r="18" spans="2:7" hidden="1" x14ac:dyDescent="0.25"/>
    <row r="19" spans="2:7" hidden="1" x14ac:dyDescent="0.25"/>
    <row r="20" spans="2:7" hidden="1" x14ac:dyDescent="0.25"/>
    <row r="21" spans="2:7" hidden="1" x14ac:dyDescent="0.25"/>
    <row r="22" spans="2:7" hidden="1" x14ac:dyDescent="0.25"/>
    <row r="23" spans="2:7" hidden="1" x14ac:dyDescent="0.25"/>
    <row r="24" spans="2:7" hidden="1" x14ac:dyDescent="0.25"/>
    <row r="25" spans="2:7" hidden="1" x14ac:dyDescent="0.25"/>
    <row r="26" spans="2:7" hidden="1" x14ac:dyDescent="0.25"/>
    <row r="27" spans="2:7" hidden="1" x14ac:dyDescent="0.25"/>
    <row r="28" spans="2:7" hidden="1" x14ac:dyDescent="0.25"/>
    <row r="29" spans="2:7" hidden="1" x14ac:dyDescent="0.25"/>
    <row r="30" spans="2:7" hidden="1" x14ac:dyDescent="0.25"/>
    <row r="31" spans="2:7" hidden="1" x14ac:dyDescent="0.25"/>
    <row r="32" spans="2:7"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6897" r:id="rId4" name="Button 1">
              <controlPr defaultSize="0" print="0" autoFill="0" autoPict="0" macro="[0]!Goto_Menu1">
                <anchor>
                  <from>
                    <xdr:col>1</xdr:col>
                    <xdr:colOff>9525</xdr:colOff>
                    <xdr:row>0</xdr:row>
                    <xdr:rowOff>190500</xdr:rowOff>
                  </from>
                  <to>
                    <xdr:col>1</xdr:col>
                    <xdr:colOff>1085850</xdr:colOff>
                    <xdr:row>2</xdr:row>
                    <xdr:rowOff>57150</xdr:rowOff>
                  </to>
                </anchor>
              </controlPr>
            </control>
          </mc:Choice>
        </mc:AlternateContent>
        <mc:AlternateContent xmlns:mc="http://schemas.openxmlformats.org/markup-compatibility/2006">
          <mc:Choice Requires="x14">
            <control shapeId="6096898" r:id="rId5" name="Button 2">
              <controlPr defaultSize="0" print="0" autoFill="0" autoPict="0" macro="[0]!Goto_Calculation_Sheet">
                <anchor>
                  <from>
                    <xdr:col>1</xdr:col>
                    <xdr:colOff>1114425</xdr:colOff>
                    <xdr:row>0</xdr:row>
                    <xdr:rowOff>190500</xdr:rowOff>
                  </from>
                  <to>
                    <xdr:col>2</xdr:col>
                    <xdr:colOff>485775</xdr:colOff>
                    <xdr:row>3</xdr:row>
                    <xdr:rowOff>142875</xdr:rowOff>
                  </to>
                </anchor>
              </controlPr>
            </control>
          </mc:Choice>
        </mc:AlternateContent>
        <mc:AlternateContent xmlns:mc="http://schemas.openxmlformats.org/markup-compatibility/2006">
          <mc:Choice Requires="x14">
            <control shapeId="6096899" r:id="rId6" name="Button 3">
              <controlPr defaultSize="0" print="0" autoFill="0" autoPict="0" macro="[0]!Goto_Help4">
                <anchor>
                  <from>
                    <xdr:col>1</xdr:col>
                    <xdr:colOff>9525</xdr:colOff>
                    <xdr:row>2</xdr:row>
                    <xdr:rowOff>76200</xdr:rowOff>
                  </from>
                  <to>
                    <xdr:col>1</xdr:col>
                    <xdr:colOff>1085850</xdr:colOff>
                    <xdr:row>3</xdr:row>
                    <xdr:rowOff>142875</xdr:rowOff>
                  </to>
                </anchor>
              </controlPr>
            </control>
          </mc:Choice>
        </mc:AlternateContent>
        <mc:AlternateContent xmlns:mc="http://schemas.openxmlformats.org/markup-compatibility/2006">
          <mc:Choice Requires="x14">
            <control shapeId="6096900" r:id="rId7" name="Button 4">
              <controlPr defaultSize="0" print="0" autoFill="0" autoPict="0" macro="[0]!Goto_PivotTable1">
                <anchor>
                  <from>
                    <xdr:col>6</xdr:col>
                    <xdr:colOff>114300</xdr:colOff>
                    <xdr:row>1</xdr:row>
                    <xdr:rowOff>0</xdr:rowOff>
                  </from>
                  <to>
                    <xdr:col>6</xdr:col>
                    <xdr:colOff>1190625</xdr:colOff>
                    <xdr:row>3</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Y151"/>
  <sheetViews>
    <sheetView showGridLines="0" showRowColHeaders="0" workbookViewId="0">
      <selection activeCell="J153" sqref="J153"/>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hidden="1" x14ac:dyDescent="0.25"/>
    <row r="6" spans="1:129" s="804" customFormat="1" ht="15" hidden="1" x14ac:dyDescent="0.25">
      <c r="B6" s="1103" t="s">
        <v>725</v>
      </c>
      <c r="C6" s="1104" t="s">
        <v>703</v>
      </c>
      <c r="E6" s="1103" t="s">
        <v>726</v>
      </c>
      <c r="F6" s="1104" t="s">
        <v>2</v>
      </c>
    </row>
    <row r="7" spans="1:129" s="804" customFormat="1" ht="15" hidden="1" x14ac:dyDescent="0.25"/>
    <row r="8" spans="1:129" s="804" customFormat="1" hidden="1" x14ac:dyDescent="0.25">
      <c r="B8" s="1104"/>
      <c r="C8" s="1104"/>
      <c r="D8" s="1103" t="s">
        <v>709</v>
      </c>
      <c r="E8" s="1104"/>
      <c r="F8" s="1104"/>
      <c r="G8" s="1104"/>
      <c r="H8" s="1104"/>
      <c r="I8" s="1104"/>
      <c r="J8" s="1104"/>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row>
    <row r="9" spans="1:129" s="804" customFormat="1" hidden="1" x14ac:dyDescent="0.25">
      <c r="B9" s="1103" t="s">
        <v>684</v>
      </c>
      <c r="C9" s="1103" t="s">
        <v>683</v>
      </c>
      <c r="D9" s="1104" t="s">
        <v>692</v>
      </c>
      <c r="E9" s="1104" t="s">
        <v>693</v>
      </c>
      <c r="F9" s="1104" t="s">
        <v>705</v>
      </c>
      <c r="G9" s="1104" t="s">
        <v>706</v>
      </c>
      <c r="H9" s="1104" t="s">
        <v>708</v>
      </c>
      <c r="I9" s="1104" t="s">
        <v>712</v>
      </c>
      <c r="J9" s="1104" t="s">
        <v>713</v>
      </c>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row>
    <row r="10" spans="1:129" s="804" customFormat="1" hidden="1" x14ac:dyDescent="0.25">
      <c r="B10" s="1104" t="s">
        <v>773</v>
      </c>
      <c r="C10" s="1105">
        <v>41883</v>
      </c>
      <c r="D10" s="1110">
        <v>0.60930030333670371</v>
      </c>
      <c r="E10" s="1112">
        <v>2.6244000000000001</v>
      </c>
      <c r="F10" s="1112">
        <v>1.6231884057971016</v>
      </c>
      <c r="G10" s="1112">
        <v>1.0777656249999998</v>
      </c>
      <c r="H10" s="1112">
        <v>3.3890049751243785</v>
      </c>
      <c r="I10" s="1112">
        <v>13.213188405797101</v>
      </c>
      <c r="J10" s="1112">
        <v>1.6991209677419357</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row>
    <row r="11" spans="1:129" s="804" customFormat="1" hidden="1" x14ac:dyDescent="0.25">
      <c r="B11" s="1104" t="s">
        <v>774</v>
      </c>
      <c r="C11" s="1105">
        <v>41897</v>
      </c>
      <c r="D11" s="1110">
        <v>0.38338523761375126</v>
      </c>
      <c r="E11" s="1112">
        <v>2.0282909090909089</v>
      </c>
      <c r="F11" s="1112">
        <v>1.6231884057971016</v>
      </c>
      <c r="G11" s="1112">
        <v>0.67018749999999994</v>
      </c>
      <c r="H11" s="1112">
        <v>3.2135323383084575</v>
      </c>
      <c r="I11" s="1112">
        <v>2.9881884057971009</v>
      </c>
      <c r="J11" s="1112">
        <v>1.2597419354838708</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row>
    <row r="12" spans="1:129" s="804" customFormat="1" hidden="1" x14ac:dyDescent="0.25">
      <c r="B12" s="1104" t="s">
        <v>813</v>
      </c>
      <c r="C12" s="1105">
        <v>41912</v>
      </c>
      <c r="D12" s="1110">
        <v>0.34038220424671389</v>
      </c>
      <c r="E12" s="1112">
        <v>1.1728636363636364</v>
      </c>
      <c r="F12" s="1112">
        <v>1.6231884057971016</v>
      </c>
      <c r="G12" s="1112">
        <v>0.54676562500000003</v>
      </c>
      <c r="H12" s="1112">
        <v>1.3378109452736318</v>
      </c>
      <c r="I12" s="1112">
        <v>0.7095652173913044</v>
      </c>
      <c r="J12" s="1112">
        <v>1.1616532258064516</v>
      </c>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row>
    <row r="13" spans="1:129" s="804" customFormat="1" hidden="1" x14ac:dyDescent="0.25">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row>
    <row r="14" spans="1:129" s="804" customFormat="1" hidden="1" x14ac:dyDescent="0.25">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row>
    <row r="15" spans="1:129" s="804" customFormat="1" hidden="1" x14ac:dyDescent="0.25">
      <c r="B15"/>
      <c r="C15"/>
      <c r="D15"/>
      <c r="E15"/>
      <c r="F15"/>
      <c r="G15"/>
      <c r="H15"/>
      <c r="I15"/>
      <c r="J15"/>
      <c r="K15"/>
      <c r="L15"/>
      <c r="M15"/>
      <c r="N15"/>
      <c r="O15"/>
      <c r="P15"/>
      <c r="Q15"/>
      <c r="R15"/>
      <c r="S15"/>
      <c r="T15"/>
      <c r="U15"/>
      <c r="V15"/>
      <c r="W15"/>
      <c r="X15"/>
      <c r="Y15"/>
    </row>
    <row r="16" spans="1:129" s="804" customFormat="1" hidden="1" x14ac:dyDescent="0.25">
      <c r="B16"/>
      <c r="C16"/>
      <c r="D16"/>
      <c r="E16"/>
      <c r="F16"/>
      <c r="G16"/>
      <c r="H16"/>
      <c r="I16"/>
      <c r="J16"/>
      <c r="K16"/>
      <c r="L16"/>
      <c r="M16"/>
      <c r="N16"/>
      <c r="O16"/>
      <c r="P16"/>
      <c r="Q16"/>
      <c r="R16"/>
      <c r="S16"/>
      <c r="T16"/>
      <c r="U16"/>
      <c r="V16"/>
      <c r="W16"/>
      <c r="X16"/>
      <c r="Y16"/>
    </row>
    <row r="17" spans="2:25" s="823" customFormat="1" hidden="1" x14ac:dyDescent="0.25">
      <c r="B17"/>
      <c r="C17"/>
      <c r="D17"/>
      <c r="E17"/>
      <c r="F17"/>
      <c r="G17"/>
      <c r="H17"/>
      <c r="I17"/>
      <c r="J17"/>
      <c r="K17"/>
      <c r="L17"/>
      <c r="M17"/>
      <c r="N17"/>
      <c r="O17"/>
      <c r="P17"/>
      <c r="Q17"/>
      <c r="R17"/>
      <c r="S17"/>
      <c r="T17"/>
      <c r="U17"/>
      <c r="V17"/>
      <c r="W17"/>
      <c r="X17"/>
      <c r="Y17"/>
    </row>
    <row r="18" spans="2:25" s="823" customFormat="1" hidden="1" x14ac:dyDescent="0.25">
      <c r="B18"/>
      <c r="C18"/>
      <c r="D18"/>
      <c r="E18"/>
      <c r="F18"/>
      <c r="G18"/>
      <c r="H18"/>
      <c r="I18"/>
      <c r="J18"/>
      <c r="K18"/>
      <c r="L18"/>
      <c r="M18"/>
      <c r="N18"/>
      <c r="O18"/>
      <c r="P18"/>
      <c r="Q18"/>
      <c r="R18"/>
      <c r="S18"/>
      <c r="T18"/>
      <c r="U18"/>
      <c r="V18"/>
      <c r="W18"/>
      <c r="X18"/>
      <c r="Y18"/>
    </row>
    <row r="19" spans="2:25" s="823" customFormat="1" hidden="1" x14ac:dyDescent="0.25">
      <c r="B19"/>
      <c r="C19"/>
      <c r="D19"/>
      <c r="E19"/>
      <c r="F19"/>
      <c r="G19"/>
      <c r="H19"/>
      <c r="I19"/>
      <c r="J19"/>
      <c r="K19"/>
      <c r="L19"/>
      <c r="M19"/>
    </row>
    <row r="20" spans="2:25" s="823" customFormat="1" hidden="1" x14ac:dyDescent="0.25">
      <c r="B20"/>
      <c r="C20"/>
      <c r="D20"/>
      <c r="E20"/>
      <c r="F20"/>
      <c r="G20"/>
      <c r="H20"/>
      <c r="I20"/>
      <c r="J20"/>
      <c r="K20"/>
      <c r="L20"/>
      <c r="M20"/>
    </row>
    <row r="21" spans="2:25" s="823" customFormat="1" hidden="1" x14ac:dyDescent="0.25">
      <c r="B21"/>
      <c r="C21"/>
      <c r="D21"/>
      <c r="E21"/>
      <c r="F21"/>
      <c r="G21"/>
      <c r="H21"/>
      <c r="I21"/>
      <c r="J21"/>
      <c r="K21"/>
      <c r="L21"/>
      <c r="M21"/>
    </row>
    <row r="22" spans="2:25" s="823" customFormat="1" hidden="1" x14ac:dyDescent="0.25">
      <c r="B22"/>
      <c r="C22"/>
      <c r="D22"/>
      <c r="E22"/>
      <c r="F22"/>
      <c r="G22"/>
      <c r="H22"/>
      <c r="I22"/>
      <c r="J22"/>
      <c r="K22"/>
      <c r="L22"/>
      <c r="M22"/>
    </row>
    <row r="23" spans="2:25" s="823" customFormat="1" hidden="1" x14ac:dyDescent="0.25">
      <c r="B23"/>
      <c r="C23"/>
      <c r="D23"/>
      <c r="E23"/>
      <c r="F23"/>
      <c r="G23"/>
    </row>
    <row r="24" spans="2:25" s="823" customFormat="1" hidden="1" x14ac:dyDescent="0.25">
      <c r="B24"/>
      <c r="C24"/>
      <c r="D24"/>
      <c r="E24"/>
      <c r="F24"/>
      <c r="G24"/>
    </row>
    <row r="25" spans="2:25" s="823" customFormat="1" hidden="1" x14ac:dyDescent="0.25">
      <c r="B25"/>
      <c r="C25"/>
      <c r="D25"/>
      <c r="E25"/>
      <c r="F25"/>
      <c r="G25"/>
    </row>
    <row r="26" spans="2:25" s="823" customFormat="1" hidden="1" x14ac:dyDescent="0.25">
      <c r="B26"/>
      <c r="C26"/>
      <c r="D26"/>
      <c r="E26"/>
      <c r="F26"/>
      <c r="G26"/>
    </row>
    <row r="27" spans="2:25" s="823" customFormat="1" hidden="1" x14ac:dyDescent="0.25">
      <c r="B27"/>
      <c r="C27"/>
      <c r="D27"/>
      <c r="E27"/>
      <c r="F27"/>
      <c r="G27"/>
    </row>
    <row r="28" spans="2:25" s="823" customFormat="1" hidden="1" x14ac:dyDescent="0.25">
      <c r="B28"/>
      <c r="C28"/>
      <c r="D28"/>
      <c r="E28"/>
      <c r="F28"/>
      <c r="G28"/>
    </row>
    <row r="29" spans="2:25" s="823" customFormat="1" hidden="1" x14ac:dyDescent="0.25">
      <c r="B29"/>
      <c r="C29"/>
      <c r="D29"/>
      <c r="E29"/>
      <c r="F29"/>
      <c r="G29"/>
    </row>
    <row r="30" spans="2:25" s="823" customFormat="1" hidden="1" x14ac:dyDescent="0.25">
      <c r="B30"/>
      <c r="C30"/>
      <c r="D30"/>
      <c r="E30"/>
      <c r="F30"/>
      <c r="G30"/>
    </row>
    <row r="31" spans="2:25" s="823" customFormat="1" hidden="1" x14ac:dyDescent="0.25">
      <c r="B31"/>
      <c r="C31"/>
      <c r="D31"/>
      <c r="E31"/>
      <c r="F31"/>
      <c r="G31"/>
    </row>
    <row r="32" spans="2:25" s="823" customFormat="1" hidden="1" x14ac:dyDescent="0.25">
      <c r="B32"/>
      <c r="C32"/>
      <c r="D32"/>
      <c r="E32"/>
      <c r="F32"/>
      <c r="G32"/>
    </row>
    <row r="33" s="823" customFormat="1" ht="12.75" hidden="1" x14ac:dyDescent="0.2"/>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7921"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7922"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7923"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7924" r:id="rId7" name="Button 4">
              <controlPr defaultSize="0" print="0" autoFill="0" autoPict="0" macro="[0]!Goto_PivotTable1">
                <anchor>
                  <from>
                    <xdr:col>8</xdr:col>
                    <xdr:colOff>276225</xdr:colOff>
                    <xdr:row>0</xdr:row>
                    <xdr:rowOff>180975</xdr:rowOff>
                  </from>
                  <to>
                    <xdr:col>9</xdr:col>
                    <xdr:colOff>0</xdr:colOff>
                    <xdr:row>3</xdr:row>
                    <xdr:rowOff>133350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8" max="8"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A2" s="897"/>
      <c r="B2" s="898"/>
      <c r="C2" s="899"/>
      <c r="D2" s="37"/>
      <c r="E2" s="32"/>
      <c r="F2" s="32"/>
      <c r="G2" s="32"/>
      <c r="H2" s="32"/>
      <c r="I2" s="32"/>
      <c r="J2" s="1137"/>
      <c r="K2" s="1137"/>
      <c r="L2" s="1137"/>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98" t="s">
        <v>240</v>
      </c>
      <c r="C25" s="37"/>
      <c r="D25" s="798" t="str">
        <f>RationName</f>
        <v>Example saved ration 1</v>
      </c>
      <c r="E25" s="32"/>
      <c r="G25" s="99" t="s">
        <v>184</v>
      </c>
      <c r="H25" s="799">
        <f>D27</f>
        <v>41883</v>
      </c>
      <c r="I25" s="694" t="s">
        <v>635</v>
      </c>
      <c r="K25" s="691">
        <f>RationEnergyContent</f>
        <v>2225.8480000000004</v>
      </c>
      <c r="L25" s="100" t="s">
        <v>137</v>
      </c>
    </row>
    <row r="26" spans="1:12" x14ac:dyDescent="0.25">
      <c r="A26" s="104"/>
      <c r="B26" s="32"/>
      <c r="C26" s="32"/>
      <c r="E26" s="32"/>
      <c r="F26" s="32"/>
      <c r="G26" s="32"/>
      <c r="H26" s="32"/>
      <c r="I26" s="32"/>
      <c r="J26" s="32"/>
      <c r="K26" s="32"/>
      <c r="L26" s="32"/>
    </row>
    <row r="27" spans="1:12" x14ac:dyDescent="0.25">
      <c r="A27" s="104"/>
      <c r="C27" s="901"/>
      <c r="D27" s="801">
        <f>RationDate</f>
        <v>41883</v>
      </c>
      <c r="I27" s="32"/>
      <c r="K27" s="32"/>
      <c r="L27" s="32"/>
    </row>
    <row r="28" spans="1:12" x14ac:dyDescent="0.25">
      <c r="A28" s="104"/>
      <c r="B28" s="32"/>
      <c r="C28" s="32"/>
      <c r="E28" s="32"/>
      <c r="G28" s="32"/>
      <c r="H28" s="32"/>
      <c r="I28" s="32"/>
      <c r="J28" s="32"/>
      <c r="K28" s="32"/>
      <c r="L28" s="32"/>
    </row>
  </sheetData>
  <sheetProtection password="CAB5" sheet="1" objects="1" scenarios="1" selectLockedCells="1" selectUnlockedCells="1"/>
  <customSheetViews>
    <customSheetView guid="{3EA4A73F-A388-49D1-AD67-268667AF56E2}" showRowCol="0" showRuler="0">
      <selection sqref="A1:M26"/>
      <rowBreaks count="2" manualBreakCount="2">
        <brk id="26" max="16383" man="1"/>
        <brk id="4131" max="16383" man="1"/>
      </rowBreaks>
      <pageMargins left="0.75" right="0.75" top="1" bottom="1" header="0.5" footer="0.5"/>
      <pageSetup paperSize="9" scale="65" orientation="portrait" horizontalDpi="4294967293" verticalDpi="4294967293" r:id="rId1"/>
      <headerFooter alignWithMargins="0"/>
    </customSheetView>
  </customSheetViews>
  <mergeCells count="2">
    <mergeCell ref="B1:L1"/>
    <mergeCell ref="J2:L2"/>
  </mergeCells>
  <phoneticPr fontId="0" type="noConversion"/>
  <pageMargins left="0.75" right="0.75" top="1" bottom="1" header="0.5" footer="0.5"/>
  <pageSetup paperSize="9" scale="65" orientation="portrait" horizontalDpi="4294967293" verticalDpi="4294967293" r:id="rId2"/>
  <headerFooter alignWithMargins="0"/>
  <rowBreaks count="1" manualBreakCount="1">
    <brk id="26"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3539514" r:id="rId5" name="Button 1594">
              <controlPr defaultSize="0" print="0" autoFill="0" autoPict="0" macro="[0]!Goto_Menu1">
                <anchor>
                  <from>
                    <xdr:col>1</xdr:col>
                    <xdr:colOff>9525</xdr:colOff>
                    <xdr:row>0</xdr:row>
                    <xdr:rowOff>142875</xdr:rowOff>
                  </from>
                  <to>
                    <xdr:col>2</xdr:col>
                    <xdr:colOff>323850</xdr:colOff>
                    <xdr:row>2</xdr:row>
                    <xdr:rowOff>28575</xdr:rowOff>
                  </to>
                </anchor>
              </controlPr>
            </control>
          </mc:Choice>
        </mc:AlternateContent>
        <mc:AlternateContent xmlns:mc="http://schemas.openxmlformats.org/markup-compatibility/2006">
          <mc:Choice Requires="x14">
            <control shapeId="3539517" r:id="rId6" name="Button 1597">
              <controlPr defaultSize="0" print="0" autoFill="0" autoPict="0" macro="[0]!Goto_Calculation_Sheet">
                <anchor>
                  <from>
                    <xdr:col>9</xdr:col>
                    <xdr:colOff>752475</xdr:colOff>
                    <xdr:row>0</xdr:row>
                    <xdr:rowOff>152400</xdr:rowOff>
                  </from>
                  <to>
                    <xdr:col>11</xdr:col>
                    <xdr:colOff>742950</xdr:colOff>
                    <xdr:row>2</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sheetPr>
  <dimension ref="A1:N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7" width="8.88671875" style="32"/>
    <col min="8" max="8" width="9.88671875" style="32" bestFit="1" customWidth="1"/>
    <col min="9"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4" x14ac:dyDescent="0.25">
      <c r="B25" s="505" t="s">
        <v>322</v>
      </c>
      <c r="C25" s="37"/>
      <c r="D25" s="798" t="str">
        <f>RationName</f>
        <v>Example saved ration 1</v>
      </c>
      <c r="E25" s="692"/>
      <c r="G25" s="99" t="s">
        <v>184</v>
      </c>
      <c r="H25" s="800">
        <f>D27</f>
        <v>41883</v>
      </c>
      <c r="I25" s="693" t="s">
        <v>636</v>
      </c>
      <c r="K25" s="690">
        <f>RationEnergyContent</f>
        <v>2225.8480000000004</v>
      </c>
      <c r="L25" s="100" t="s">
        <v>137</v>
      </c>
    </row>
    <row r="27" spans="1:14" x14ac:dyDescent="0.25">
      <c r="D27" s="902">
        <f>RationDate</f>
        <v>41883</v>
      </c>
    </row>
    <row r="28" spans="1:14" x14ac:dyDescent="0.25">
      <c r="A28" s="285"/>
      <c r="B28" s="905" t="s">
        <v>330</v>
      </c>
      <c r="C28" s="906" t="s">
        <v>281</v>
      </c>
      <c r="D28" s="907" t="s">
        <v>331</v>
      </c>
      <c r="E28" s="907" t="s">
        <v>332</v>
      </c>
      <c r="F28" s="907" t="s">
        <v>333</v>
      </c>
      <c r="G28" s="907" t="s">
        <v>334</v>
      </c>
      <c r="H28" s="907" t="s">
        <v>335</v>
      </c>
      <c r="I28" s="907" t="s">
        <v>336</v>
      </c>
      <c r="J28" s="907" t="s">
        <v>337</v>
      </c>
      <c r="K28" s="907" t="s">
        <v>338</v>
      </c>
      <c r="L28" s="907" t="s">
        <v>653</v>
      </c>
      <c r="M28" s="907" t="s">
        <v>340</v>
      </c>
      <c r="N28" s="907" t="s">
        <v>654</v>
      </c>
    </row>
  </sheetData>
  <sheetProtection password="CAB5" sheet="1" objects="1" scenarios="1" selectLockedCells="1"/>
  <mergeCells count="2">
    <mergeCell ref="B1:L1"/>
    <mergeCell ref="J2:L2"/>
  </mergeCells>
  <pageMargins left="0.75" right="0.75" top="0.9" bottom="1" header="0.5" footer="0.5"/>
  <pageSetup paperSize="9" orientation="landscape"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93071" r:id="rId4" name="Button 1007">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2393073" r:id="rId5" name="Button 1009">
              <controlPr defaultSize="0" print="0" autoFill="0" autoPict="0" macro="[0]!Goto_Calculation_Sheet">
                <anchor>
                  <from>
                    <xdr:col>9</xdr:col>
                    <xdr:colOff>685800</xdr:colOff>
                    <xdr:row>0</xdr:row>
                    <xdr:rowOff>142875</xdr:rowOff>
                  </from>
                  <to>
                    <xdr:col>11</xdr:col>
                    <xdr:colOff>619125</xdr:colOff>
                    <xdr:row>2</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autoPageBreaks="0"/>
  </sheetPr>
  <dimension ref="A1:N28"/>
  <sheetViews>
    <sheetView showGridLines="0" showRowColHeaders="0" workbookViewId="0">
      <selection activeCell="C5" sqref="C5"/>
    </sheetView>
  </sheetViews>
  <sheetFormatPr defaultRowHeight="15.75" x14ac:dyDescent="0.25"/>
  <cols>
    <col min="1" max="1" width="7.21875" style="106"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4" x14ac:dyDescent="0.25">
      <c r="A17" s="104"/>
      <c r="B17" s="32"/>
      <c r="C17" s="32"/>
      <c r="D17" s="32"/>
      <c r="E17" s="32"/>
      <c r="F17" s="32"/>
      <c r="G17" s="32"/>
      <c r="H17" s="32"/>
      <c r="I17" s="32"/>
      <c r="J17" s="32"/>
      <c r="K17" s="32"/>
      <c r="L17" s="32"/>
    </row>
    <row r="18" spans="1:14" x14ac:dyDescent="0.25">
      <c r="A18" s="104"/>
      <c r="B18" s="32"/>
      <c r="C18" s="32"/>
      <c r="D18" s="32"/>
      <c r="E18" s="32"/>
      <c r="F18" s="32"/>
      <c r="G18" s="32"/>
      <c r="H18" s="32"/>
      <c r="I18" s="32"/>
      <c r="J18" s="32"/>
      <c r="K18" s="32"/>
      <c r="L18" s="32"/>
    </row>
    <row r="19" spans="1:14" x14ac:dyDescent="0.25">
      <c r="A19" s="104"/>
      <c r="B19" s="32"/>
      <c r="C19" s="32"/>
      <c r="D19" s="32"/>
      <c r="E19" s="32"/>
      <c r="F19" s="32"/>
      <c r="G19" s="32"/>
      <c r="H19" s="32"/>
      <c r="I19" s="32"/>
      <c r="J19" s="32"/>
      <c r="K19" s="32"/>
      <c r="L19" s="32"/>
    </row>
    <row r="20" spans="1:14" x14ac:dyDescent="0.25">
      <c r="A20" s="104"/>
      <c r="B20" s="32"/>
      <c r="C20" s="32"/>
      <c r="D20" s="32"/>
      <c r="E20" s="32"/>
      <c r="F20" s="32"/>
      <c r="G20" s="32"/>
      <c r="H20" s="32"/>
      <c r="I20" s="32"/>
      <c r="J20" s="32"/>
      <c r="K20" s="32"/>
      <c r="L20" s="32"/>
    </row>
    <row r="21" spans="1:14" x14ac:dyDescent="0.25">
      <c r="A21" s="104"/>
      <c r="B21" s="32"/>
      <c r="C21" s="32"/>
      <c r="D21" s="32"/>
      <c r="E21" s="32"/>
      <c r="F21" s="32"/>
      <c r="G21" s="32"/>
      <c r="H21" s="32"/>
      <c r="I21" s="32"/>
      <c r="J21" s="32"/>
      <c r="K21" s="32"/>
      <c r="L21" s="32"/>
    </row>
    <row r="22" spans="1:14" x14ac:dyDescent="0.25">
      <c r="A22" s="104"/>
      <c r="B22" s="32"/>
      <c r="C22" s="32"/>
      <c r="D22" s="32"/>
      <c r="E22" s="32"/>
      <c r="F22" s="32"/>
      <c r="G22" s="32"/>
      <c r="H22" s="32"/>
      <c r="I22" s="32"/>
      <c r="J22" s="32"/>
      <c r="K22" s="32"/>
      <c r="L22" s="32"/>
    </row>
    <row r="23" spans="1:14" x14ac:dyDescent="0.25">
      <c r="A23" s="104"/>
      <c r="B23" s="32"/>
      <c r="C23" s="32"/>
      <c r="D23" s="32"/>
      <c r="E23" s="32"/>
      <c r="F23" s="32"/>
      <c r="G23" s="32"/>
      <c r="H23" s="32"/>
      <c r="I23" s="32"/>
      <c r="J23" s="32"/>
      <c r="K23" s="32"/>
      <c r="L23" s="32"/>
    </row>
    <row r="24" spans="1:14" x14ac:dyDescent="0.25">
      <c r="A24" s="104"/>
      <c r="B24" s="32"/>
      <c r="C24" s="32"/>
      <c r="D24" s="32"/>
      <c r="E24" s="32"/>
      <c r="F24" s="32"/>
      <c r="G24" s="32"/>
      <c r="H24" s="32"/>
      <c r="I24" s="32"/>
      <c r="J24" s="32"/>
      <c r="K24" s="32"/>
      <c r="L24" s="32"/>
    </row>
    <row r="25" spans="1:14" x14ac:dyDescent="0.25">
      <c r="A25" s="104"/>
      <c r="B25" s="98" t="s">
        <v>240</v>
      </c>
      <c r="C25" s="37"/>
      <c r="D25" s="798" t="str">
        <f>RationName</f>
        <v>Example saved ration 1</v>
      </c>
      <c r="E25" s="32"/>
      <c r="G25" s="99" t="s">
        <v>184</v>
      </c>
      <c r="H25" s="800">
        <f>D27</f>
        <v>41883</v>
      </c>
      <c r="J25" s="748" t="s">
        <v>636</v>
      </c>
      <c r="K25" s="691">
        <f>RationEnergyContent</f>
        <v>2225.8480000000004</v>
      </c>
      <c r="L25" s="100" t="s">
        <v>137</v>
      </c>
    </row>
    <row r="26" spans="1:14" x14ac:dyDescent="0.25">
      <c r="A26" s="104"/>
      <c r="B26" s="32"/>
      <c r="C26" s="32"/>
      <c r="D26" s="32"/>
      <c r="E26" s="32"/>
      <c r="F26" s="32"/>
      <c r="G26" s="32"/>
      <c r="H26" s="32"/>
      <c r="I26" s="32"/>
      <c r="J26" s="32"/>
      <c r="K26" s="32"/>
      <c r="L26" s="32"/>
    </row>
    <row r="27" spans="1:14" x14ac:dyDescent="0.25">
      <c r="A27" s="104"/>
      <c r="B27" s="32"/>
      <c r="C27" s="32"/>
      <c r="D27" s="909">
        <f>RationDate</f>
        <v>41883</v>
      </c>
      <c r="E27" s="32"/>
      <c r="F27" s="32"/>
      <c r="G27" s="32"/>
      <c r="H27" s="32"/>
      <c r="I27" s="32"/>
      <c r="J27" s="32"/>
      <c r="K27" s="32"/>
      <c r="L27" s="32"/>
    </row>
    <row r="28" spans="1:14" x14ac:dyDescent="0.25">
      <c r="A28" s="287"/>
      <c r="B28" s="906" t="s">
        <v>281</v>
      </c>
      <c r="C28" s="907" t="s">
        <v>331</v>
      </c>
      <c r="D28" s="907" t="s">
        <v>332</v>
      </c>
      <c r="E28" s="907" t="s">
        <v>333</v>
      </c>
      <c r="F28" s="907" t="s">
        <v>334</v>
      </c>
      <c r="G28" s="907" t="s">
        <v>335</v>
      </c>
      <c r="H28" s="907" t="s">
        <v>336</v>
      </c>
      <c r="I28" s="907" t="s">
        <v>337</v>
      </c>
      <c r="J28" s="907" t="s">
        <v>338</v>
      </c>
      <c r="K28" s="907" t="s">
        <v>653</v>
      </c>
      <c r="L28" s="907" t="s">
        <v>340</v>
      </c>
      <c r="M28" s="907" t="s">
        <v>654</v>
      </c>
      <c r="N28" s="65"/>
    </row>
  </sheetData>
  <sheetProtection password="CAB5" sheet="1" objects="1" scenarios="1" selectLockedCells="1" selectUnlockedCell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10471" r:id="rId4" name="Button 999">
              <controlPr defaultSize="0" print="0" autoFill="0" autoPict="0" macro="[0]!Goto_Menu1">
                <anchor>
                  <from>
                    <xdr:col>1</xdr:col>
                    <xdr:colOff>9525</xdr:colOff>
                    <xdr:row>0</xdr:row>
                    <xdr:rowOff>133350</xdr:rowOff>
                  </from>
                  <to>
                    <xdr:col>2</xdr:col>
                    <xdr:colOff>323850</xdr:colOff>
                    <xdr:row>2</xdr:row>
                    <xdr:rowOff>19050</xdr:rowOff>
                  </to>
                </anchor>
              </controlPr>
            </control>
          </mc:Choice>
        </mc:AlternateContent>
        <mc:AlternateContent xmlns:mc="http://schemas.openxmlformats.org/markup-compatibility/2006">
          <mc:Choice Requires="x14">
            <control shapeId="2410473" r:id="rId5" name="Button 1001">
              <controlPr defaultSize="0" print="0" autoFill="0" autoPict="0" macro="[0]!Goto_Calculation_Sheet">
                <anchor>
                  <from>
                    <xdr:col>10</xdr:col>
                    <xdr:colOff>76200</xdr:colOff>
                    <xdr:row>0</xdr:row>
                    <xdr:rowOff>142875</xdr:rowOff>
                  </from>
                  <to>
                    <xdr:col>12</xdr:col>
                    <xdr:colOff>66675</xdr:colOff>
                    <xdr:row>2</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sheetPr>
  <dimension ref="A1:M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2" x14ac:dyDescent="0.25">
      <c r="B25" s="505" t="s">
        <v>322</v>
      </c>
      <c r="C25" s="37"/>
      <c r="D25" s="797" t="str">
        <f>RationName</f>
        <v>Example saved ration 1</v>
      </c>
      <c r="E25" s="692"/>
      <c r="G25" s="99" t="s">
        <v>184</v>
      </c>
      <c r="H25" s="800">
        <f>D27</f>
        <v>41883</v>
      </c>
      <c r="I25" s="693" t="s">
        <v>636</v>
      </c>
      <c r="K25" s="690">
        <f>RationEnergyContent</f>
        <v>2225.8480000000004</v>
      </c>
      <c r="L25" s="100" t="s">
        <v>137</v>
      </c>
    </row>
    <row r="27" spans="1:12" x14ac:dyDescent="0.25">
      <c r="D27" s="902">
        <f>RationDate</f>
        <v>41883</v>
      </c>
    </row>
    <row r="28" spans="1:12" x14ac:dyDescent="0.25">
      <c r="A28" s="285"/>
      <c r="B28" s="903" t="s">
        <v>330</v>
      </c>
      <c r="C28" s="904" t="s">
        <v>245</v>
      </c>
      <c r="D28" s="904" t="s">
        <v>246</v>
      </c>
      <c r="E28" s="908" t="s">
        <v>119</v>
      </c>
      <c r="F28" s="908" t="s">
        <v>641</v>
      </c>
      <c r="G28" s="908" t="s">
        <v>643</v>
      </c>
      <c r="H28" s="908" t="s">
        <v>645</v>
      </c>
      <c r="I28" s="908" t="s">
        <v>646</v>
      </c>
      <c r="J28" s="908" t="s">
        <v>648</v>
      </c>
      <c r="K28" s="908" t="s">
        <v>649</v>
      </c>
      <c r="L28" s="900"/>
    </row>
  </sheetData>
  <sheetProtection password="CAB5" sheet="1" objects="1" scenarios="1" selectLockedCells="1" selectUnlockedCells="1"/>
  <customSheetViews>
    <customSheetView guid="{662328B1-0775-4F70-9698-998A355FC5BA}" showGridLines="0" showRowCol="0" outlineSymbols="0" showRuler="0">
      <selection activeCell="B3" sqref="B3:D3"/>
      <pageMargins left="0.75" right="0.75" top="0.9" bottom="1" header="0.5" footer="0.5"/>
      <pageSetup paperSize="9" orientation="landscape" horizontalDpi="4294967293" verticalDpi="4294967293" r:id="rId1"/>
      <headerFooter alignWithMargins="0"/>
    </customSheetView>
    <customSheetView guid="{D9DE8450-BFB9-43C9-99CE-F387EC95D082}" showGridLines="0" showRowCol="0" outlineSymbols="0" showRuler="0">
      <selection activeCell="B29" sqref="B29:D29"/>
      <pageMargins left="0.75" right="0.75" top="1" bottom="1" header="0.5" footer="0.5"/>
      <pageSetup paperSize="9" orientation="landscape" horizontalDpi="4294967293" verticalDpi="4294967293" r:id="rId2"/>
      <headerFooter alignWithMargins="0"/>
    </customSheetView>
    <customSheetView guid="{5C3D267B-61EB-4FFE-BD22-532277CBABA0}" showGridLines="0" showRowCol="0" outlineSymbols="0" showRuler="0">
      <selection activeCell="B29" sqref="B29:D29"/>
      <pageMargins left="0.75" right="0.75" top="1" bottom="1" header="0.5" footer="0.5"/>
      <pageSetup paperSize="9" orientation="landscape" horizontalDpi="4294967293" verticalDpi="4294967293" r:id="rId3"/>
      <headerFooter alignWithMargins="0"/>
    </customSheetView>
    <customSheetView guid="{BA4F6A8B-B7E1-468F-AE8D-B0079A2D20E5}" showGridLines="0" showRowCol="0" outlineSymbols="0" showRuler="0">
      <selection activeCell="B29" sqref="B29:D29"/>
      <pageMargins left="0.75" right="0.75" top="1" bottom="1" header="0.5" footer="0.5"/>
      <pageSetup paperSize="9" orientation="landscape" horizontalDpi="4294967293" verticalDpi="4294967293" r:id="rId4"/>
      <headerFooter alignWithMargins="0"/>
    </customSheetView>
    <customSheetView guid="{93429E49-92B0-4925-8D04-D425145938FD}" showGridLines="0" showRowCol="0" outlineSymbols="0" showRuler="0">
      <selection activeCell="B29" sqref="B29:D29"/>
      <pageMargins left="0.75" right="0.75" top="1" bottom="1" header="0.5" footer="0.5"/>
      <pageSetup paperSize="9" orientation="landscape" horizontalDpi="4294967293" verticalDpi="4294967293" r:id="rId5"/>
      <headerFooter alignWithMargins="0"/>
    </customSheetView>
    <customSheetView guid="{E422BA57-AFCC-4512-A22E-E75FB5198808}" showGridLines="0" showRowCol="0" outlineSymbols="0" showRuler="0">
      <selection activeCell="B29" sqref="B29:D29"/>
      <pageMargins left="0.75" right="0.75" top="1" bottom="1" header="0.5" footer="0.5"/>
      <pageSetup paperSize="9" orientation="landscape" horizontalDpi="4294967293" verticalDpi="4294967293" r:id="rId6"/>
      <headerFooter alignWithMargins="0"/>
    </customSheetView>
    <customSheetView guid="{818A4ACB-56B8-4736-9E14-BA18A36B5B2F}" showGridLines="0" showRowCol="0" outlineSymbols="0" showRuler="0">
      <selection activeCell="B29" sqref="B29:D29"/>
      <pageMargins left="0.75" right="0.75" top="1" bottom="1" header="0.5" footer="0.5"/>
      <pageSetup paperSize="9" orientation="landscape" horizontalDpi="4294967293" verticalDpi="4294967293" r:id="rId7"/>
      <headerFooter alignWithMargins="0"/>
    </customSheetView>
    <customSheetView guid="{3EA4A73F-A388-49D1-AD67-268667AF56E2}" showGridLines="0" showRowCol="0" showRuler="0">
      <selection activeCell="J2" sqref="J2:L2"/>
      <pageMargins left="0.75" right="0.75" top="0.9" bottom="1" header="0.5" footer="0.5"/>
      <pageSetup paperSize="9" orientation="landscape" horizontalDpi="4294967293" verticalDpi="4294967293" r:id="rId8"/>
      <headerFooter alignWithMargins="0"/>
    </customSheetView>
  </customSheetViews>
  <mergeCells count="2">
    <mergeCell ref="B1:L1"/>
    <mergeCell ref="J2:L2"/>
  </mergeCells>
  <phoneticPr fontId="0" type="noConversion"/>
  <pageMargins left="0.75" right="0.75" top="0.9" bottom="1" header="0.5" footer="0.5"/>
  <pageSetup paperSize="9" orientation="landscape"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3542586" r:id="rId12" name="Button 1594">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3542588" r:id="rId13" name="Button 1596">
              <controlPr defaultSize="0" print="0" autoFill="0" autoPict="0" macro="[0]!Goto_Calculation_Sheet">
                <anchor>
                  <from>
                    <xdr:col>10</xdr:col>
                    <xdr:colOff>9525</xdr:colOff>
                    <xdr:row>0</xdr:row>
                    <xdr:rowOff>142875</xdr:rowOff>
                  </from>
                  <to>
                    <xdr:col>11</xdr:col>
                    <xdr:colOff>704850</xdr:colOff>
                    <xdr:row>2</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4" max="4"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505" t="s">
        <v>322</v>
      </c>
      <c r="C25" s="37"/>
      <c r="D25" s="798" t="str">
        <f>RationName</f>
        <v>Example saved ration 1</v>
      </c>
      <c r="E25" s="32"/>
      <c r="G25" s="99" t="s">
        <v>184</v>
      </c>
      <c r="H25" s="800">
        <f>D27</f>
        <v>41883</v>
      </c>
      <c r="J25" s="748" t="s">
        <v>636</v>
      </c>
      <c r="K25" s="691">
        <f>RationEnergyContent</f>
        <v>2225.8480000000004</v>
      </c>
      <c r="L25" s="100" t="s">
        <v>137</v>
      </c>
    </row>
    <row r="26" spans="1:12" x14ac:dyDescent="0.25">
      <c r="A26" s="104"/>
      <c r="B26" s="32"/>
      <c r="C26" s="32"/>
      <c r="D26" s="32"/>
      <c r="E26" s="32"/>
      <c r="F26" s="32"/>
      <c r="G26" s="32"/>
      <c r="H26" s="32"/>
      <c r="I26" s="32"/>
      <c r="J26" s="32"/>
      <c r="K26" s="32"/>
      <c r="L26" s="32"/>
    </row>
    <row r="27" spans="1:12" x14ac:dyDescent="0.25">
      <c r="A27" s="104"/>
      <c r="B27" s="32"/>
      <c r="C27" s="32"/>
      <c r="D27" s="910">
        <f>RationDate</f>
        <v>41883</v>
      </c>
      <c r="E27" s="32"/>
      <c r="F27" s="32"/>
      <c r="G27" s="32"/>
      <c r="H27" s="32"/>
      <c r="I27" s="32"/>
      <c r="J27" s="32"/>
      <c r="K27" s="32"/>
      <c r="L27" s="32"/>
    </row>
    <row r="28" spans="1:12" x14ac:dyDescent="0.25">
      <c r="A28" s="287"/>
      <c r="B28" s="904" t="s">
        <v>245</v>
      </c>
      <c r="C28" s="904" t="s">
        <v>246</v>
      </c>
      <c r="D28" s="908" t="s">
        <v>119</v>
      </c>
      <c r="E28" s="911" t="s">
        <v>641</v>
      </c>
      <c r="F28" s="911" t="s">
        <v>643</v>
      </c>
      <c r="G28" s="911" t="s">
        <v>645</v>
      </c>
      <c r="H28" s="911" t="s">
        <v>646</v>
      </c>
      <c r="I28" s="911" t="s">
        <v>648</v>
      </c>
      <c r="J28" s="911" t="s">
        <v>649</v>
      </c>
      <c r="L28" s="900"/>
    </row>
  </sheetData>
  <sheetProtection password="CAB5" sheet="1" objects="1" scenario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545658" r:id="rId4" name="Button 1594">
              <controlPr defaultSize="0" print="0" autoFill="0" autoPict="0" macro="[0]!Goto_Menu1">
                <anchor>
                  <from>
                    <xdr:col>1</xdr:col>
                    <xdr:colOff>0</xdr:colOff>
                    <xdr:row>0</xdr:row>
                    <xdr:rowOff>133350</xdr:rowOff>
                  </from>
                  <to>
                    <xdr:col>2</xdr:col>
                    <xdr:colOff>314325</xdr:colOff>
                    <xdr:row>2</xdr:row>
                    <xdr:rowOff>19050</xdr:rowOff>
                  </to>
                </anchor>
              </controlPr>
            </control>
          </mc:Choice>
        </mc:AlternateContent>
        <mc:AlternateContent xmlns:mc="http://schemas.openxmlformats.org/markup-compatibility/2006">
          <mc:Choice Requires="x14">
            <control shapeId="3545660" r:id="rId5" name="Button 1596">
              <controlPr defaultSize="0" print="0" autoFill="0" autoPict="0" macro="[0]!Goto_Calculation_Sheet">
                <anchor>
                  <from>
                    <xdr:col>10</xdr:col>
                    <xdr:colOff>47625</xdr:colOff>
                    <xdr:row>0</xdr:row>
                    <xdr:rowOff>142875</xdr:rowOff>
                  </from>
                  <to>
                    <xdr:col>12</xdr:col>
                    <xdr:colOff>38100</xdr:colOff>
                    <xdr:row>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BO103"/>
  <sheetViews>
    <sheetView showGridLines="0" showRowColHeaders="0" workbookViewId="0">
      <selection activeCell="F12" sqref="F12:H12"/>
    </sheetView>
  </sheetViews>
  <sheetFormatPr defaultColWidth="9.6640625" defaultRowHeight="15" x14ac:dyDescent="0.2"/>
  <cols>
    <col min="1" max="1" width="1.77734375" style="9" customWidth="1"/>
    <col min="2" max="2" width="5.77734375" style="38" customWidth="1"/>
    <col min="3" max="3" width="3.33203125" style="9" customWidth="1"/>
    <col min="4" max="4" width="7.21875" style="9" customWidth="1"/>
    <col min="5" max="5" width="5" style="9" customWidth="1"/>
    <col min="6" max="6" width="5.77734375" style="38" hidden="1" customWidth="1"/>
    <col min="7" max="7" width="5.77734375" style="9" customWidth="1"/>
    <col min="8" max="8" width="5.44140625" style="9" customWidth="1"/>
    <col min="9" max="10" width="6.33203125" style="9" hidden="1" customWidth="1"/>
    <col min="11" max="11" width="5.109375" style="9" hidden="1" customWidth="1"/>
    <col min="12" max="12" width="5.77734375" style="9" customWidth="1"/>
    <col min="13" max="13" width="5.5546875" style="9" customWidth="1"/>
    <col min="14" max="14" width="6.44140625" style="9" hidden="1" customWidth="1"/>
    <col min="15" max="15" width="1.77734375" style="9" hidden="1" customWidth="1"/>
    <col min="16" max="16" width="8.44140625" style="9" hidden="1" customWidth="1"/>
    <col min="17" max="17" width="5.77734375" style="9" customWidth="1"/>
    <col min="18" max="18" width="5.5546875" style="13" customWidth="1"/>
    <col min="19" max="19" width="5.33203125" style="13" hidden="1" customWidth="1"/>
    <col min="20" max="20" width="6.21875" style="9" hidden="1" customWidth="1"/>
    <col min="21" max="21" width="5.33203125" style="9" hidden="1" customWidth="1"/>
    <col min="22" max="22" width="5.77734375" style="9" customWidth="1"/>
    <col min="23" max="23" width="4.77734375" style="9" customWidth="1"/>
    <col min="24" max="24" width="5.44140625" style="9" hidden="1" customWidth="1"/>
    <col min="25" max="25" width="6" style="9" hidden="1" customWidth="1"/>
    <col min="26" max="26" width="5.5546875" style="9" hidden="1" customWidth="1"/>
    <col min="27" max="27" width="5.77734375" style="9" customWidth="1"/>
    <col min="28" max="28" width="5.5546875" style="9" customWidth="1"/>
    <col min="29" max="29" width="5.44140625" style="9" hidden="1" customWidth="1"/>
    <col min="30" max="30" width="6" style="9" hidden="1" customWidth="1"/>
    <col min="31" max="31" width="6.33203125" style="38" hidden="1" customWidth="1"/>
    <col min="32" max="32" width="5.77734375" style="38" customWidth="1"/>
    <col min="33" max="33" width="5.5546875" style="38" customWidth="1"/>
    <col min="34" max="35" width="6.21875" style="38" hidden="1" customWidth="1"/>
    <col min="36" max="36" width="6.77734375" style="38" hidden="1" customWidth="1"/>
    <col min="37" max="37" width="5.77734375" style="38" customWidth="1"/>
    <col min="38" max="38" width="5.33203125" style="38" customWidth="1"/>
    <col min="39" max="40" width="9.6640625" style="38" hidden="1" customWidth="1"/>
    <col min="41" max="41" width="6.21875" style="38" customWidth="1"/>
    <col min="42" max="43" width="5.77734375" style="38" customWidth="1"/>
    <col min="44" max="44" width="6.6640625" style="34" customWidth="1"/>
    <col min="45" max="45" width="6" style="34" hidden="1" customWidth="1"/>
    <col min="46" max="50" width="9.6640625" style="9" hidden="1" customWidth="1"/>
    <col min="51" max="51" width="8.33203125" style="9" hidden="1" customWidth="1"/>
    <col min="52" max="66" width="9.6640625" style="9" hidden="1" customWidth="1"/>
    <col min="67" max="16384" width="9.6640625" style="9"/>
  </cols>
  <sheetData>
    <row r="1" spans="1:67" ht="39.950000000000003" customHeight="1" x14ac:dyDescent="0.3">
      <c r="C1" s="66"/>
      <c r="D1" s="66"/>
      <c r="E1" s="66"/>
      <c r="F1" s="66"/>
      <c r="I1" s="66"/>
      <c r="J1" s="66"/>
      <c r="K1" s="66"/>
      <c r="L1" s="454" t="s">
        <v>752</v>
      </c>
      <c r="M1" s="66"/>
      <c r="N1" s="66"/>
      <c r="O1" s="66"/>
      <c r="P1" s="66"/>
      <c r="Q1" s="66"/>
      <c r="R1" s="66"/>
      <c r="S1" s="66"/>
      <c r="T1" s="66"/>
      <c r="U1" s="66"/>
      <c r="V1" s="66"/>
      <c r="W1" s="66"/>
      <c r="X1" s="66"/>
      <c r="Y1" s="66"/>
      <c r="Z1" s="66"/>
      <c r="AA1" s="66"/>
      <c r="AB1" s="66"/>
      <c r="AC1" s="32"/>
      <c r="AD1" s="32"/>
      <c r="AE1" s="41"/>
      <c r="AF1" s="41"/>
    </row>
    <row r="2" spans="1:67" ht="19.5" customHeight="1" x14ac:dyDescent="0.25">
      <c r="B2" s="39"/>
      <c r="C2" s="1151"/>
      <c r="D2" s="1151"/>
      <c r="E2" s="67"/>
      <c r="F2" s="67"/>
      <c r="G2" s="67"/>
      <c r="H2" s="67"/>
      <c r="I2" s="67"/>
      <c r="J2" s="67"/>
      <c r="K2" s="67"/>
      <c r="L2" s="67"/>
      <c r="N2" s="67"/>
      <c r="O2" s="67"/>
      <c r="P2" s="67"/>
      <c r="S2" s="67"/>
      <c r="T2" s="67"/>
      <c r="U2" s="67"/>
      <c r="V2" s="67" t="s">
        <v>188</v>
      </c>
      <c r="W2" s="67"/>
      <c r="X2" s="67"/>
      <c r="Y2" s="67"/>
      <c r="Z2" s="1150"/>
      <c r="AA2" s="1150"/>
      <c r="AB2" s="12"/>
      <c r="AC2" s="37"/>
      <c r="AD2" s="32"/>
    </row>
    <row r="3" spans="1:67" ht="19.5" customHeight="1" x14ac:dyDescent="0.25">
      <c r="A3" s="12"/>
      <c r="B3" s="15"/>
      <c r="C3" s="1151"/>
      <c r="D3" s="1151"/>
      <c r="E3" s="15"/>
      <c r="F3" s="15"/>
      <c r="G3" s="15"/>
      <c r="H3" s="15"/>
      <c r="I3" s="15"/>
      <c r="J3" s="15"/>
      <c r="K3" s="15"/>
      <c r="L3" s="15"/>
      <c r="M3" s="12"/>
      <c r="N3" s="12"/>
      <c r="O3" s="12"/>
      <c r="P3" s="12"/>
      <c r="Q3" s="12"/>
      <c r="R3" s="14"/>
      <c r="S3" s="14"/>
      <c r="T3" s="12"/>
      <c r="U3" s="12"/>
      <c r="V3" s="12"/>
      <c r="W3" s="12"/>
      <c r="X3" s="12"/>
      <c r="Y3" s="12"/>
      <c r="Z3" s="1150"/>
      <c r="AA3" s="1150"/>
      <c r="AB3" s="12"/>
      <c r="AC3" s="37"/>
      <c r="AD3" s="32"/>
      <c r="BJ3" s="102"/>
      <c r="BK3" s="102"/>
      <c r="BL3" s="102"/>
      <c r="BM3" s="102"/>
      <c r="BN3" s="102"/>
      <c r="BO3" s="102"/>
    </row>
    <row r="4" spans="1:67" ht="15.75" x14ac:dyDescent="0.25">
      <c r="A4" s="12"/>
      <c r="B4" s="15"/>
      <c r="C4" s="30" t="s">
        <v>158</v>
      </c>
      <c r="D4" s="15"/>
      <c r="E4" s="15"/>
      <c r="F4" s="15"/>
      <c r="G4" s="15"/>
      <c r="H4" s="15"/>
      <c r="I4" s="15"/>
      <c r="J4" s="15"/>
      <c r="K4" s="15"/>
      <c r="L4" s="15"/>
      <c r="N4" s="12"/>
      <c r="O4" s="12"/>
      <c r="P4" s="12"/>
      <c r="S4" s="14"/>
      <c r="T4" s="12"/>
      <c r="U4" s="12"/>
      <c r="V4" s="12"/>
      <c r="W4" s="12"/>
      <c r="X4" s="12"/>
      <c r="Y4" s="12"/>
      <c r="AB4" s="12"/>
      <c r="AC4" s="37"/>
      <c r="AD4" s="32"/>
      <c r="AT4" s="102"/>
      <c r="AU4" s="102"/>
      <c r="AV4" s="102"/>
      <c r="AW4" s="102"/>
      <c r="AX4" s="102"/>
      <c r="AY4" s="102"/>
      <c r="AZ4" s="102"/>
      <c r="BA4" s="102"/>
      <c r="BB4" s="102"/>
      <c r="BJ4" s="102"/>
      <c r="BK4" s="102"/>
      <c r="BL4" s="102"/>
      <c r="BM4" s="102"/>
      <c r="BN4" s="102"/>
      <c r="BO4" s="102"/>
    </row>
    <row r="5" spans="1:67" ht="15.6" customHeight="1" x14ac:dyDescent="0.25">
      <c r="A5" s="12"/>
      <c r="B5" s="15"/>
      <c r="C5" s="7" t="s">
        <v>186</v>
      </c>
      <c r="D5" s="15"/>
      <c r="E5" s="15"/>
      <c r="F5" s="15"/>
      <c r="G5" s="15"/>
      <c r="H5" s="15"/>
      <c r="I5" s="15"/>
      <c r="J5" s="15"/>
      <c r="K5" s="15"/>
      <c r="L5" s="15"/>
      <c r="N5" s="12"/>
      <c r="O5" s="12"/>
      <c r="P5" s="12"/>
      <c r="R5" s="7" t="s">
        <v>187</v>
      </c>
      <c r="S5" s="14"/>
      <c r="T5" s="12"/>
      <c r="U5" s="12"/>
      <c r="W5" s="12"/>
      <c r="X5" s="12"/>
      <c r="Y5" s="12"/>
      <c r="AA5" s="12"/>
      <c r="AB5" s="12"/>
      <c r="AC5" s="37"/>
      <c r="AD5" s="32"/>
      <c r="AT5" s="102"/>
      <c r="AU5" s="102"/>
      <c r="AV5" s="102"/>
      <c r="AW5" s="102"/>
      <c r="AX5" s="102"/>
      <c r="AY5" s="102"/>
      <c r="AZ5" s="102"/>
      <c r="BA5" s="102"/>
      <c r="BB5" s="102"/>
      <c r="BC5" s="153"/>
      <c r="BD5" s="90"/>
      <c r="BE5" s="90"/>
      <c r="BF5" s="90"/>
      <c r="BG5" s="90"/>
      <c r="BH5" s="90"/>
      <c r="BI5" s="90"/>
      <c r="BJ5" s="102"/>
      <c r="BK5" s="102"/>
      <c r="BL5" s="102"/>
      <c r="BM5" s="102"/>
      <c r="BN5" s="102"/>
      <c r="BO5" s="102"/>
    </row>
    <row r="6" spans="1:67" ht="15.6" customHeight="1" x14ac:dyDescent="0.25">
      <c r="A6" s="12"/>
      <c r="B6" s="15"/>
      <c r="C6" s="7" t="s">
        <v>71</v>
      </c>
      <c r="D6" s="15"/>
      <c r="E6" s="15"/>
      <c r="F6" s="15"/>
      <c r="G6" s="15"/>
      <c r="H6" s="15"/>
      <c r="I6" s="15"/>
      <c r="J6" s="15"/>
      <c r="K6" s="15"/>
      <c r="L6" s="15"/>
      <c r="N6" s="12"/>
      <c r="O6" s="12"/>
      <c r="P6" s="12"/>
      <c r="R6" s="7" t="s">
        <v>266</v>
      </c>
      <c r="S6" s="14"/>
      <c r="T6" s="12"/>
      <c r="U6" s="12"/>
      <c r="V6" s="12"/>
      <c r="W6" s="12"/>
      <c r="X6" s="12"/>
      <c r="Y6" s="12"/>
      <c r="Z6" s="12"/>
      <c r="AA6" s="12"/>
      <c r="AB6" s="12"/>
      <c r="AC6" s="37"/>
      <c r="AD6" s="32"/>
      <c r="AR6" s="96"/>
      <c r="AS6" s="94"/>
      <c r="AT6" s="102"/>
      <c r="AU6" s="102"/>
      <c r="AV6" s="102"/>
      <c r="AW6" s="102"/>
      <c r="AX6" s="102"/>
      <c r="AY6" s="102"/>
      <c r="AZ6" s="102"/>
      <c r="BA6" s="115"/>
      <c r="BB6" s="102"/>
      <c r="BC6" s="155"/>
      <c r="BD6" s="146"/>
      <c r="BE6" s="146"/>
      <c r="BF6" s="146"/>
      <c r="BG6" s="146"/>
      <c r="BH6" s="146"/>
      <c r="BI6" s="146"/>
      <c r="BJ6" s="135"/>
      <c r="BK6" s="147" t="s">
        <v>221</v>
      </c>
      <c r="BL6" s="135"/>
      <c r="BM6" s="135"/>
      <c r="BN6" s="136"/>
      <c r="BO6" s="102"/>
    </row>
    <row r="7" spans="1:67" ht="15.6" customHeight="1" x14ac:dyDescent="0.25">
      <c r="A7" s="12"/>
      <c r="B7" s="15"/>
      <c r="C7" s="7" t="s">
        <v>70</v>
      </c>
      <c r="D7" s="15"/>
      <c r="E7" s="15"/>
      <c r="F7" s="15"/>
      <c r="G7" s="15"/>
      <c r="H7" s="15"/>
      <c r="I7" s="15"/>
      <c r="J7" s="15"/>
      <c r="K7" s="15"/>
      <c r="L7" s="15"/>
      <c r="N7" s="12"/>
      <c r="O7" s="12"/>
      <c r="P7" s="12"/>
      <c r="Q7" s="12"/>
      <c r="R7" s="7" t="s">
        <v>274</v>
      </c>
      <c r="S7" s="14"/>
      <c r="T7" s="12"/>
      <c r="U7" s="12"/>
      <c r="V7" s="12"/>
      <c r="W7" s="12"/>
      <c r="X7" s="12"/>
      <c r="Y7" s="12"/>
      <c r="AA7" s="12"/>
      <c r="AB7" s="12"/>
      <c r="AC7" s="37"/>
      <c r="AD7" s="32"/>
      <c r="AE7" s="81"/>
      <c r="AF7" s="81"/>
      <c r="AG7" s="81"/>
      <c r="AR7" s="104"/>
      <c r="AS7" s="134"/>
      <c r="AT7" s="135"/>
      <c r="AU7" s="135"/>
      <c r="AV7" s="135"/>
      <c r="AW7" s="135"/>
      <c r="AX7" s="135"/>
      <c r="AY7" s="135"/>
      <c r="AZ7" s="135"/>
      <c r="BA7" s="135"/>
      <c r="BB7" s="135"/>
      <c r="BC7" s="152"/>
      <c r="BD7" s="127"/>
      <c r="BE7" s="103"/>
      <c r="BF7" s="128" t="s">
        <v>223</v>
      </c>
      <c r="BG7" s="127"/>
      <c r="BH7" s="127"/>
      <c r="BI7" s="127"/>
      <c r="BJ7" s="103"/>
      <c r="BK7" s="103"/>
      <c r="BL7" s="103"/>
      <c r="BM7" s="103"/>
      <c r="BN7" s="141"/>
      <c r="BO7" s="102"/>
    </row>
    <row r="8" spans="1:67" ht="15.6" customHeight="1" x14ac:dyDescent="0.25">
      <c r="A8" s="12"/>
      <c r="B8" s="15"/>
      <c r="C8" s="31" t="s">
        <v>57</v>
      </c>
      <c r="D8" s="15"/>
      <c r="E8" s="15"/>
      <c r="F8" s="15"/>
      <c r="G8" s="15"/>
      <c r="H8" s="15"/>
      <c r="I8" s="15"/>
      <c r="J8" s="15"/>
      <c r="K8" s="15"/>
      <c r="L8" s="15"/>
      <c r="N8" s="12"/>
      <c r="O8" s="12"/>
      <c r="P8" s="12"/>
      <c r="Q8" s="12"/>
      <c r="R8" s="7" t="s">
        <v>212</v>
      </c>
      <c r="S8" s="14"/>
      <c r="T8" s="12"/>
      <c r="U8" s="12"/>
      <c r="X8" s="12"/>
      <c r="Y8" s="12"/>
      <c r="Z8" s="12"/>
      <c r="AA8" s="12"/>
      <c r="AB8" s="12"/>
      <c r="AC8" s="37"/>
      <c r="AR8" s="104"/>
      <c r="AS8" s="137"/>
      <c r="AT8" s="103"/>
      <c r="AU8" s="103"/>
      <c r="AV8" s="138" t="s">
        <v>222</v>
      </c>
      <c r="AW8" s="103"/>
      <c r="AX8" s="103"/>
      <c r="AY8" s="139" t="s">
        <v>221</v>
      </c>
      <c r="AZ8" s="103"/>
      <c r="BA8" s="124"/>
      <c r="BB8" s="150"/>
      <c r="BC8" s="156"/>
      <c r="BD8" s="127"/>
      <c r="BE8" s="127"/>
      <c r="BF8" s="127"/>
      <c r="BG8" s="127"/>
      <c r="BH8" s="127"/>
      <c r="BI8" s="127"/>
      <c r="BJ8" s="103"/>
      <c r="BK8" s="140" t="s">
        <v>168</v>
      </c>
      <c r="BL8" s="129" t="s">
        <v>224</v>
      </c>
      <c r="BM8" s="140" t="s">
        <v>213</v>
      </c>
      <c r="BN8" s="149" t="s">
        <v>225</v>
      </c>
      <c r="BO8" s="102"/>
    </row>
    <row r="9" spans="1:67" ht="13.5" customHeight="1" x14ac:dyDescent="0.25">
      <c r="A9" s="12"/>
      <c r="B9" s="15"/>
      <c r="C9" s="31" t="s">
        <v>185</v>
      </c>
      <c r="D9" s="15"/>
      <c r="E9" s="15"/>
      <c r="F9" s="15"/>
      <c r="G9" s="15"/>
      <c r="H9" s="15"/>
      <c r="I9" s="15"/>
      <c r="J9" s="15"/>
      <c r="K9" s="15"/>
      <c r="L9" s="15"/>
      <c r="N9" s="12"/>
      <c r="O9" s="12"/>
      <c r="P9" s="12"/>
      <c r="Q9" s="12"/>
      <c r="R9" s="7" t="s">
        <v>58</v>
      </c>
      <c r="S9" s="14"/>
      <c r="T9" s="12"/>
      <c r="U9" s="12"/>
      <c r="X9" s="12"/>
      <c r="Y9" s="12"/>
      <c r="AC9" s="37"/>
      <c r="AR9" s="104"/>
      <c r="AS9" s="137"/>
      <c r="AT9" s="103"/>
      <c r="AU9" s="116" t="s">
        <v>197</v>
      </c>
      <c r="AV9" s="116" t="s">
        <v>197</v>
      </c>
      <c r="AW9" s="116" t="s">
        <v>197</v>
      </c>
      <c r="AX9" s="103"/>
      <c r="AY9" s="140" t="s">
        <v>168</v>
      </c>
      <c r="AZ9" s="140" t="s">
        <v>197</v>
      </c>
      <c r="BA9" s="140" t="s">
        <v>138</v>
      </c>
      <c r="BB9" s="151"/>
      <c r="BC9" s="148"/>
      <c r="BD9" s="129" t="s">
        <v>149</v>
      </c>
      <c r="BE9" s="129" t="s">
        <v>150</v>
      </c>
      <c r="BF9" s="129" t="s">
        <v>140</v>
      </c>
      <c r="BG9" s="129" t="s">
        <v>142</v>
      </c>
      <c r="BH9" s="130" t="s">
        <v>151</v>
      </c>
      <c r="BI9" s="130"/>
      <c r="BJ9" s="131"/>
      <c r="BK9" s="140" t="s">
        <v>214</v>
      </c>
      <c r="BL9" s="129">
        <v>1</v>
      </c>
      <c r="BM9" s="140" t="s">
        <v>214</v>
      </c>
      <c r="BN9" s="149">
        <v>1</v>
      </c>
      <c r="BO9" s="102"/>
    </row>
    <row r="10" spans="1:67" ht="22.5" customHeight="1" thickBot="1" x14ac:dyDescent="0.3">
      <c r="A10" s="12"/>
      <c r="B10" s="39"/>
      <c r="C10" s="125" t="s">
        <v>260</v>
      </c>
      <c r="L10" s="12"/>
      <c r="N10" s="7"/>
      <c r="O10" s="7"/>
      <c r="Q10" s="126" t="s">
        <v>261</v>
      </c>
      <c r="R10" s="7"/>
      <c r="S10" s="14"/>
      <c r="T10" s="12"/>
      <c r="U10" s="12"/>
      <c r="V10" s="12"/>
      <c r="W10" s="12"/>
      <c r="X10" s="16"/>
      <c r="Y10" s="19"/>
      <c r="Z10" s="20"/>
      <c r="AA10" s="12"/>
      <c r="AB10" s="12"/>
      <c r="AC10" s="37"/>
      <c r="AR10" s="104"/>
      <c r="AS10" s="137"/>
      <c r="AT10" s="117"/>
      <c r="AU10" s="116" t="s">
        <v>219</v>
      </c>
      <c r="AV10" s="116" t="s">
        <v>124</v>
      </c>
      <c r="AW10" s="116" t="s">
        <v>123</v>
      </c>
      <c r="AX10" s="103"/>
      <c r="AY10" s="140" t="s">
        <v>214</v>
      </c>
      <c r="AZ10" s="140" t="s">
        <v>124</v>
      </c>
      <c r="BA10" s="140" t="s">
        <v>202</v>
      </c>
      <c r="BB10" s="151"/>
      <c r="BC10" s="148"/>
      <c r="BD10" s="129" t="s">
        <v>135</v>
      </c>
      <c r="BE10" s="129" t="s">
        <v>135</v>
      </c>
      <c r="BF10" s="129" t="s">
        <v>135</v>
      </c>
      <c r="BG10" s="129" t="s">
        <v>141</v>
      </c>
      <c r="BH10" s="129" t="s">
        <v>145</v>
      </c>
      <c r="BI10" s="129" t="s">
        <v>146</v>
      </c>
      <c r="BJ10" s="131"/>
      <c r="BK10" s="140" t="s">
        <v>168</v>
      </c>
      <c r="BL10" s="129" t="s">
        <v>226</v>
      </c>
      <c r="BM10" s="140" t="s">
        <v>213</v>
      </c>
      <c r="BN10" s="149" t="s">
        <v>227</v>
      </c>
      <c r="BO10" s="102"/>
    </row>
    <row r="11" spans="1:67" ht="15" customHeight="1" thickTop="1" thickBot="1" x14ac:dyDescent="0.3">
      <c r="A11" s="12"/>
      <c r="B11" s="39"/>
      <c r="C11" s="300"/>
      <c r="D11" s="293"/>
      <c r="E11" s="293"/>
      <c r="F11" s="301"/>
      <c r="G11" s="293"/>
      <c r="H11" s="293"/>
      <c r="I11" s="293"/>
      <c r="J11" s="293"/>
      <c r="K11" s="301"/>
      <c r="L11" s="304"/>
      <c r="N11" s="274"/>
      <c r="O11" s="280"/>
      <c r="Q11" s="300"/>
      <c r="R11" s="296" t="s">
        <v>134</v>
      </c>
      <c r="S11" s="292"/>
      <c r="T11" s="293"/>
      <c r="U11" s="294"/>
      <c r="V11" s="293"/>
      <c r="W11" s="296" t="s">
        <v>135</v>
      </c>
      <c r="X11" s="295"/>
      <c r="Y11" s="294"/>
      <c r="Z11" s="294"/>
      <c r="AA11" s="293"/>
      <c r="AB11" s="296" t="s">
        <v>154</v>
      </c>
      <c r="AC11" s="297"/>
      <c r="AD11" s="294"/>
      <c r="AE11" s="298"/>
      <c r="AF11" s="301"/>
      <c r="AG11" s="296" t="s">
        <v>155</v>
      </c>
      <c r="AH11" s="298"/>
      <c r="AI11" s="298"/>
      <c r="AJ11" s="298"/>
      <c r="AK11" s="304"/>
      <c r="AR11" s="104"/>
      <c r="AS11" s="137"/>
      <c r="AT11" s="117"/>
      <c r="AU11" s="118"/>
      <c r="AV11" s="118"/>
      <c r="AW11" s="118"/>
      <c r="AX11" s="103"/>
      <c r="AY11" s="140" t="s">
        <v>168</v>
      </c>
      <c r="AZ11" s="140" t="s">
        <v>197</v>
      </c>
      <c r="BA11" s="140" t="s">
        <v>138</v>
      </c>
      <c r="BB11" s="103"/>
      <c r="BC11" s="158" t="str">
        <f t="array" ref="BC11:BC17">R12:R18</f>
        <v>Maize</v>
      </c>
      <c r="BD11" s="132">
        <f>DMIN(B27:AQ100,H27,BK8:BK9)</f>
        <v>375</v>
      </c>
      <c r="BE11" s="132">
        <f>DMAX($B$27:$AQ$100,H27,$BK$8:$BK$9)</f>
        <v>375</v>
      </c>
      <c r="BF11" s="132">
        <f>DAVERAGE($B$27:$AQ$100,H27,$BM$8:$BM$9)</f>
        <v>375</v>
      </c>
      <c r="BG11" s="133">
        <f t="shared" ref="BG11:BG17" si="0">BF11/W12</f>
        <v>0.9375</v>
      </c>
      <c r="BH11" s="132">
        <f>DSUM('Food Basket Monitoring '!B27:AQ100,BL8,BK8:BL9)</f>
        <v>0</v>
      </c>
      <c r="BI11" s="132">
        <f>DSUM('Food Basket Monitoring '!$B$27:$AQ$100,BN8,BM8:BN9)</f>
        <v>0</v>
      </c>
      <c r="BJ11" s="131"/>
      <c r="BK11" s="140" t="s">
        <v>214</v>
      </c>
      <c r="BL11" s="129">
        <v>1</v>
      </c>
      <c r="BM11" s="140" t="s">
        <v>214</v>
      </c>
      <c r="BN11" s="149">
        <v>1</v>
      </c>
      <c r="BO11" s="102"/>
    </row>
    <row r="12" spans="1:67" ht="13.5" customHeight="1" thickBot="1" x14ac:dyDescent="0.3">
      <c r="A12" s="12"/>
      <c r="B12" s="39"/>
      <c r="C12" s="299" t="s">
        <v>126</v>
      </c>
      <c r="D12" s="235"/>
      <c r="E12" s="277"/>
      <c r="F12" s="1147" t="s">
        <v>751</v>
      </c>
      <c r="G12" s="1147"/>
      <c r="H12" s="1148"/>
      <c r="I12" s="36"/>
      <c r="J12" s="36"/>
      <c r="K12" s="243"/>
      <c r="L12" s="305"/>
      <c r="N12" s="276"/>
      <c r="O12" s="50"/>
      <c r="Q12" s="302"/>
      <c r="R12" s="244" t="s">
        <v>278</v>
      </c>
      <c r="S12" s="50"/>
      <c r="T12" s="50"/>
      <c r="U12" s="12"/>
      <c r="V12" s="236"/>
      <c r="W12" s="247">
        <v>400</v>
      </c>
      <c r="X12" s="236"/>
      <c r="Y12" s="12"/>
      <c r="Z12" s="12"/>
      <c r="AA12" s="236"/>
      <c r="AB12" s="247">
        <v>350</v>
      </c>
      <c r="AC12" s="37"/>
      <c r="AD12" s="12"/>
      <c r="AE12" s="39"/>
      <c r="AF12" s="243"/>
      <c r="AG12" s="238">
        <f t="shared" ref="AG12:AG18" si="1">(W12/100)*AB12</f>
        <v>1400</v>
      </c>
      <c r="AH12" s="39"/>
      <c r="AI12" s="39"/>
      <c r="AJ12" s="39"/>
      <c r="AK12" s="305"/>
      <c r="AR12" s="104"/>
      <c r="AS12" s="137"/>
      <c r="AT12" s="119" t="s">
        <v>220</v>
      </c>
      <c r="AU12" s="118">
        <f>DCOUNT(B27:AQ100,E27,AY9:AY10)</f>
        <v>1</v>
      </c>
      <c r="AV12" s="118">
        <f>DCOUNT(B27:AQ100,E27,AY9:AZ10)</f>
        <v>0</v>
      </c>
      <c r="AW12" s="118">
        <f>DCOUNT(B27:AQ100,E27,AY13:AZ14)</f>
        <v>0</v>
      </c>
      <c r="AX12" s="103"/>
      <c r="AY12" s="140" t="s">
        <v>214</v>
      </c>
      <c r="AZ12" s="140" t="s">
        <v>124</v>
      </c>
      <c r="BA12" s="140" t="s">
        <v>203</v>
      </c>
      <c r="BB12" s="103"/>
      <c r="BC12" s="158" t="str">
        <v>Beans</v>
      </c>
      <c r="BD12" s="132">
        <f>DMIN(B27:AQ100,M27,BK8:BK9)</f>
        <v>1.7857142857142858</v>
      </c>
      <c r="BE12" s="132">
        <f>DMAX($B$27:$AQ$100,M27,$BK$8:$BK$9)</f>
        <v>1.7857142857142858</v>
      </c>
      <c r="BF12" s="132">
        <f>DAVERAGE($B$27:$AQ$100,M27,$BM$8:$BM$9)</f>
        <v>1.7857142857142858</v>
      </c>
      <c r="BG12" s="133">
        <f t="shared" si="0"/>
        <v>2.9761904761904764E-2</v>
      </c>
      <c r="BH12" s="132">
        <f>DSUM('Food Basket Monitoring '!B27:AQ100,BL10,BK10:BL11)</f>
        <v>1</v>
      </c>
      <c r="BI12" s="132">
        <f>DSUM('Food Basket Monitoring '!$B$27:$AQ$100,BN10,BM10:BN11)</f>
        <v>0</v>
      </c>
      <c r="BJ12" s="131"/>
      <c r="BK12" s="140" t="s">
        <v>168</v>
      </c>
      <c r="BL12" s="129" t="s">
        <v>228</v>
      </c>
      <c r="BM12" s="140" t="s">
        <v>213</v>
      </c>
      <c r="BN12" s="149" t="s">
        <v>229</v>
      </c>
      <c r="BO12" s="102"/>
    </row>
    <row r="13" spans="1:67" ht="15.75" customHeight="1" thickBot="1" x14ac:dyDescent="0.3">
      <c r="A13" s="12"/>
      <c r="B13" s="39"/>
      <c r="C13" s="302"/>
      <c r="D13" s="236"/>
      <c r="E13" s="236"/>
      <c r="F13" s="242"/>
      <c r="G13" s="242"/>
      <c r="H13" s="242"/>
      <c r="I13" s="236"/>
      <c r="J13" s="236"/>
      <c r="K13" s="243"/>
      <c r="L13" s="305"/>
      <c r="N13" s="276"/>
      <c r="O13" s="53"/>
      <c r="Q13" s="302"/>
      <c r="R13" s="245" t="s">
        <v>251</v>
      </c>
      <c r="S13" s="50"/>
      <c r="T13" s="50"/>
      <c r="U13" s="12"/>
      <c r="V13" s="236"/>
      <c r="W13" s="248">
        <v>60</v>
      </c>
      <c r="X13" s="236"/>
      <c r="Y13" s="12"/>
      <c r="Z13" s="12"/>
      <c r="AA13" s="236"/>
      <c r="AB13" s="248">
        <v>335</v>
      </c>
      <c r="AC13" s="37"/>
      <c r="AD13" s="12"/>
      <c r="AE13" s="39"/>
      <c r="AF13" s="243"/>
      <c r="AG13" s="238">
        <f t="shared" si="1"/>
        <v>201</v>
      </c>
      <c r="AH13" s="39"/>
      <c r="AI13" s="39"/>
      <c r="AJ13" s="39"/>
      <c r="AK13" s="305"/>
      <c r="AR13" s="104"/>
      <c r="AS13" s="137"/>
      <c r="AT13" s="117" t="s">
        <v>215</v>
      </c>
      <c r="AU13" s="118">
        <f>DMIN(B27:AQ100,AP27,AY9:AY10)</f>
        <v>1717.3214285714287</v>
      </c>
      <c r="AV13" s="360">
        <f>DMIN(B27:AQ100,AP27,AY9:AZ10)</f>
        <v>0</v>
      </c>
      <c r="AW13" s="360">
        <f>DMIN(B27:AQ100,AP27,AY13:AZ14)</f>
        <v>0</v>
      </c>
      <c r="AX13" s="103"/>
      <c r="AY13" s="140" t="s">
        <v>168</v>
      </c>
      <c r="AZ13" s="140" t="s">
        <v>197</v>
      </c>
      <c r="BA13" s="140" t="s">
        <v>138</v>
      </c>
      <c r="BB13" s="103"/>
      <c r="BC13" s="158" t="str">
        <v>Oil</v>
      </c>
      <c r="BD13" s="132">
        <f>DMIN(B27:AQ100,R27,BK8:BK9)</f>
        <v>19.642857142857142</v>
      </c>
      <c r="BE13" s="132">
        <f>DMAX($B$27:$AQ$100,R27,$BK$8:$BK$9)</f>
        <v>19.642857142857142</v>
      </c>
      <c r="BF13" s="132">
        <f>DAVERAGE($B$27:$AQ$100,R27,$BM$8:$BM$9)</f>
        <v>19.642857142857142</v>
      </c>
      <c r="BG13" s="133">
        <f t="shared" si="0"/>
        <v>0.7857142857142857</v>
      </c>
      <c r="BH13" s="132">
        <f>DSUM('Food Basket Monitoring '!B27:AQ100,BL12,BK12:BL13)</f>
        <v>1</v>
      </c>
      <c r="BI13" s="132">
        <f>DSUM('Food Basket Monitoring '!$B$27:$AQ$100,BN12,BM12:BN13)</f>
        <v>0</v>
      </c>
      <c r="BJ13" s="131"/>
      <c r="BK13" s="140" t="s">
        <v>214</v>
      </c>
      <c r="BL13" s="129">
        <v>1</v>
      </c>
      <c r="BM13" s="140" t="s">
        <v>214</v>
      </c>
      <c r="BN13" s="149">
        <v>1</v>
      </c>
      <c r="BO13" s="102"/>
    </row>
    <row r="14" spans="1:67" ht="15.75" customHeight="1" thickBot="1" x14ac:dyDescent="0.3">
      <c r="A14" s="12"/>
      <c r="B14" s="39"/>
      <c r="C14" s="299" t="s">
        <v>127</v>
      </c>
      <c r="D14" s="235"/>
      <c r="E14" s="277"/>
      <c r="F14" s="1149" t="s">
        <v>0</v>
      </c>
      <c r="G14" s="1147"/>
      <c r="H14" s="1148"/>
      <c r="I14" s="36"/>
      <c r="J14" s="36"/>
      <c r="K14" s="243"/>
      <c r="L14" s="305"/>
      <c r="N14" s="276"/>
      <c r="O14" s="91"/>
      <c r="Q14" s="302"/>
      <c r="R14" s="245" t="s">
        <v>132</v>
      </c>
      <c r="S14" s="50"/>
      <c r="T14" s="50"/>
      <c r="U14" s="12"/>
      <c r="V14" s="236"/>
      <c r="W14" s="248">
        <v>25</v>
      </c>
      <c r="X14" s="236"/>
      <c r="Y14" s="12"/>
      <c r="Z14" s="12"/>
      <c r="AA14" s="236"/>
      <c r="AB14" s="248">
        <v>885</v>
      </c>
      <c r="AC14" s="37"/>
      <c r="AD14" s="12"/>
      <c r="AE14" s="39"/>
      <c r="AF14" s="243"/>
      <c r="AG14" s="238">
        <f t="shared" si="1"/>
        <v>221.25</v>
      </c>
      <c r="AH14" s="39"/>
      <c r="AI14" s="39"/>
      <c r="AJ14" s="39"/>
      <c r="AK14" s="305"/>
      <c r="AR14" s="104"/>
      <c r="AS14" s="137"/>
      <c r="AT14" s="117" t="s">
        <v>216</v>
      </c>
      <c r="AU14" s="120">
        <f>DMAX(B27:AQ100,AP27,AY11:AY12)</f>
        <v>1717.3214285714287</v>
      </c>
      <c r="AV14" s="120">
        <f>DMAX(B27:AQ100,AP27,AY11:AZ12)</f>
        <v>0</v>
      </c>
      <c r="AW14" s="120">
        <f>DMAX(B27:AQ100,AP27,AY13:AZ14)</f>
        <v>0</v>
      </c>
      <c r="AX14" s="103"/>
      <c r="AY14" s="140" t="s">
        <v>214</v>
      </c>
      <c r="AZ14" s="140" t="s">
        <v>123</v>
      </c>
      <c r="BA14" s="140" t="s">
        <v>202</v>
      </c>
      <c r="BB14" s="103"/>
      <c r="BC14" s="158" t="str">
        <v>CSB</v>
      </c>
      <c r="BD14" s="132">
        <f>DMIN(B27:AQ100,W27,BK8:BK9)</f>
        <v>44.642857142857146</v>
      </c>
      <c r="BE14" s="132">
        <f>DMAX($B$27:$AQ$100,W27,$BK$8:$BK$9)</f>
        <v>44.642857142857146</v>
      </c>
      <c r="BF14" s="132">
        <f>DAVERAGE($B$27:$AQ$100,W27,$BM$8:$BM$9)</f>
        <v>44.642857142857146</v>
      </c>
      <c r="BG14" s="133">
        <f t="shared" si="0"/>
        <v>0.8928571428571429</v>
      </c>
      <c r="BH14" s="132">
        <f>DSUM('Food Basket Monitoring '!B27:AQ100,BL14,BK14:BL15)</f>
        <v>1</v>
      </c>
      <c r="BI14" s="132">
        <f>DSUM('Food Basket Monitoring '!$B$27:$AQ$100,BN14,BM14:BN15)</f>
        <v>0</v>
      </c>
      <c r="BJ14" s="131"/>
      <c r="BK14" s="140" t="s">
        <v>168</v>
      </c>
      <c r="BL14" s="129" t="s">
        <v>230</v>
      </c>
      <c r="BM14" s="140" t="s">
        <v>213</v>
      </c>
      <c r="BN14" s="149" t="s">
        <v>231</v>
      </c>
      <c r="BO14" s="102"/>
    </row>
    <row r="15" spans="1:67" ht="15.75" customHeight="1" thickBot="1" x14ac:dyDescent="0.3">
      <c r="A15" s="12"/>
      <c r="B15" s="39"/>
      <c r="C15" s="302"/>
      <c r="D15" s="236"/>
      <c r="E15" s="236"/>
      <c r="F15" s="242"/>
      <c r="G15" s="242"/>
      <c r="H15" s="242"/>
      <c r="I15" s="236"/>
      <c r="J15" s="236"/>
      <c r="K15" s="243"/>
      <c r="L15" s="305"/>
      <c r="N15" s="276"/>
      <c r="O15" s="91"/>
      <c r="Q15" s="302"/>
      <c r="R15" s="245" t="s">
        <v>131</v>
      </c>
      <c r="S15" s="50"/>
      <c r="T15" s="50"/>
      <c r="U15" s="12"/>
      <c r="V15" s="236"/>
      <c r="W15" s="248">
        <v>50</v>
      </c>
      <c r="X15" s="236"/>
      <c r="Y15" s="12"/>
      <c r="Z15" s="12"/>
      <c r="AA15" s="236"/>
      <c r="AB15" s="248">
        <v>376</v>
      </c>
      <c r="AC15" s="37"/>
      <c r="AD15" s="12"/>
      <c r="AE15" s="39"/>
      <c r="AF15" s="243"/>
      <c r="AG15" s="238">
        <f t="shared" si="1"/>
        <v>188</v>
      </c>
      <c r="AH15" s="39"/>
      <c r="AI15" s="39"/>
      <c r="AJ15" s="39"/>
      <c r="AK15" s="305"/>
      <c r="AR15" s="104"/>
      <c r="AS15" s="137"/>
      <c r="AT15" s="119" t="s">
        <v>217</v>
      </c>
      <c r="AU15" s="120">
        <f>DAVERAGE(B27:AQ100,AP27,AY9:AY10)</f>
        <v>1717.3214285714287</v>
      </c>
      <c r="AV15" s="120" t="e">
        <f>DAVERAGE(B27:AQ100,AP27,AY11:AZ12)</f>
        <v>#DIV/0!</v>
      </c>
      <c r="AW15" s="120" t="e">
        <f>DAVERAGE(B27:AQ100,AP27,AY13:AZ14)</f>
        <v>#DIV/0!</v>
      </c>
      <c r="AX15" s="103"/>
      <c r="AY15" s="140" t="s">
        <v>168</v>
      </c>
      <c r="AZ15" s="140" t="s">
        <v>197</v>
      </c>
      <c r="BA15" s="140" t="s">
        <v>138</v>
      </c>
      <c r="BB15" s="103"/>
      <c r="BC15" s="158" t="str">
        <v>Sugar</v>
      </c>
      <c r="BD15" s="132">
        <f>DMIN(B27:AQ100,AB27,BK8:BK9)</f>
        <v>14.285714285714286</v>
      </c>
      <c r="BE15" s="132">
        <f>DMAX($B$27:$AQ$100,AB27,$BK$8:$BK$9)</f>
        <v>14.285714285714286</v>
      </c>
      <c r="BF15" s="132">
        <f>DAVERAGE($B$27:$AQ$100,AB27,$BM$8:$BM$9)</f>
        <v>14.285714285714286</v>
      </c>
      <c r="BG15" s="133">
        <f t="shared" si="0"/>
        <v>0.95238095238095244</v>
      </c>
      <c r="BH15" s="132">
        <f>DSUM('Food Basket Monitoring '!B27:AQ100,BL16,BK16:BL17)</f>
        <v>0</v>
      </c>
      <c r="BI15" s="132">
        <f>DSUM('Food Basket Monitoring '!$B$27:$AQ$100,BN16,BM16:BN17)</f>
        <v>0</v>
      </c>
      <c r="BJ15" s="131"/>
      <c r="BK15" s="140" t="s">
        <v>214</v>
      </c>
      <c r="BL15" s="129">
        <v>1</v>
      </c>
      <c r="BM15" s="140" t="s">
        <v>214</v>
      </c>
      <c r="BN15" s="149">
        <v>1</v>
      </c>
      <c r="BO15" s="102"/>
    </row>
    <row r="16" spans="1:67" ht="15.75" customHeight="1" thickBot="1" x14ac:dyDescent="0.3">
      <c r="A16" s="12"/>
      <c r="B16" s="39"/>
      <c r="C16" s="299" t="s">
        <v>128</v>
      </c>
      <c r="D16" s="235"/>
      <c r="E16" s="277"/>
      <c r="F16" s="1149" t="s">
        <v>778</v>
      </c>
      <c r="G16" s="1147"/>
      <c r="H16" s="1148"/>
      <c r="I16" s="36"/>
      <c r="J16" s="36"/>
      <c r="K16" s="243"/>
      <c r="L16" s="305"/>
      <c r="N16" s="276"/>
      <c r="O16" s="93"/>
      <c r="Q16" s="302"/>
      <c r="R16" s="245" t="s">
        <v>239</v>
      </c>
      <c r="S16" s="52"/>
      <c r="T16" s="52"/>
      <c r="U16" s="12"/>
      <c r="V16" s="236"/>
      <c r="W16" s="248">
        <v>15</v>
      </c>
      <c r="X16" s="236"/>
      <c r="Y16" s="12"/>
      <c r="Z16" s="12"/>
      <c r="AA16" s="236"/>
      <c r="AB16" s="248">
        <v>400</v>
      </c>
      <c r="AC16" s="37"/>
      <c r="AD16" s="12"/>
      <c r="AE16" s="39"/>
      <c r="AF16" s="243"/>
      <c r="AG16" s="238">
        <f t="shared" si="1"/>
        <v>60</v>
      </c>
      <c r="AH16" s="39"/>
      <c r="AI16" s="39"/>
      <c r="AJ16" s="39"/>
      <c r="AK16" s="305"/>
      <c r="AR16" s="104"/>
      <c r="AS16" s="137"/>
      <c r="AT16" s="119" t="s">
        <v>218</v>
      </c>
      <c r="AU16" s="121">
        <f>AU15/$AG$19</f>
        <v>0.82952369451584529</v>
      </c>
      <c r="AV16" s="121" t="e">
        <f>AV15/$AG$19</f>
        <v>#DIV/0!</v>
      </c>
      <c r="AW16" s="121" t="e">
        <f>AW15/$AG$19</f>
        <v>#DIV/0!</v>
      </c>
      <c r="AX16" s="103"/>
      <c r="AY16" s="140" t="s">
        <v>214</v>
      </c>
      <c r="AZ16" s="140" t="s">
        <v>123</v>
      </c>
      <c r="BA16" s="140" t="s">
        <v>203</v>
      </c>
      <c r="BB16" s="103"/>
      <c r="BC16" s="158" t="str">
        <v>Salt</v>
      </c>
      <c r="BD16" s="132">
        <f>DMIN(B27:AQ100,AG27,BK8:BK9)</f>
        <v>5.8928571428571432</v>
      </c>
      <c r="BE16" s="132">
        <f>DMAX($B$27:$AQ$100,AG27,$BK$8:$BK$9)</f>
        <v>5.8928571428571432</v>
      </c>
      <c r="BF16" s="132">
        <f>DAVERAGE($B$27:$AQ$100,AG27,$BM$8:$BM$9)</f>
        <v>5.8928571428571432</v>
      </c>
      <c r="BG16" s="133">
        <f t="shared" si="0"/>
        <v>1.1785714285714286</v>
      </c>
      <c r="BH16" s="132">
        <f>DSUM('Food Basket Monitoring '!B27:AQ100,BL18,BK18:BL19)</f>
        <v>0</v>
      </c>
      <c r="BI16" s="132">
        <f>DSUM('Food Basket Monitoring '!$B$27:$AQ$100,BN18,BM18:BN19)</f>
        <v>1</v>
      </c>
      <c r="BJ16" s="103"/>
      <c r="BK16" s="140" t="s">
        <v>168</v>
      </c>
      <c r="BL16" s="129" t="s">
        <v>232</v>
      </c>
      <c r="BM16" s="140" t="s">
        <v>213</v>
      </c>
      <c r="BN16" s="149" t="s">
        <v>233</v>
      </c>
      <c r="BO16" s="102"/>
    </row>
    <row r="17" spans="1:67" ht="15.75" customHeight="1" thickBot="1" x14ac:dyDescent="0.3">
      <c r="A17" s="12"/>
      <c r="B17" s="39"/>
      <c r="C17" s="302"/>
      <c r="D17" s="236"/>
      <c r="E17" s="236"/>
      <c r="F17" s="242"/>
      <c r="G17" s="235"/>
      <c r="H17" s="235"/>
      <c r="I17" s="235"/>
      <c r="J17" s="235"/>
      <c r="K17" s="243"/>
      <c r="L17" s="305"/>
      <c r="N17" s="276"/>
      <c r="O17" s="91"/>
      <c r="Q17" s="302"/>
      <c r="R17" s="245" t="s">
        <v>238</v>
      </c>
      <c r="S17" s="92"/>
      <c r="T17" s="92"/>
      <c r="U17" s="12"/>
      <c r="V17" s="236"/>
      <c r="W17" s="248">
        <v>5</v>
      </c>
      <c r="X17" s="236"/>
      <c r="Y17" s="12"/>
      <c r="Z17" s="12"/>
      <c r="AA17" s="236"/>
      <c r="AB17" s="248">
        <v>0</v>
      </c>
      <c r="AC17" s="37"/>
      <c r="AD17" s="12"/>
      <c r="AE17" s="39"/>
      <c r="AF17" s="243"/>
      <c r="AG17" s="238">
        <f t="shared" si="1"/>
        <v>0</v>
      </c>
      <c r="AH17" s="39"/>
      <c r="AI17" s="39"/>
      <c r="AJ17" s="39"/>
      <c r="AK17" s="305"/>
      <c r="AR17" s="104"/>
      <c r="AS17" s="137"/>
      <c r="AT17" s="119" t="s">
        <v>200</v>
      </c>
      <c r="AU17" s="120">
        <f>DCOUNT(B27:AQ100,AQ27,AY17:AZ18)</f>
        <v>1</v>
      </c>
      <c r="AV17" s="120">
        <f>DCOUNT(B27:AQ100,AQ27,AY9:BA10)</f>
        <v>0</v>
      </c>
      <c r="AW17" s="120">
        <f>DCOUNT(B27:AQ100,AQ27,AY13:BA14)</f>
        <v>0</v>
      </c>
      <c r="AX17" s="103"/>
      <c r="AY17" s="140" t="s">
        <v>168</v>
      </c>
      <c r="AZ17" s="140" t="s">
        <v>138</v>
      </c>
      <c r="BA17" s="140"/>
      <c r="BB17" s="103"/>
      <c r="BC17" s="158">
        <v>0</v>
      </c>
      <c r="BD17" s="132">
        <f>DMIN(B27:AQ100,AL27,BK8:BK9)</f>
        <v>0</v>
      </c>
      <c r="BE17" s="132">
        <f>DMAX($B$27:$AQ$100,AL27,$BK$8:$BK$9)</f>
        <v>0</v>
      </c>
      <c r="BF17" s="132">
        <f>DAVERAGE($B$27:$AQ$100,AL27,$BM$8:$BM$9)</f>
        <v>0</v>
      </c>
      <c r="BG17" s="133" t="e">
        <f t="shared" si="0"/>
        <v>#DIV/0!</v>
      </c>
      <c r="BH17" s="132">
        <f>DSUM('Food Basket Monitoring '!B27:AQ100,BL20,BK20:BL21)</f>
        <v>0</v>
      </c>
      <c r="BI17" s="132">
        <f>DSUM('Food Basket Monitoring '!$B$27:$AQ$100,BN20,BM20:BN21)</f>
        <v>0</v>
      </c>
      <c r="BJ17" s="103"/>
      <c r="BK17" s="140" t="s">
        <v>214</v>
      </c>
      <c r="BL17" s="129">
        <v>1</v>
      </c>
      <c r="BM17" s="140" t="s">
        <v>214</v>
      </c>
      <c r="BN17" s="149">
        <v>1</v>
      </c>
      <c r="BO17" s="102"/>
    </row>
    <row r="18" spans="1:67" ht="15.75" customHeight="1" thickBot="1" x14ac:dyDescent="0.3">
      <c r="A18" s="12"/>
      <c r="B18" s="39"/>
      <c r="C18" s="299" t="s">
        <v>129</v>
      </c>
      <c r="D18" s="235"/>
      <c r="E18" s="277"/>
      <c r="F18" s="1149" t="s">
        <v>262</v>
      </c>
      <c r="G18" s="1147"/>
      <c r="H18" s="1148"/>
      <c r="I18" s="36"/>
      <c r="J18" s="36"/>
      <c r="K18" s="243"/>
      <c r="L18" s="305"/>
      <c r="N18" s="276"/>
      <c r="O18" s="53"/>
      <c r="Q18" s="302"/>
      <c r="R18" s="246"/>
      <c r="S18" s="92"/>
      <c r="T18" s="92"/>
      <c r="U18" s="12"/>
      <c r="V18" s="236"/>
      <c r="W18" s="249"/>
      <c r="X18" s="236"/>
      <c r="Y18" s="12"/>
      <c r="Z18" s="12"/>
      <c r="AA18" s="236"/>
      <c r="AB18" s="249"/>
      <c r="AC18" s="37"/>
      <c r="AD18" s="12"/>
      <c r="AE18" s="39"/>
      <c r="AF18" s="243"/>
      <c r="AG18" s="238">
        <f t="shared" si="1"/>
        <v>0</v>
      </c>
      <c r="AH18" s="39"/>
      <c r="AI18" s="39"/>
      <c r="AJ18" s="39"/>
      <c r="AK18" s="305"/>
      <c r="AR18" s="104"/>
      <c r="AS18" s="137"/>
      <c r="AT18" s="122" t="s">
        <v>199</v>
      </c>
      <c r="AU18" s="121">
        <f>AU17/AU12</f>
        <v>1</v>
      </c>
      <c r="AV18" s="123" t="e">
        <f>AV17/AV12</f>
        <v>#DIV/0!</v>
      </c>
      <c r="AW18" s="123" t="e">
        <f>AW17/AW12</f>
        <v>#DIV/0!</v>
      </c>
      <c r="AX18" s="103"/>
      <c r="AY18" s="140" t="s">
        <v>214</v>
      </c>
      <c r="AZ18" s="140" t="s">
        <v>202</v>
      </c>
      <c r="BA18" s="140"/>
      <c r="BB18" s="103"/>
      <c r="BC18" s="148"/>
      <c r="BD18" s="129"/>
      <c r="BE18" s="129"/>
      <c r="BF18" s="132"/>
      <c r="BG18" s="129"/>
      <c r="BH18" s="129"/>
      <c r="BI18" s="129"/>
      <c r="BJ18" s="103"/>
      <c r="BK18" s="140" t="s">
        <v>168</v>
      </c>
      <c r="BL18" s="129" t="s">
        <v>234</v>
      </c>
      <c r="BM18" s="140" t="s">
        <v>213</v>
      </c>
      <c r="BN18" s="149" t="s">
        <v>235</v>
      </c>
      <c r="BO18" s="102"/>
    </row>
    <row r="19" spans="1:67" ht="15.75" customHeight="1" thickBot="1" x14ac:dyDescent="0.3">
      <c r="A19" s="12"/>
      <c r="B19" s="39"/>
      <c r="C19" s="302"/>
      <c r="D19" s="236"/>
      <c r="E19" s="236"/>
      <c r="F19" s="242"/>
      <c r="G19" s="235"/>
      <c r="H19" s="235"/>
      <c r="I19" s="235"/>
      <c r="J19" s="235"/>
      <c r="K19" s="243"/>
      <c r="L19" s="305"/>
      <c r="N19" s="276"/>
      <c r="O19" s="234"/>
      <c r="Q19" s="302"/>
      <c r="R19" s="235" t="s">
        <v>60</v>
      </c>
      <c r="S19" s="235"/>
      <c r="T19" s="235"/>
      <c r="U19" s="12"/>
      <c r="V19" s="315"/>
      <c r="W19" s="316">
        <f>SUM(W12:W18)</f>
        <v>555</v>
      </c>
      <c r="X19" s="236"/>
      <c r="Y19" s="12"/>
      <c r="Z19" s="12"/>
      <c r="AA19" s="236"/>
      <c r="AB19" s="237" t="s">
        <v>72</v>
      </c>
      <c r="AC19" s="37"/>
      <c r="AD19" s="12"/>
      <c r="AE19" s="39"/>
      <c r="AF19" s="243"/>
      <c r="AG19" s="237">
        <f>SUM(AG12:AG18)</f>
        <v>2070.25</v>
      </c>
      <c r="AH19" s="39"/>
      <c r="AI19" s="39"/>
      <c r="AJ19" s="39"/>
      <c r="AK19" s="305"/>
      <c r="AR19" s="104"/>
      <c r="AS19" s="137"/>
      <c r="AT19" s="119" t="s">
        <v>201</v>
      </c>
      <c r="AU19" s="120">
        <f>DCOUNT(B27:AQ100,AQ27,AY19:AZ20)</f>
        <v>0</v>
      </c>
      <c r="AV19" s="120">
        <f>DCOUNT(B27:AQ100,AQ27,AY11:BA12)</f>
        <v>0</v>
      </c>
      <c r="AW19" s="120">
        <f>DCOUNT(B27:AQ100,AQ27,AY15:BA16)</f>
        <v>0</v>
      </c>
      <c r="AX19" s="103"/>
      <c r="AY19" s="140" t="s">
        <v>168</v>
      </c>
      <c r="AZ19" s="140" t="s">
        <v>138</v>
      </c>
      <c r="BA19" s="140"/>
      <c r="BB19" s="103"/>
      <c r="BC19" s="148"/>
      <c r="BD19" s="127"/>
      <c r="BE19" s="127"/>
      <c r="BF19" s="127"/>
      <c r="BG19" s="127"/>
      <c r="BH19" s="127"/>
      <c r="BI19" s="127"/>
      <c r="BJ19" s="103"/>
      <c r="BK19" s="140" t="s">
        <v>214</v>
      </c>
      <c r="BL19" s="129">
        <v>1</v>
      </c>
      <c r="BM19" s="140" t="s">
        <v>214</v>
      </c>
      <c r="BN19" s="149">
        <v>1</v>
      </c>
      <c r="BO19" s="102"/>
    </row>
    <row r="20" spans="1:67" ht="15.75" customHeight="1" thickBot="1" x14ac:dyDescent="0.3">
      <c r="A20" s="12"/>
      <c r="B20" s="39"/>
      <c r="C20" s="299" t="s">
        <v>130</v>
      </c>
      <c r="D20" s="235"/>
      <c r="E20" s="277"/>
      <c r="F20" s="1149" t="s">
        <v>263</v>
      </c>
      <c r="G20" s="1147"/>
      <c r="H20" s="1148"/>
      <c r="I20" s="78"/>
      <c r="J20" s="78"/>
      <c r="K20" s="243"/>
      <c r="L20" s="305"/>
      <c r="N20" s="276"/>
      <c r="O20" s="235"/>
      <c r="P20" s="235"/>
      <c r="Q20" s="299"/>
      <c r="R20" s="235"/>
      <c r="S20" s="235"/>
      <c r="T20" s="235"/>
      <c r="U20" s="235"/>
      <c r="V20" s="236"/>
      <c r="W20" s="236"/>
      <c r="X20" s="236"/>
      <c r="Y20" s="291"/>
      <c r="Z20" s="12"/>
      <c r="AA20" s="236"/>
      <c r="AB20" s="236"/>
      <c r="AC20" s="37"/>
      <c r="AD20" s="12"/>
      <c r="AE20" s="39"/>
      <c r="AF20" s="243"/>
      <c r="AG20" s="239"/>
      <c r="AH20" s="39"/>
      <c r="AI20" s="39"/>
      <c r="AJ20" s="39"/>
      <c r="AK20" s="305"/>
      <c r="AR20" s="104"/>
      <c r="AS20" s="137"/>
      <c r="AT20" s="122" t="s">
        <v>198</v>
      </c>
      <c r="AU20" s="121">
        <f>AU19/AU12</f>
        <v>0</v>
      </c>
      <c r="AV20" s="121" t="e">
        <f>AV19/AV12</f>
        <v>#DIV/0!</v>
      </c>
      <c r="AW20" s="121" t="e">
        <f>AW19/AW12</f>
        <v>#DIV/0!</v>
      </c>
      <c r="AX20" s="124"/>
      <c r="AY20" s="140" t="s">
        <v>214</v>
      </c>
      <c r="AZ20" s="140" t="s">
        <v>203</v>
      </c>
      <c r="BA20" s="140"/>
      <c r="BB20" s="103"/>
      <c r="BC20" s="152"/>
      <c r="BD20" s="127"/>
      <c r="BE20" s="127"/>
      <c r="BF20" s="127"/>
      <c r="BG20" s="127"/>
      <c r="BH20" s="127"/>
      <c r="BI20" s="127"/>
      <c r="BJ20" s="103"/>
      <c r="BK20" s="140" t="s">
        <v>168</v>
      </c>
      <c r="BL20" s="129" t="s">
        <v>236</v>
      </c>
      <c r="BM20" s="140" t="s">
        <v>213</v>
      </c>
      <c r="BN20" s="149" t="s">
        <v>237</v>
      </c>
      <c r="BO20" s="102"/>
    </row>
    <row r="21" spans="1:67" ht="15.75" customHeight="1" thickBot="1" x14ac:dyDescent="0.3">
      <c r="A21" s="12"/>
      <c r="B21" s="39"/>
      <c r="C21" s="302"/>
      <c r="D21" s="236"/>
      <c r="E21" s="236"/>
      <c r="F21" s="243"/>
      <c r="G21" s="236"/>
      <c r="H21" s="236"/>
      <c r="I21" s="236"/>
      <c r="J21" s="236"/>
      <c r="K21" s="243"/>
      <c r="L21" s="305"/>
      <c r="N21" s="276"/>
      <c r="O21" s="235"/>
      <c r="Q21" s="302"/>
      <c r="R21" s="235" t="s">
        <v>169</v>
      </c>
      <c r="S21" s="236"/>
      <c r="T21" s="236"/>
      <c r="U21" s="236"/>
      <c r="V21" s="236"/>
      <c r="W21" s="236"/>
      <c r="X21" s="51"/>
      <c r="Y21" s="12"/>
      <c r="Z21" s="12"/>
      <c r="AA21" s="236"/>
      <c r="AB21" s="236"/>
      <c r="AC21" s="37"/>
      <c r="AD21" s="12"/>
      <c r="AE21" s="39"/>
      <c r="AF21" s="243"/>
      <c r="AG21" s="250">
        <v>14</v>
      </c>
      <c r="AH21" s="39"/>
      <c r="AI21" s="39"/>
      <c r="AJ21" s="39"/>
      <c r="AK21" s="305"/>
      <c r="AR21" s="104"/>
      <c r="AS21" s="142"/>
      <c r="AT21" s="143"/>
      <c r="AU21" s="143"/>
      <c r="AV21" s="143"/>
      <c r="AW21" s="143"/>
      <c r="AX21" s="144"/>
      <c r="AY21" s="143"/>
      <c r="AZ21" s="143"/>
      <c r="BA21" s="143"/>
      <c r="BB21" s="143"/>
      <c r="BC21" s="157"/>
      <c r="BD21" s="103"/>
      <c r="BE21" s="103"/>
      <c r="BF21" s="103"/>
      <c r="BG21" s="103"/>
      <c r="BH21" s="103"/>
      <c r="BI21" s="103"/>
      <c r="BJ21" s="103"/>
      <c r="BK21" s="140" t="s">
        <v>214</v>
      </c>
      <c r="BL21" s="129">
        <v>1</v>
      </c>
      <c r="BM21" s="140" t="s">
        <v>214</v>
      </c>
      <c r="BN21" s="149">
        <v>1</v>
      </c>
      <c r="BO21" s="102"/>
    </row>
    <row r="22" spans="1:67" ht="9" customHeight="1" thickBot="1" x14ac:dyDescent="0.3">
      <c r="A22" s="12"/>
      <c r="B22" s="39"/>
      <c r="C22" s="303"/>
      <c r="D22" s="240"/>
      <c r="E22" s="240"/>
      <c r="F22" s="279"/>
      <c r="G22" s="240"/>
      <c r="H22" s="240"/>
      <c r="I22" s="240"/>
      <c r="J22" s="240"/>
      <c r="K22" s="243"/>
      <c r="L22" s="306"/>
      <c r="N22" s="278"/>
      <c r="O22" s="240"/>
      <c r="P22" s="240"/>
      <c r="Q22" s="307"/>
      <c r="R22" s="308"/>
      <c r="S22" s="308"/>
      <c r="T22" s="308"/>
      <c r="U22" s="308"/>
      <c r="V22" s="308"/>
      <c r="W22" s="308"/>
      <c r="X22" s="309"/>
      <c r="Y22" s="310"/>
      <c r="Z22" s="310"/>
      <c r="AA22" s="308"/>
      <c r="AB22" s="308"/>
      <c r="AC22" s="311"/>
      <c r="AD22" s="310"/>
      <c r="AE22" s="312"/>
      <c r="AF22" s="313"/>
      <c r="AG22" s="308"/>
      <c r="AH22" s="312"/>
      <c r="AI22" s="312"/>
      <c r="AJ22" s="312"/>
      <c r="AK22" s="314"/>
      <c r="AR22" s="104"/>
      <c r="AS22" s="97"/>
      <c r="AT22" s="102"/>
      <c r="AU22" s="102"/>
      <c r="AV22" s="102"/>
      <c r="AW22" s="102"/>
      <c r="AX22" s="124"/>
      <c r="AY22" s="89"/>
      <c r="AZ22" s="89"/>
      <c r="BA22" s="89"/>
      <c r="BB22" s="102"/>
      <c r="BC22" s="154"/>
      <c r="BD22" s="143"/>
      <c r="BE22" s="143"/>
      <c r="BF22" s="143"/>
      <c r="BG22" s="143"/>
      <c r="BH22" s="143"/>
      <c r="BI22" s="143"/>
      <c r="BJ22" s="143"/>
      <c r="BK22" s="143"/>
      <c r="BL22" s="143"/>
      <c r="BM22" s="143"/>
      <c r="BN22" s="145"/>
      <c r="BO22" s="102"/>
    </row>
    <row r="23" spans="1:67" s="12" customFormat="1" ht="8.25" customHeight="1" x14ac:dyDescent="0.25">
      <c r="B23" s="70"/>
      <c r="F23" s="39"/>
      <c r="L23" s="26"/>
      <c r="AC23" s="32"/>
      <c r="AK23" s="39"/>
      <c r="AL23" s="39"/>
      <c r="AM23" s="39"/>
      <c r="AN23" s="39"/>
      <c r="AO23" s="39"/>
      <c r="AP23" s="39"/>
      <c r="AQ23" s="39"/>
      <c r="AR23" s="96"/>
      <c r="AS23" s="96"/>
      <c r="AT23" s="89"/>
      <c r="AU23" s="89"/>
      <c r="AV23" s="89"/>
      <c r="AW23" s="89"/>
      <c r="AX23" s="89"/>
      <c r="AY23" s="124"/>
      <c r="AZ23" s="124"/>
      <c r="BA23" s="124"/>
      <c r="BB23" s="103"/>
      <c r="BC23" s="95"/>
      <c r="BD23" s="103"/>
      <c r="BE23" s="103"/>
      <c r="BF23" s="103"/>
      <c r="BG23" s="103"/>
      <c r="BH23" s="103"/>
      <c r="BI23" s="103"/>
      <c r="BJ23" s="103"/>
      <c r="BK23" s="103"/>
      <c r="BL23" s="103"/>
      <c r="BM23" s="103"/>
      <c r="BN23" s="103"/>
      <c r="BO23" s="103"/>
    </row>
    <row r="24" spans="1:67" s="12" customFormat="1" ht="9.75" customHeight="1" thickBot="1" x14ac:dyDescent="0.3">
      <c r="B24" s="70"/>
      <c r="F24" s="39"/>
      <c r="L24" s="26"/>
      <c r="W24" s="317"/>
      <c r="X24" s="317"/>
      <c r="Y24" s="317"/>
      <c r="Z24" s="318"/>
      <c r="AC24" s="32"/>
      <c r="AD24" s="32"/>
      <c r="AE24" s="41"/>
      <c r="AF24" s="41"/>
      <c r="AG24" s="39"/>
      <c r="AH24" s="39"/>
      <c r="AI24" s="39"/>
      <c r="AJ24" s="39"/>
      <c r="AK24" s="39"/>
      <c r="AL24" s="39"/>
      <c r="AM24" s="39"/>
      <c r="AN24" s="39"/>
      <c r="AO24" s="39"/>
      <c r="AP24" s="39"/>
      <c r="AQ24" s="39"/>
      <c r="AR24" s="1139"/>
      <c r="AS24" s="1140"/>
      <c r="AT24" s="88"/>
      <c r="AU24" s="88"/>
      <c r="AV24" s="88"/>
      <c r="AW24" s="88"/>
      <c r="AX24" s="88"/>
      <c r="AY24" s="103"/>
      <c r="AZ24" s="103"/>
      <c r="BA24" s="103"/>
      <c r="BB24" s="103"/>
      <c r="BC24" s="95"/>
      <c r="BD24" s="103"/>
      <c r="BE24" s="103"/>
      <c r="BF24" s="103"/>
      <c r="BG24" s="103"/>
      <c r="BH24" s="103"/>
      <c r="BI24" s="103"/>
      <c r="BJ24" s="103"/>
      <c r="BK24" s="103"/>
      <c r="BL24" s="103"/>
      <c r="BM24" s="103"/>
      <c r="BN24" s="103"/>
      <c r="BO24" s="103"/>
    </row>
    <row r="25" spans="1:67" s="38" customFormat="1" ht="18" customHeight="1" x14ac:dyDescent="0.25">
      <c r="B25" s="333"/>
      <c r="C25" s="334"/>
      <c r="D25" s="334"/>
      <c r="E25" s="335"/>
      <c r="F25" s="335"/>
      <c r="G25" s="335"/>
      <c r="H25" s="335"/>
      <c r="I25" s="335"/>
      <c r="J25" s="335"/>
      <c r="K25" s="275"/>
      <c r="L25" s="335"/>
      <c r="M25" s="366" t="s">
        <v>167</v>
      </c>
      <c r="N25" s="335"/>
      <c r="O25" s="335"/>
      <c r="P25" s="335"/>
      <c r="Q25" s="335"/>
      <c r="R25" s="335"/>
      <c r="S25" s="335"/>
      <c r="T25" s="335"/>
      <c r="U25" s="335"/>
      <c r="V25" s="335"/>
      <c r="W25" s="335"/>
      <c r="X25" s="335"/>
      <c r="Y25" s="335"/>
      <c r="Z25" s="335"/>
      <c r="AA25" s="335"/>
      <c r="AB25" s="336"/>
      <c r="AC25" s="337"/>
      <c r="AD25" s="337"/>
      <c r="AE25" s="337"/>
      <c r="AF25" s="337"/>
      <c r="AG25" s="336"/>
      <c r="AH25" s="336"/>
      <c r="AI25" s="336"/>
      <c r="AJ25" s="336"/>
      <c r="AK25" s="336"/>
      <c r="AL25" s="336"/>
      <c r="AM25" s="336"/>
      <c r="AN25" s="336"/>
      <c r="AO25" s="336"/>
      <c r="AP25" s="336"/>
      <c r="AQ25" s="338"/>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row>
    <row r="26" spans="1:67" s="34" customFormat="1" ht="12.75" x14ac:dyDescent="0.2">
      <c r="B26" s="339"/>
      <c r="C26" s="172"/>
      <c r="D26" s="172"/>
      <c r="E26" s="359"/>
      <c r="F26" s="1141" t="str">
        <f>R12</f>
        <v>Maize</v>
      </c>
      <c r="G26" s="1142"/>
      <c r="H26" s="1143"/>
      <c r="I26" s="319"/>
      <c r="J26" s="319"/>
      <c r="K26" s="1141" t="str">
        <f>$R$13</f>
        <v>Beans</v>
      </c>
      <c r="L26" s="1142" t="str">
        <f>$R$13</f>
        <v>Beans</v>
      </c>
      <c r="M26" s="1143" t="str">
        <f>$R$13</f>
        <v>Beans</v>
      </c>
      <c r="N26" s="319"/>
      <c r="O26" s="319"/>
      <c r="P26" s="1141" t="str">
        <f>R14</f>
        <v>Oil</v>
      </c>
      <c r="Q26" s="1142"/>
      <c r="R26" s="1143"/>
      <c r="S26" s="319"/>
      <c r="T26" s="319"/>
      <c r="U26" s="1144" t="str">
        <f>R15</f>
        <v>CSB</v>
      </c>
      <c r="V26" s="1145"/>
      <c r="W26" s="1152"/>
      <c r="X26" s="320"/>
      <c r="Y26" s="320"/>
      <c r="Z26" s="1144" t="str">
        <f>R16</f>
        <v>Sugar</v>
      </c>
      <c r="AA26" s="1145"/>
      <c r="AB26" s="1152"/>
      <c r="AC26" s="42"/>
      <c r="AD26" s="43"/>
      <c r="AE26" s="1141" t="str">
        <f>R17</f>
        <v>Salt</v>
      </c>
      <c r="AF26" s="1142"/>
      <c r="AG26" s="1143"/>
      <c r="AH26" s="281"/>
      <c r="AI26" s="281"/>
      <c r="AJ26" s="1141">
        <f>R18</f>
        <v>0</v>
      </c>
      <c r="AK26" s="1142"/>
      <c r="AL26" s="1143"/>
      <c r="AM26" s="185"/>
      <c r="AN26" s="185"/>
      <c r="AO26" s="1144" t="s">
        <v>159</v>
      </c>
      <c r="AP26" s="1145"/>
      <c r="AQ26" s="1146"/>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row>
    <row r="27" spans="1:67" s="38" customFormat="1" ht="27" customHeight="1" thickBot="1" x14ac:dyDescent="0.25">
      <c r="B27" s="353" t="s">
        <v>213</v>
      </c>
      <c r="C27" s="354" t="s">
        <v>197</v>
      </c>
      <c r="D27" s="354" t="s">
        <v>133</v>
      </c>
      <c r="E27" s="354" t="s">
        <v>168</v>
      </c>
      <c r="F27" s="355" t="s">
        <v>156</v>
      </c>
      <c r="G27" s="354" t="s">
        <v>61</v>
      </c>
      <c r="H27" s="356" t="s">
        <v>64</v>
      </c>
      <c r="I27" s="355" t="s">
        <v>224</v>
      </c>
      <c r="J27" s="355" t="s">
        <v>225</v>
      </c>
      <c r="K27" s="355" t="s">
        <v>156</v>
      </c>
      <c r="L27" s="354" t="s">
        <v>61</v>
      </c>
      <c r="M27" s="356" t="s">
        <v>62</v>
      </c>
      <c r="N27" s="355" t="s">
        <v>226</v>
      </c>
      <c r="O27" s="355" t="s">
        <v>227</v>
      </c>
      <c r="P27" s="355" t="s">
        <v>63</v>
      </c>
      <c r="Q27" s="354" t="s">
        <v>61</v>
      </c>
      <c r="R27" s="354" t="s">
        <v>65</v>
      </c>
      <c r="S27" s="355" t="s">
        <v>228</v>
      </c>
      <c r="T27" s="355" t="s">
        <v>229</v>
      </c>
      <c r="U27" s="355" t="s">
        <v>156</v>
      </c>
      <c r="V27" s="354" t="s">
        <v>61</v>
      </c>
      <c r="W27" s="354" t="s">
        <v>66</v>
      </c>
      <c r="X27" s="355" t="s">
        <v>230</v>
      </c>
      <c r="Y27" s="355" t="s">
        <v>231</v>
      </c>
      <c r="Z27" s="355" t="s">
        <v>156</v>
      </c>
      <c r="AA27" s="354" t="s">
        <v>61</v>
      </c>
      <c r="AB27" s="354" t="s">
        <v>67</v>
      </c>
      <c r="AC27" s="355" t="s">
        <v>232</v>
      </c>
      <c r="AD27" s="355" t="s">
        <v>233</v>
      </c>
      <c r="AE27" s="355" t="s">
        <v>156</v>
      </c>
      <c r="AF27" s="354" t="s">
        <v>61</v>
      </c>
      <c r="AG27" s="354" t="s">
        <v>68</v>
      </c>
      <c r="AH27" s="355" t="s">
        <v>234</v>
      </c>
      <c r="AI27" s="355" t="s">
        <v>235</v>
      </c>
      <c r="AJ27" s="355" t="s">
        <v>156</v>
      </c>
      <c r="AK27" s="354" t="s">
        <v>61</v>
      </c>
      <c r="AL27" s="354" t="s">
        <v>69</v>
      </c>
      <c r="AM27" s="251" t="s">
        <v>236</v>
      </c>
      <c r="AN27" s="251" t="s">
        <v>237</v>
      </c>
      <c r="AO27" s="362" t="s">
        <v>122</v>
      </c>
      <c r="AP27" s="357" t="s">
        <v>160</v>
      </c>
      <c r="AQ27" s="358" t="s">
        <v>138</v>
      </c>
      <c r="AR27" s="33"/>
      <c r="AS27" s="33"/>
      <c r="AT27" s="89"/>
      <c r="AU27" s="89"/>
      <c r="AV27" s="89"/>
      <c r="AW27" s="89"/>
      <c r="AX27" s="89"/>
      <c r="AY27" s="89"/>
      <c r="AZ27" s="89"/>
      <c r="BA27" s="89"/>
      <c r="BB27" s="89"/>
    </row>
    <row r="28" spans="1:67" s="38" customFormat="1" ht="15.75" customHeight="1" x14ac:dyDescent="0.2">
      <c r="B28" s="365">
        <f>IF(E28&gt;0,1)</f>
        <v>1</v>
      </c>
      <c r="C28" s="44"/>
      <c r="D28" s="45"/>
      <c r="E28" s="254">
        <v>4</v>
      </c>
      <c r="F28" s="256">
        <f>($W$12*$AG$21)*E28</f>
        <v>22400</v>
      </c>
      <c r="G28" s="254">
        <v>21000</v>
      </c>
      <c r="H28" s="344">
        <f>(G28/E28)/$AG$21</f>
        <v>375</v>
      </c>
      <c r="I28" s="259">
        <f>IF(H28&lt;'FBM Results'!$C$23*0.9,1,)</f>
        <v>0</v>
      </c>
      <c r="J28" s="259">
        <f>IF(H28&gt;'FBM Results'!$C$23*1.1,1,)</f>
        <v>0</v>
      </c>
      <c r="K28" s="260">
        <f>($W$13*$AG$21)*E28</f>
        <v>3360</v>
      </c>
      <c r="L28" s="254">
        <v>100</v>
      </c>
      <c r="M28" s="344">
        <f>(L28/E28)/$AG$21</f>
        <v>1.7857142857142858</v>
      </c>
      <c r="N28" s="259">
        <f>IF(M28&lt;'FBM Results'!$C$24*0.9,1,)</f>
        <v>1</v>
      </c>
      <c r="O28" s="259">
        <f>IF(M28&gt;'FBM Results'!$C$24*1.1,1,)</f>
        <v>0</v>
      </c>
      <c r="P28" s="260">
        <f>($W$14*$AG$21)*E28</f>
        <v>1400</v>
      </c>
      <c r="Q28" s="254">
        <v>1100</v>
      </c>
      <c r="R28" s="349">
        <f>(Q28/E28)/$AG$21</f>
        <v>19.642857142857142</v>
      </c>
      <c r="S28" s="259">
        <f>IF(R28&lt;'FBM Results'!$C$25*0.9,1,)</f>
        <v>1</v>
      </c>
      <c r="T28" s="259">
        <f>IF(R28&gt;'FBM Results'!$C$25*1.1,1,)</f>
        <v>0</v>
      </c>
      <c r="U28" s="269">
        <f>($W$15*$AG$21)*E28</f>
        <v>2800</v>
      </c>
      <c r="V28" s="254">
        <v>2500</v>
      </c>
      <c r="W28" s="352">
        <f>(V28/$E28)/$AG$21</f>
        <v>44.642857142857146</v>
      </c>
      <c r="X28" s="259">
        <f>IF(W28&lt;'FBM Results'!$C$26*0.9,1,)</f>
        <v>1</v>
      </c>
      <c r="Y28" s="259">
        <f>IF(W28&gt;'FBM Results'!$C$26*1.1,1,)</f>
        <v>0</v>
      </c>
      <c r="Z28" s="260">
        <f>($W$16*$AG$21)*E28</f>
        <v>840</v>
      </c>
      <c r="AA28" s="254">
        <v>800</v>
      </c>
      <c r="AB28" s="352">
        <f>(AA28/$E28)/$AG$21</f>
        <v>14.285714285714286</v>
      </c>
      <c r="AC28" s="259">
        <f>IF(AB28&lt;'FBM Results'!$C$27*0.9,1,)</f>
        <v>0</v>
      </c>
      <c r="AD28" s="259">
        <f>IF(AB28&gt;'FBM Results'!$C$27*1.1,1,)</f>
        <v>0</v>
      </c>
      <c r="AE28" s="260">
        <f>$W$17*$AG$21*$E28</f>
        <v>280</v>
      </c>
      <c r="AF28" s="254">
        <v>330</v>
      </c>
      <c r="AG28" s="352">
        <f>(AF28/$E28)/$AG$21</f>
        <v>5.8928571428571432</v>
      </c>
      <c r="AH28" s="259">
        <f>IF(AG28&lt;'FBM Results'!$C$28*0.9,1,)</f>
        <v>0</v>
      </c>
      <c r="AI28" s="259">
        <f>IF(AG28&gt;'FBM Results'!$C$28*1.1,1,)</f>
        <v>1</v>
      </c>
      <c r="AJ28" s="260">
        <f>$W$18*$AG$21*$E28</f>
        <v>0</v>
      </c>
      <c r="AK28" s="254"/>
      <c r="AL28" s="268">
        <f>(AK28/$E28)/$AG$21</f>
        <v>0</v>
      </c>
      <c r="AM28" s="259">
        <f>IF(AL28&lt;'FBM Results'!$C$29*0.9,1,)</f>
        <v>0</v>
      </c>
      <c r="AN28" s="259">
        <f>IF(AL28&gt;'FBM Results'!$C$29*1.1,1,)</f>
        <v>0</v>
      </c>
      <c r="AO28" s="271">
        <f>SUM(F29+K29+P29+U29+Z29+AE29+AJ29)</f>
        <v>96170</v>
      </c>
      <c r="AP28" s="270">
        <f>(AO28/E28)/$AG$21</f>
        <v>1717.3214285714287</v>
      </c>
      <c r="AQ28" s="321">
        <f>AP28*100/$AG$19</f>
        <v>82.952369451584531</v>
      </c>
      <c r="AR28" s="34"/>
      <c r="AS28" s="34"/>
    </row>
    <row r="29" spans="1:67" s="38" customFormat="1" ht="15.75" hidden="1" customHeight="1" x14ac:dyDescent="0.2">
      <c r="B29" s="342"/>
      <c r="C29" s="46"/>
      <c r="D29" s="85"/>
      <c r="E29" s="363"/>
      <c r="F29" s="263">
        <f>(G28*$AB$12)/100</f>
        <v>73500</v>
      </c>
      <c r="G29" s="87"/>
      <c r="H29" s="346"/>
      <c r="I29" s="262"/>
      <c r="J29" s="262"/>
      <c r="K29" s="263">
        <f>(L28*$AB$13)/100</f>
        <v>335</v>
      </c>
      <c r="L29" s="87"/>
      <c r="M29" s="346"/>
      <c r="N29" s="262"/>
      <c r="O29" s="262"/>
      <c r="P29" s="263">
        <f>(Q28*$AB$14)/100</f>
        <v>9735</v>
      </c>
      <c r="Q29" s="87"/>
      <c r="R29" s="361"/>
      <c r="S29" s="262"/>
      <c r="T29" s="262"/>
      <c r="U29" s="263">
        <f>(V28*$AB$15)/100</f>
        <v>9400</v>
      </c>
      <c r="V29" s="87"/>
      <c r="W29" s="350"/>
      <c r="X29" s="262"/>
      <c r="Y29" s="262"/>
      <c r="Z29" s="263">
        <f>(AA28*$AB$16)/100</f>
        <v>3200</v>
      </c>
      <c r="AA29" s="87"/>
      <c r="AB29" s="350"/>
      <c r="AC29" s="262"/>
      <c r="AD29" s="262"/>
      <c r="AE29" s="263">
        <f>(AF28*$AB$17)/100</f>
        <v>0</v>
      </c>
      <c r="AF29" s="87"/>
      <c r="AG29" s="350"/>
      <c r="AH29" s="262"/>
      <c r="AI29" s="262"/>
      <c r="AJ29" s="263">
        <f>(AK28*$AB$18)/100</f>
        <v>0</v>
      </c>
      <c r="AK29" s="87"/>
      <c r="AL29" s="267"/>
      <c r="AM29" s="262"/>
      <c r="AN29" s="262"/>
      <c r="AO29" s="271"/>
      <c r="AP29" s="272"/>
      <c r="AQ29" s="322"/>
      <c r="AR29" s="34"/>
      <c r="AS29" s="34"/>
    </row>
    <row r="30" spans="1:67" s="38" customFormat="1" ht="16.5" customHeight="1" x14ac:dyDescent="0.2">
      <c r="B30" s="342" t="b">
        <f>IF(E30&gt;0,2)</f>
        <v>0</v>
      </c>
      <c r="C30" s="46"/>
      <c r="D30" s="47"/>
      <c r="E30" s="255"/>
      <c r="F30" s="258">
        <f>($W$12*$AG$21)*E30</f>
        <v>0</v>
      </c>
      <c r="G30" s="255"/>
      <c r="H30" s="346" t="e">
        <f>(G30/E30)/$AG$21</f>
        <v>#DIV/0!</v>
      </c>
      <c r="I30" s="262" t="e">
        <f>IF(H30&lt;'FBM Results'!$C$23*0.9,1,0)</f>
        <v>#DIV/0!</v>
      </c>
      <c r="J30" s="262" t="e">
        <f>IF(H30&gt;'FBM Results'!$C$23*1.1,1,)</f>
        <v>#DIV/0!</v>
      </c>
      <c r="K30" s="264">
        <f>($W$13*$AG$21)*E30</f>
        <v>0</v>
      </c>
      <c r="L30" s="255"/>
      <c r="M30" s="346" t="e">
        <f>(L30/E30)/$AG$21</f>
        <v>#DIV/0!</v>
      </c>
      <c r="N30" s="262" t="e">
        <f>IF(M30&lt;'FBM Results'!$C$24*0.9,1,)</f>
        <v>#DIV/0!</v>
      </c>
      <c r="O30" s="262" t="e">
        <f>IF(M30&gt;'FBM Results'!$C$24*1.1,1,)</f>
        <v>#DIV/0!</v>
      </c>
      <c r="P30" s="264">
        <f>($W$14*$AG$21)*E30</f>
        <v>0</v>
      </c>
      <c r="Q30" s="255"/>
      <c r="R30" s="350" t="e">
        <f>(Q30/E30)/$AG$21</f>
        <v>#DIV/0!</v>
      </c>
      <c r="S30" s="262" t="e">
        <f>IF(R30&lt;'FBM Results'!$C$25*0.9,1,)</f>
        <v>#DIV/0!</v>
      </c>
      <c r="T30" s="262" t="e">
        <f>IF(R30&gt;'FBM Results'!$C$25*1.1,1,)</f>
        <v>#DIV/0!</v>
      </c>
      <c r="U30" s="264">
        <f>($W$15*$AG$21)*E30</f>
        <v>0</v>
      </c>
      <c r="V30" s="255"/>
      <c r="W30" s="350" t="e">
        <f>(V30/E30)/$AG$21</f>
        <v>#DIV/0!</v>
      </c>
      <c r="X30" s="262" t="e">
        <f>IF(W30&lt;'FBM Results'!$C$26*0.9,1,)</f>
        <v>#DIV/0!</v>
      </c>
      <c r="Y30" s="262" t="e">
        <f>IF(W30&gt;'FBM Results'!$C$26*1.1,1,)</f>
        <v>#DIV/0!</v>
      </c>
      <c r="Z30" s="264">
        <f>($W$16*$AG$21)*E30</f>
        <v>0</v>
      </c>
      <c r="AA30" s="255"/>
      <c r="AB30" s="350" t="e">
        <f>(AA30/$E30)/$AG$21</f>
        <v>#DIV/0!</v>
      </c>
      <c r="AC30" s="262" t="e">
        <f>IF(AB30&lt;'FBM Results'!$C$27*0.9,1,)</f>
        <v>#DIV/0!</v>
      </c>
      <c r="AD30" s="262" t="e">
        <f>IF(AB30&gt;'FBM Results'!$C$27*1.1,1,)</f>
        <v>#DIV/0!</v>
      </c>
      <c r="AE30" s="264">
        <f>$W$17*$AG$21*$E30</f>
        <v>0</v>
      </c>
      <c r="AF30" s="255"/>
      <c r="AG30" s="350" t="e">
        <f>(AF30/$E30)/$AG$21</f>
        <v>#DIV/0!</v>
      </c>
      <c r="AH30" s="262" t="e">
        <f>IF(AG30&lt;'FBM Results'!$C$28*0.9,1,)</f>
        <v>#DIV/0!</v>
      </c>
      <c r="AI30" s="262" t="e">
        <f>IF(AG30&gt;'FBM Results'!$C$28*1.1,1,)</f>
        <v>#DIV/0!</v>
      </c>
      <c r="AJ30" s="264">
        <f>$W$18*$AG$21*$E30</f>
        <v>0</v>
      </c>
      <c r="AK30" s="255"/>
      <c r="AL30" s="267" t="e">
        <f>(AK30/$E30)/$AG$21</f>
        <v>#DIV/0!</v>
      </c>
      <c r="AM30" s="262" t="e">
        <f>IF(AL30&lt;'FBM Results'!$C$29*0.9,1,)</f>
        <v>#DIV/0!</v>
      </c>
      <c r="AN30" s="262" t="e">
        <f>IF(AL30&gt;'FBM Results'!$C$29*1.1,1,)</f>
        <v>#DIV/0!</v>
      </c>
      <c r="AO30" s="271">
        <f>SUM(F31+K31+P31+U31+Z31+AE31+AJ31)</f>
        <v>0</v>
      </c>
      <c r="AP30" s="272" t="e">
        <f>(AO30/E30)/$AG$21</f>
        <v>#DIV/0!</v>
      </c>
      <c r="AQ30" s="322" t="e">
        <f>AP30*100/$AG$19</f>
        <v>#DIV/0!</v>
      </c>
      <c r="AR30" s="34"/>
      <c r="AS30" s="34"/>
    </row>
    <row r="31" spans="1:67" s="38" customFormat="1" ht="16.5" hidden="1" customHeight="1" x14ac:dyDescent="0.2">
      <c r="B31" s="342" t="b">
        <f>IF(E31&gt;0,11)</f>
        <v>0</v>
      </c>
      <c r="C31" s="46"/>
      <c r="D31" s="85"/>
      <c r="E31" s="364"/>
      <c r="F31" s="257">
        <f>(G30*$AB$12)/100</f>
        <v>0</v>
      </c>
      <c r="G31" s="87"/>
      <c r="H31" s="345"/>
      <c r="I31" s="262"/>
      <c r="J31" s="262"/>
      <c r="K31" s="263">
        <f>(L30*$AB$13)/100</f>
        <v>0</v>
      </c>
      <c r="L31" s="87"/>
      <c r="M31" s="345"/>
      <c r="N31" s="262"/>
      <c r="O31" s="262"/>
      <c r="P31" s="263">
        <f>(Q30*$AB$14)/100</f>
        <v>0</v>
      </c>
      <c r="Q31" s="87"/>
      <c r="R31" s="345"/>
      <c r="S31" s="262"/>
      <c r="T31" s="262"/>
      <c r="U31" s="263">
        <f>(V30*$AB$15)/100</f>
        <v>0</v>
      </c>
      <c r="V31" s="87"/>
      <c r="W31" s="345"/>
      <c r="X31" s="262"/>
      <c r="Y31" s="262"/>
      <c r="Z31" s="263">
        <f>(AA30*$AB$16)/100</f>
        <v>0</v>
      </c>
      <c r="AA31" s="87"/>
      <c r="AB31" s="345"/>
      <c r="AC31" s="262"/>
      <c r="AD31" s="262"/>
      <c r="AE31" s="263">
        <f>(AF30*$AB$17)/100</f>
        <v>0</v>
      </c>
      <c r="AF31" s="87"/>
      <c r="AG31" s="345"/>
      <c r="AH31" s="262"/>
      <c r="AI31" s="262"/>
      <c r="AJ31" s="263">
        <f>(AK30*$AB$18)/100</f>
        <v>0</v>
      </c>
      <c r="AK31" s="87"/>
      <c r="AL31" s="261"/>
      <c r="AM31" s="262"/>
      <c r="AN31" s="262"/>
      <c r="AO31" s="271"/>
      <c r="AP31" s="272"/>
      <c r="AQ31" s="322"/>
      <c r="AR31" s="34"/>
      <c r="AS31" s="34"/>
    </row>
    <row r="32" spans="1:67" s="38" customFormat="1" ht="15.75" customHeight="1" x14ac:dyDescent="0.2">
      <c r="B32" s="342" t="b">
        <f>IF(E32&gt;0,3)</f>
        <v>0</v>
      </c>
      <c r="C32" s="46"/>
      <c r="D32" s="47"/>
      <c r="E32" s="255"/>
      <c r="F32" s="258">
        <f>($W$12*$AG$21)*E32</f>
        <v>0</v>
      </c>
      <c r="G32" s="255"/>
      <c r="H32" s="346" t="e">
        <f>(G32/E32)/$AG$21</f>
        <v>#DIV/0!</v>
      </c>
      <c r="I32" s="262" t="e">
        <f>IF(H32&lt;'FBM Results'!$C$23*0.9,1,0)</f>
        <v>#DIV/0!</v>
      </c>
      <c r="J32" s="262" t="e">
        <f>IF(H32&gt;'FBM Results'!$C$23*1.1,1,)</f>
        <v>#DIV/0!</v>
      </c>
      <c r="K32" s="264">
        <f>($W$13*$AG$21)*E32</f>
        <v>0</v>
      </c>
      <c r="L32" s="255"/>
      <c r="M32" s="346" t="e">
        <f>(L32/E32)/$AG$21</f>
        <v>#DIV/0!</v>
      </c>
      <c r="N32" s="262" t="e">
        <f>IF(M32&lt;'FBM Results'!$C$24*0.9,1,)</f>
        <v>#DIV/0!</v>
      </c>
      <c r="O32" s="262" t="e">
        <f>IF(M32&gt;'FBM Results'!$C$24*1.1,1,)</f>
        <v>#DIV/0!</v>
      </c>
      <c r="P32" s="264">
        <f>($W$14*$AG$21)*E32</f>
        <v>0</v>
      </c>
      <c r="Q32" s="255"/>
      <c r="R32" s="350" t="e">
        <f>(Q32/E32)/$AG$21</f>
        <v>#DIV/0!</v>
      </c>
      <c r="S32" s="262" t="e">
        <f>IF(R32&lt;'FBM Results'!$C$25*0.9,1,)</f>
        <v>#DIV/0!</v>
      </c>
      <c r="T32" s="262" t="e">
        <f>IF(R32&gt;'FBM Results'!$C$25*1.1,1,)</f>
        <v>#DIV/0!</v>
      </c>
      <c r="U32" s="264">
        <f>($W$15*$AG$21)*E32</f>
        <v>0</v>
      </c>
      <c r="V32" s="255"/>
      <c r="W32" s="350" t="e">
        <f>(V32/E32)/$AG$21</f>
        <v>#DIV/0!</v>
      </c>
      <c r="X32" s="262" t="e">
        <f>IF(W32&lt;'FBM Results'!$C$26*0.9,1,)</f>
        <v>#DIV/0!</v>
      </c>
      <c r="Y32" s="262" t="e">
        <f>IF(W32&gt;'FBM Results'!$C$26*1.1,1,)</f>
        <v>#DIV/0!</v>
      </c>
      <c r="Z32" s="264">
        <f>($W$16*$AG$21)*E32</f>
        <v>0</v>
      </c>
      <c r="AA32" s="255"/>
      <c r="AB32" s="350" t="e">
        <f>(AA32/$E32)/$AG$21</f>
        <v>#DIV/0!</v>
      </c>
      <c r="AC32" s="262" t="e">
        <f>IF(AB32&lt;'FBM Results'!$C$27*0.9,1,)</f>
        <v>#DIV/0!</v>
      </c>
      <c r="AD32" s="262" t="e">
        <f>IF(AB32&gt;'FBM Results'!$C$27*1.1,1,)</f>
        <v>#DIV/0!</v>
      </c>
      <c r="AE32" s="264">
        <f>$W$17*$AG$21*$E32</f>
        <v>0</v>
      </c>
      <c r="AF32" s="255"/>
      <c r="AG32" s="350" t="e">
        <f>(AF32/$E32)/$AG$21</f>
        <v>#DIV/0!</v>
      </c>
      <c r="AH32" s="262" t="e">
        <f>IF(AG32&lt;'FBM Results'!$C$28*0.9,1,)</f>
        <v>#DIV/0!</v>
      </c>
      <c r="AI32" s="262" t="e">
        <f>IF(AG32&gt;'FBM Results'!$C$28*1.1,1,)</f>
        <v>#DIV/0!</v>
      </c>
      <c r="AJ32" s="264">
        <f>$W$18*$AG$21*$E32</f>
        <v>0</v>
      </c>
      <c r="AK32" s="255"/>
      <c r="AL32" s="267" t="e">
        <f>(AK32/$E32)/$AG$21</f>
        <v>#DIV/0!</v>
      </c>
      <c r="AM32" s="262" t="e">
        <f>IF(AL32&lt;'FBM Results'!$C$29*0.9,1,)</f>
        <v>#DIV/0!</v>
      </c>
      <c r="AN32" s="262" t="e">
        <f>IF(AL32&gt;'FBM Results'!$C$29*1.1,1,)</f>
        <v>#DIV/0!</v>
      </c>
      <c r="AO32" s="271">
        <f>SUM(F33+K33+P33+U33+Z33+AE33+AJ33)</f>
        <v>0</v>
      </c>
      <c r="AP32" s="272" t="e">
        <f>(AO32/E32)/$AG$21</f>
        <v>#DIV/0!</v>
      </c>
      <c r="AQ32" s="322" t="e">
        <f>AP32*100/$AG$19</f>
        <v>#DIV/0!</v>
      </c>
      <c r="AR32" s="34"/>
      <c r="AS32" s="34"/>
    </row>
    <row r="33" spans="2:45" s="38" customFormat="1" ht="15.75" hidden="1" customHeight="1" x14ac:dyDescent="0.2">
      <c r="B33" s="342" t="b">
        <f>IF(E33&gt;0,11)</f>
        <v>0</v>
      </c>
      <c r="C33" s="46"/>
      <c r="D33" s="85"/>
      <c r="E33" s="364"/>
      <c r="F33" s="257">
        <f>(G32*$AB$12)/100</f>
        <v>0</v>
      </c>
      <c r="G33" s="87"/>
      <c r="H33" s="345"/>
      <c r="I33" s="262"/>
      <c r="J33" s="262"/>
      <c r="K33" s="263">
        <f>(L32*$AB$13)/100</f>
        <v>0</v>
      </c>
      <c r="L33" s="87"/>
      <c r="M33" s="345"/>
      <c r="N33" s="262"/>
      <c r="O33" s="262"/>
      <c r="P33" s="263">
        <f>(Q32*$AB$14)/100</f>
        <v>0</v>
      </c>
      <c r="Q33" s="87"/>
      <c r="R33" s="345"/>
      <c r="S33" s="262"/>
      <c r="T33" s="262"/>
      <c r="U33" s="263">
        <f>(V32*$AB$15)/100</f>
        <v>0</v>
      </c>
      <c r="V33" s="87"/>
      <c r="W33" s="345"/>
      <c r="X33" s="262"/>
      <c r="Y33" s="262"/>
      <c r="Z33" s="263">
        <f>(AA32*$AB$16)/100</f>
        <v>0</v>
      </c>
      <c r="AA33" s="87"/>
      <c r="AB33" s="345"/>
      <c r="AC33" s="262"/>
      <c r="AD33" s="262"/>
      <c r="AE33" s="263">
        <f>(AF32*$AB$17)/100</f>
        <v>0</v>
      </c>
      <c r="AF33" s="87"/>
      <c r="AG33" s="345"/>
      <c r="AH33" s="262"/>
      <c r="AI33" s="262"/>
      <c r="AJ33" s="263">
        <f>(AK32*$AB$18)/100</f>
        <v>0</v>
      </c>
      <c r="AK33" s="87"/>
      <c r="AL33" s="261"/>
      <c r="AM33" s="262"/>
      <c r="AN33" s="262"/>
      <c r="AO33" s="271"/>
      <c r="AP33" s="272"/>
      <c r="AQ33" s="322"/>
      <c r="AR33" s="34"/>
      <c r="AS33" s="34"/>
    </row>
    <row r="34" spans="2:45" s="38" customFormat="1" ht="15" customHeight="1" x14ac:dyDescent="0.2">
      <c r="B34" s="342" t="b">
        <f>IF(E34&gt;0,4)</f>
        <v>0</v>
      </c>
      <c r="C34" s="46"/>
      <c r="D34" s="47"/>
      <c r="E34" s="255"/>
      <c r="F34" s="258">
        <f>($W$12*$AG$21)*E34</f>
        <v>0</v>
      </c>
      <c r="G34" s="255"/>
      <c r="H34" s="346" t="e">
        <f>(G34/E34)/$AG$21</f>
        <v>#DIV/0!</v>
      </c>
      <c r="I34" s="262" t="e">
        <f>IF(H34&lt;'FBM Results'!$C$23*0.9,1,0)</f>
        <v>#DIV/0!</v>
      </c>
      <c r="J34" s="262" t="e">
        <f>IF(H34&gt;'FBM Results'!$C$23*1.1,1,)</f>
        <v>#DIV/0!</v>
      </c>
      <c r="K34" s="264">
        <f>($W$13*$AG$21)*E34</f>
        <v>0</v>
      </c>
      <c r="L34" s="255"/>
      <c r="M34" s="346" t="e">
        <f>(L34/E34)/$AG$21</f>
        <v>#DIV/0!</v>
      </c>
      <c r="N34" s="262" t="e">
        <f>IF(M34&lt;'FBM Results'!$C$24*0.9,1,)</f>
        <v>#DIV/0!</v>
      </c>
      <c r="O34" s="262" t="e">
        <f>IF(M34&gt;'FBM Results'!$C$24*1.1,1,)</f>
        <v>#DIV/0!</v>
      </c>
      <c r="P34" s="264">
        <f>($W$14*$AG$21)*E34</f>
        <v>0</v>
      </c>
      <c r="Q34" s="255"/>
      <c r="R34" s="350" t="e">
        <f>(Q34/E34)/$AG$21</f>
        <v>#DIV/0!</v>
      </c>
      <c r="S34" s="262" t="e">
        <f>IF(R34&lt;'FBM Results'!$C$25*0.9,1,)</f>
        <v>#DIV/0!</v>
      </c>
      <c r="T34" s="262" t="e">
        <f>IF(R34&gt;'FBM Results'!$C$25*1.1,1,)</f>
        <v>#DIV/0!</v>
      </c>
      <c r="U34" s="264">
        <f>($W$15*$AG$21)*E34</f>
        <v>0</v>
      </c>
      <c r="V34" s="255"/>
      <c r="W34" s="350" t="e">
        <f>(V34/E34)/$AG$21</f>
        <v>#DIV/0!</v>
      </c>
      <c r="X34" s="262" t="e">
        <f>IF(W34&lt;'FBM Results'!$C$26*0.9,1,)</f>
        <v>#DIV/0!</v>
      </c>
      <c r="Y34" s="262" t="e">
        <f>IF(W34&gt;'FBM Results'!$C$26*1.1,1,)</f>
        <v>#DIV/0!</v>
      </c>
      <c r="Z34" s="264">
        <f>($W$16*$AG$21)*E34</f>
        <v>0</v>
      </c>
      <c r="AA34" s="255"/>
      <c r="AB34" s="350" t="e">
        <f>(AA34/$E34)/$AG$21</f>
        <v>#DIV/0!</v>
      </c>
      <c r="AC34" s="262" t="e">
        <f>IF(AB34&lt;'FBM Results'!$C$27*0.9,1,)</f>
        <v>#DIV/0!</v>
      </c>
      <c r="AD34" s="262" t="e">
        <f>IF(AB34&gt;'FBM Results'!$C$27*1.1,1,)</f>
        <v>#DIV/0!</v>
      </c>
      <c r="AE34" s="264">
        <f>$W$17*$AG$21*$E34</f>
        <v>0</v>
      </c>
      <c r="AF34" s="255"/>
      <c r="AG34" s="350" t="e">
        <f>(AF34/$E34)/$AG$21</f>
        <v>#DIV/0!</v>
      </c>
      <c r="AH34" s="262" t="e">
        <f>IF(AG34&lt;'FBM Results'!$C$28*0.9,1,)</f>
        <v>#DIV/0!</v>
      </c>
      <c r="AI34" s="262" t="e">
        <f>IF(AG34&gt;'FBM Results'!$C$28*1.1,1,)</f>
        <v>#DIV/0!</v>
      </c>
      <c r="AJ34" s="264">
        <f>$W$18*$AG$21*$E34</f>
        <v>0</v>
      </c>
      <c r="AK34" s="255"/>
      <c r="AL34" s="267" t="e">
        <f>(AK34/$E34)/$AG$21</f>
        <v>#DIV/0!</v>
      </c>
      <c r="AM34" s="262" t="e">
        <f>IF(AL34&lt;'FBM Results'!$C$29*0.9,1,)</f>
        <v>#DIV/0!</v>
      </c>
      <c r="AN34" s="262" t="e">
        <f>IF(AL34&gt;'FBM Results'!$C$29*1.1,1,)</f>
        <v>#DIV/0!</v>
      </c>
      <c r="AO34" s="271">
        <f>SUM(F35+K35+P35+U35+Z35+AE35+AJ35)</f>
        <v>0</v>
      </c>
      <c r="AP34" s="272" t="e">
        <f>(AO34/E34)/$AG$21</f>
        <v>#DIV/0!</v>
      </c>
      <c r="AQ34" s="322" t="e">
        <f>AP34*100/$AG$19</f>
        <v>#DIV/0!</v>
      </c>
      <c r="AR34" s="34"/>
      <c r="AS34" s="34"/>
    </row>
    <row r="35" spans="2:45" s="38" customFormat="1" ht="15.75" hidden="1" customHeight="1" x14ac:dyDescent="0.2">
      <c r="B35" s="342" t="b">
        <f>IF(E35&gt;0,11)</f>
        <v>0</v>
      </c>
      <c r="C35" s="169"/>
      <c r="D35" s="85"/>
      <c r="E35" s="255"/>
      <c r="F35" s="257">
        <f>(G34*$AB$12)/100</f>
        <v>0</v>
      </c>
      <c r="G35" s="87"/>
      <c r="H35" s="345"/>
      <c r="I35" s="262"/>
      <c r="J35" s="262"/>
      <c r="K35" s="263">
        <f>(L34*$AB$13)/100</f>
        <v>0</v>
      </c>
      <c r="L35" s="87"/>
      <c r="M35" s="345"/>
      <c r="N35" s="262"/>
      <c r="O35" s="262"/>
      <c r="P35" s="263">
        <f>(Q34*$AB$14)/100</f>
        <v>0</v>
      </c>
      <c r="Q35" s="87"/>
      <c r="R35" s="345"/>
      <c r="S35" s="262"/>
      <c r="T35" s="262"/>
      <c r="U35" s="263">
        <f>(V34*$AB$15)/100</f>
        <v>0</v>
      </c>
      <c r="V35" s="87"/>
      <c r="W35" s="345"/>
      <c r="X35" s="262"/>
      <c r="Y35" s="262"/>
      <c r="Z35" s="263">
        <f>(AA34*$AB$16)/100</f>
        <v>0</v>
      </c>
      <c r="AA35" s="87"/>
      <c r="AB35" s="345"/>
      <c r="AC35" s="262"/>
      <c r="AD35" s="262"/>
      <c r="AE35" s="263">
        <f>(AF34*$AB$17)/100</f>
        <v>0</v>
      </c>
      <c r="AF35" s="87"/>
      <c r="AG35" s="345"/>
      <c r="AH35" s="262"/>
      <c r="AI35" s="262"/>
      <c r="AJ35" s="263">
        <f>(AK34*$AB$18)/100</f>
        <v>0</v>
      </c>
      <c r="AK35" s="87"/>
      <c r="AL35" s="261"/>
      <c r="AM35" s="262"/>
      <c r="AN35" s="262"/>
      <c r="AO35" s="271"/>
      <c r="AP35" s="272"/>
      <c r="AQ35" s="322"/>
      <c r="AR35" s="34"/>
      <c r="AS35" s="34"/>
    </row>
    <row r="36" spans="2:45" s="38" customFormat="1" ht="15.75" customHeight="1" x14ac:dyDescent="0.2">
      <c r="B36" s="342" t="b">
        <f>IF(E36&gt;0,5)</f>
        <v>0</v>
      </c>
      <c r="C36" s="46"/>
      <c r="D36" s="47"/>
      <c r="E36" s="255"/>
      <c r="F36" s="258">
        <f>($W$12*$AG$21)*E36</f>
        <v>0</v>
      </c>
      <c r="G36" s="255"/>
      <c r="H36" s="346" t="e">
        <f>(G36/E36)/$AG$21</f>
        <v>#DIV/0!</v>
      </c>
      <c r="I36" s="262" t="e">
        <f>IF(H36&lt;'FBM Results'!$C$23*0.9,1,0)</f>
        <v>#DIV/0!</v>
      </c>
      <c r="J36" s="262" t="e">
        <f>IF(H36&gt;'FBM Results'!$C$23*1.1,1,)</f>
        <v>#DIV/0!</v>
      </c>
      <c r="K36" s="264">
        <f>($W$13*$AG$21)*E36</f>
        <v>0</v>
      </c>
      <c r="L36" s="255"/>
      <c r="M36" s="346" t="e">
        <f>(L36/E36)/$AG$21</f>
        <v>#DIV/0!</v>
      </c>
      <c r="N36" s="262" t="e">
        <f>IF(M36&lt;'FBM Results'!$C$24*0.9,1,)</f>
        <v>#DIV/0!</v>
      </c>
      <c r="O36" s="262" t="e">
        <f>IF(M36&gt;'FBM Results'!$C$24*1.1,1,)</f>
        <v>#DIV/0!</v>
      </c>
      <c r="P36" s="264">
        <f>($W$14*$AG$21)*E36</f>
        <v>0</v>
      </c>
      <c r="Q36" s="255"/>
      <c r="R36" s="350" t="e">
        <f>(Q36/E36)/$AG$21</f>
        <v>#DIV/0!</v>
      </c>
      <c r="S36" s="262" t="e">
        <f>IF(R36&lt;'FBM Results'!$C$25*0.9,1,)</f>
        <v>#DIV/0!</v>
      </c>
      <c r="T36" s="262" t="e">
        <f>IF(R36&gt;'FBM Results'!$C$25*1.1,1,)</f>
        <v>#DIV/0!</v>
      </c>
      <c r="U36" s="264">
        <f>($W$15*$AG$21)*E36</f>
        <v>0</v>
      </c>
      <c r="V36" s="255"/>
      <c r="W36" s="350" t="e">
        <f>(V36/E36)/$AG$21</f>
        <v>#DIV/0!</v>
      </c>
      <c r="X36" s="262" t="e">
        <f>IF(W36&lt;'FBM Results'!$C$26*0.9,1,)</f>
        <v>#DIV/0!</v>
      </c>
      <c r="Y36" s="262" t="e">
        <f>IF(W36&gt;'FBM Results'!$C$26*1.1,1,)</f>
        <v>#DIV/0!</v>
      </c>
      <c r="Z36" s="264">
        <f>($W$16*$AG$21)*E36</f>
        <v>0</v>
      </c>
      <c r="AA36" s="255"/>
      <c r="AB36" s="350" t="e">
        <f>(AA36/$E36)/$AG$21</f>
        <v>#DIV/0!</v>
      </c>
      <c r="AC36" s="262" t="e">
        <f>IF(AB36&lt;'FBM Results'!$C$27*0.9,1,)</f>
        <v>#DIV/0!</v>
      </c>
      <c r="AD36" s="262" t="e">
        <f>IF(AB36&gt;'FBM Results'!$C$27*1.1,1,)</f>
        <v>#DIV/0!</v>
      </c>
      <c r="AE36" s="264">
        <f>$W$17*$AG$21*$E36</f>
        <v>0</v>
      </c>
      <c r="AF36" s="255"/>
      <c r="AG36" s="350" t="e">
        <f>(AF36/$E36)/$AG$21</f>
        <v>#DIV/0!</v>
      </c>
      <c r="AH36" s="262" t="e">
        <f>IF(AG36&lt;'FBM Results'!$C$28*0.9,1,)</f>
        <v>#DIV/0!</v>
      </c>
      <c r="AI36" s="262" t="e">
        <f>IF(AG36&gt;'FBM Results'!$C$28*1.1,1,)</f>
        <v>#DIV/0!</v>
      </c>
      <c r="AJ36" s="264">
        <f>$W$18*$AG$21*$E36</f>
        <v>0</v>
      </c>
      <c r="AK36" s="255"/>
      <c r="AL36" s="267" t="e">
        <f>(AK36/$E36)/$AG$21</f>
        <v>#DIV/0!</v>
      </c>
      <c r="AM36" s="262" t="e">
        <f>IF(AL36&lt;'FBM Results'!$C$29*0.9,1,)</f>
        <v>#DIV/0!</v>
      </c>
      <c r="AN36" s="262" t="e">
        <f>IF(AL36&gt;'FBM Results'!$C$29*1.1,1,)</f>
        <v>#DIV/0!</v>
      </c>
      <c r="AO36" s="271">
        <f>SUM(F37+K37+P37+U37+Z37+AE37+AJ37)</f>
        <v>0</v>
      </c>
      <c r="AP36" s="272" t="e">
        <f>(AO36/E36)/$AG$21</f>
        <v>#DIV/0!</v>
      </c>
      <c r="AQ36" s="322" t="e">
        <f>AP36*100/$AG$19</f>
        <v>#DIV/0!</v>
      </c>
      <c r="AR36" s="34"/>
      <c r="AS36" s="34"/>
    </row>
    <row r="37" spans="2:45" s="38" customFormat="1" ht="15.75" hidden="1" customHeight="1" x14ac:dyDescent="0.2">
      <c r="B37" s="342" t="b">
        <f>IF(E37&gt;0,11)</f>
        <v>0</v>
      </c>
      <c r="C37" s="46"/>
      <c r="D37" s="85"/>
      <c r="E37" s="255"/>
      <c r="F37" s="257">
        <f>(G36*$AB$12)/100</f>
        <v>0</v>
      </c>
      <c r="G37" s="87"/>
      <c r="H37" s="345"/>
      <c r="I37" s="262"/>
      <c r="J37" s="262"/>
      <c r="K37" s="263">
        <f>(L36*$AB$13)/100</f>
        <v>0</v>
      </c>
      <c r="L37" s="87"/>
      <c r="M37" s="345"/>
      <c r="N37" s="262"/>
      <c r="O37" s="262"/>
      <c r="P37" s="263">
        <f>(Q36*$AB$14)/100</f>
        <v>0</v>
      </c>
      <c r="Q37" s="87"/>
      <c r="R37" s="345"/>
      <c r="S37" s="262"/>
      <c r="T37" s="262"/>
      <c r="U37" s="263">
        <f>(V36*$AB$15)/100</f>
        <v>0</v>
      </c>
      <c r="V37" s="87"/>
      <c r="W37" s="345"/>
      <c r="X37" s="262"/>
      <c r="Y37" s="262"/>
      <c r="Z37" s="263">
        <f>(AA36*$AB$16)/100</f>
        <v>0</v>
      </c>
      <c r="AA37" s="87"/>
      <c r="AB37" s="345"/>
      <c r="AC37" s="262"/>
      <c r="AD37" s="262"/>
      <c r="AE37" s="263">
        <f>(AF36*$AB$17)/100</f>
        <v>0</v>
      </c>
      <c r="AF37" s="87"/>
      <c r="AG37" s="345"/>
      <c r="AH37" s="262"/>
      <c r="AI37" s="262"/>
      <c r="AJ37" s="263">
        <f>(AK36*$AB$18)/100</f>
        <v>0</v>
      </c>
      <c r="AK37" s="87"/>
      <c r="AL37" s="261"/>
      <c r="AM37" s="262"/>
      <c r="AN37" s="262"/>
      <c r="AO37" s="271"/>
      <c r="AP37" s="272"/>
      <c r="AQ37" s="322"/>
      <c r="AR37" s="34"/>
      <c r="AS37" s="34"/>
    </row>
    <row r="38" spans="2:45" s="38" customFormat="1" ht="15.75" customHeight="1" x14ac:dyDescent="0.2">
      <c r="B38" s="342" t="b">
        <f>IF(E38&gt;0,6)</f>
        <v>0</v>
      </c>
      <c r="C38" s="46"/>
      <c r="D38" s="47"/>
      <c r="E38" s="255"/>
      <c r="F38" s="258">
        <f>$AG$21*'FBM Results'!$C$23*E38</f>
        <v>0</v>
      </c>
      <c r="G38" s="255"/>
      <c r="H38" s="346" t="e">
        <f>(G38/E38)/$AG$21</f>
        <v>#DIV/0!</v>
      </c>
      <c r="I38" s="262" t="e">
        <f>IF(H38&lt;'FBM Results'!$C$23*0.9,1,0)</f>
        <v>#DIV/0!</v>
      </c>
      <c r="J38" s="262" t="e">
        <f>IF(H38&gt;'FBM Results'!$C$23*1.1,1,)</f>
        <v>#DIV/0!</v>
      </c>
      <c r="K38" s="264">
        <f>($W$13*$AG$21)*E38</f>
        <v>0</v>
      </c>
      <c r="L38" s="255"/>
      <c r="M38" s="346" t="e">
        <f>(L38/E38)/$AG$21</f>
        <v>#DIV/0!</v>
      </c>
      <c r="N38" s="262" t="e">
        <f>IF(M38&lt;'FBM Results'!$C$24*0.9,1,)</f>
        <v>#DIV/0!</v>
      </c>
      <c r="O38" s="262" t="e">
        <f>IF(M38&gt;'FBM Results'!$C$24*1.1,1,)</f>
        <v>#DIV/0!</v>
      </c>
      <c r="P38" s="264">
        <f>($W$14*$AG$21)*E38</f>
        <v>0</v>
      </c>
      <c r="Q38" s="255"/>
      <c r="R38" s="350" t="e">
        <f>(Q38/E38)/$AG$21</f>
        <v>#DIV/0!</v>
      </c>
      <c r="S38" s="262" t="e">
        <f>IF(R38&lt;'FBM Results'!$C$25*0.9,1,)</f>
        <v>#DIV/0!</v>
      </c>
      <c r="T38" s="262" t="e">
        <f>IF(R38&gt;'FBM Results'!$C$25*1.1,1,)</f>
        <v>#DIV/0!</v>
      </c>
      <c r="U38" s="264">
        <f>($W$15*$AG$21)*E38</f>
        <v>0</v>
      </c>
      <c r="V38" s="255"/>
      <c r="W38" s="350" t="e">
        <f>(V38/E38)/$AG$21</f>
        <v>#DIV/0!</v>
      </c>
      <c r="X38" s="262" t="e">
        <f>IF(W38&lt;'FBM Results'!$C$26*0.9,1,)</f>
        <v>#DIV/0!</v>
      </c>
      <c r="Y38" s="262" t="e">
        <f>IF(W38&gt;'FBM Results'!$C$26*1.1,1,)</f>
        <v>#DIV/0!</v>
      </c>
      <c r="Z38" s="264">
        <f>($W$16*$AG$21)*E38</f>
        <v>0</v>
      </c>
      <c r="AA38" s="255"/>
      <c r="AB38" s="350" t="e">
        <f>(AA38/$E38)/$AG$21</f>
        <v>#DIV/0!</v>
      </c>
      <c r="AC38" s="262" t="e">
        <f>IF(AB38&lt;'FBM Results'!$C$27*0.9,1,)</f>
        <v>#DIV/0!</v>
      </c>
      <c r="AD38" s="262" t="e">
        <f>IF(AB38&gt;'FBM Results'!$C$27*1.1,1,)</f>
        <v>#DIV/0!</v>
      </c>
      <c r="AE38" s="264">
        <f>$W$17*$AG$21*$E38</f>
        <v>0</v>
      </c>
      <c r="AF38" s="255"/>
      <c r="AG38" s="350" t="e">
        <f>(AF38/$E38)/$AG$21</f>
        <v>#DIV/0!</v>
      </c>
      <c r="AH38" s="262" t="e">
        <f>IF(AG38&lt;'FBM Results'!$C$28*0.9,1,)</f>
        <v>#DIV/0!</v>
      </c>
      <c r="AI38" s="262" t="e">
        <f>IF(AG38&gt;'FBM Results'!$C$28*1.1,1,)</f>
        <v>#DIV/0!</v>
      </c>
      <c r="AJ38" s="264">
        <f>$W$18*$AG$21*$E38</f>
        <v>0</v>
      </c>
      <c r="AK38" s="255"/>
      <c r="AL38" s="267" t="e">
        <f>(AK38/$E38)/$AG$21</f>
        <v>#DIV/0!</v>
      </c>
      <c r="AM38" s="262" t="e">
        <f>IF(AL38&lt;'FBM Results'!$C$29*0.9,1,)</f>
        <v>#DIV/0!</v>
      </c>
      <c r="AN38" s="262" t="e">
        <f>IF(AL38&gt;'FBM Results'!$C$29*1.1,1,)</f>
        <v>#DIV/0!</v>
      </c>
      <c r="AO38" s="271">
        <f>SUM(F39+K39+P39+U39+Z39+AE39+AJ39)</f>
        <v>0</v>
      </c>
      <c r="AP38" s="272" t="e">
        <f>(AO38/E38)/$AG$21</f>
        <v>#DIV/0!</v>
      </c>
      <c r="AQ38" s="322" t="e">
        <f>AP38*100/$AG$19</f>
        <v>#DIV/0!</v>
      </c>
      <c r="AR38" s="34"/>
      <c r="AS38" s="34"/>
    </row>
    <row r="39" spans="2:45" s="38" customFormat="1" ht="15.75" hidden="1" customHeight="1" x14ac:dyDescent="0.2">
      <c r="B39" s="340" t="b">
        <f>IF(E39&gt;0,11)</f>
        <v>0</v>
      </c>
      <c r="C39" s="46" t="s">
        <v>1</v>
      </c>
      <c r="D39" s="85"/>
      <c r="E39" s="255"/>
      <c r="F39" s="257">
        <f>(G38*$AB$12)/100</f>
        <v>0</v>
      </c>
      <c r="G39" s="87"/>
      <c r="H39" s="345"/>
      <c r="I39" s="262"/>
      <c r="J39" s="262"/>
      <c r="K39" s="263">
        <f>(L38*$AB$13)/100</f>
        <v>0</v>
      </c>
      <c r="L39" s="87"/>
      <c r="M39" s="345"/>
      <c r="N39" s="262"/>
      <c r="O39" s="262"/>
      <c r="P39" s="263">
        <f>(Q38*$AB$14)/100</f>
        <v>0</v>
      </c>
      <c r="Q39" s="87"/>
      <c r="R39" s="345"/>
      <c r="S39" s="262"/>
      <c r="T39" s="262"/>
      <c r="U39" s="263">
        <f>(V38*$AB$15)/100</f>
        <v>0</v>
      </c>
      <c r="V39" s="87"/>
      <c r="W39" s="345"/>
      <c r="X39" s="262"/>
      <c r="Y39" s="262"/>
      <c r="Z39" s="263">
        <f>(AA38*$AB$16)/100</f>
        <v>0</v>
      </c>
      <c r="AA39" s="87"/>
      <c r="AB39" s="345"/>
      <c r="AC39" s="262"/>
      <c r="AD39" s="262"/>
      <c r="AE39" s="263">
        <f>(AF38*$AB$17)/100</f>
        <v>0</v>
      </c>
      <c r="AF39" s="87"/>
      <c r="AG39" s="345"/>
      <c r="AH39" s="262"/>
      <c r="AI39" s="262"/>
      <c r="AJ39" s="263">
        <f>(AK38*$AB$18)/100</f>
        <v>0</v>
      </c>
      <c r="AK39" s="87"/>
      <c r="AL39" s="261"/>
      <c r="AM39" s="262"/>
      <c r="AN39" s="262"/>
      <c r="AO39" s="271"/>
      <c r="AP39" s="272"/>
      <c r="AQ39" s="322"/>
      <c r="AR39" s="34"/>
      <c r="AS39" s="34"/>
    </row>
    <row r="40" spans="2:45" s="38" customFormat="1" ht="15.75" customHeight="1" x14ac:dyDescent="0.2">
      <c r="B40" s="340" t="b">
        <f>IF(E40&gt;0,7)</f>
        <v>0</v>
      </c>
      <c r="C40" s="46"/>
      <c r="D40" s="47"/>
      <c r="E40" s="255"/>
      <c r="F40" s="258">
        <f>$AG$21*'FBM Results'!$C$23*E40</f>
        <v>0</v>
      </c>
      <c r="G40" s="255"/>
      <c r="H40" s="346" t="e">
        <f>(G40/E40)/$AG$21</f>
        <v>#DIV/0!</v>
      </c>
      <c r="I40" s="262" t="e">
        <f>IF(H40&lt;'FBM Results'!$C$23*0.9,1,0)</f>
        <v>#DIV/0!</v>
      </c>
      <c r="J40" s="262" t="e">
        <f>IF(H40&gt;'FBM Results'!$C$23*1.1,1,)</f>
        <v>#DIV/0!</v>
      </c>
      <c r="K40" s="264">
        <f>($W$13*$AG$21)*E40</f>
        <v>0</v>
      </c>
      <c r="L40" s="255"/>
      <c r="M40" s="346" t="e">
        <f>(L40/E40)/$AG$21</f>
        <v>#DIV/0!</v>
      </c>
      <c r="N40" s="262" t="e">
        <f>IF(M40&lt;'FBM Results'!$C$24*0.9,1,)</f>
        <v>#DIV/0!</v>
      </c>
      <c r="O40" s="262" t="e">
        <f>IF(M40&gt;'FBM Results'!$C$24*1.1,1,)</f>
        <v>#DIV/0!</v>
      </c>
      <c r="P40" s="264">
        <f>($W$14*$AG$21)*E40</f>
        <v>0</v>
      </c>
      <c r="Q40" s="255"/>
      <c r="R40" s="350" t="e">
        <f>(Q40/E40)/$AG$21</f>
        <v>#DIV/0!</v>
      </c>
      <c r="S40" s="262" t="e">
        <f>IF(R40&lt;'FBM Results'!$C$25*0.9,1,)</f>
        <v>#DIV/0!</v>
      </c>
      <c r="T40" s="262" t="e">
        <f>IF(R40&gt;'FBM Results'!$C$25*1.1,1,)</f>
        <v>#DIV/0!</v>
      </c>
      <c r="U40" s="264">
        <f>($W$15*$AG$21)*E40</f>
        <v>0</v>
      </c>
      <c r="V40" s="255"/>
      <c r="W40" s="350" t="e">
        <f>(V40/E40)/$AG$21</f>
        <v>#DIV/0!</v>
      </c>
      <c r="X40" s="262" t="e">
        <f>IF(W40&lt;'FBM Results'!$C$26*0.9,1,)</f>
        <v>#DIV/0!</v>
      </c>
      <c r="Y40" s="262" t="e">
        <f>IF(W40&gt;'FBM Results'!$C$26*1.1,1,)</f>
        <v>#DIV/0!</v>
      </c>
      <c r="Z40" s="264">
        <f>($W$16*$AG$21)*E40</f>
        <v>0</v>
      </c>
      <c r="AA40" s="255"/>
      <c r="AB40" s="350" t="e">
        <f>(AA40/$E40)/$AG$21</f>
        <v>#DIV/0!</v>
      </c>
      <c r="AC40" s="262" t="e">
        <f>IF(AB40&lt;'FBM Results'!$C$27*0.9,1,)</f>
        <v>#DIV/0!</v>
      </c>
      <c r="AD40" s="262" t="e">
        <f>IF(AB40&gt;'FBM Results'!$C$27*1.1,1,)</f>
        <v>#DIV/0!</v>
      </c>
      <c r="AE40" s="264">
        <f>$W$17*$AG$21*$E40</f>
        <v>0</v>
      </c>
      <c r="AF40" s="255"/>
      <c r="AG40" s="350" t="e">
        <f>(AF40/$E40)/$AG$21</f>
        <v>#DIV/0!</v>
      </c>
      <c r="AH40" s="262" t="e">
        <f>IF(AG40&lt;'FBM Results'!$C$28*0.9,1,)</f>
        <v>#DIV/0!</v>
      </c>
      <c r="AI40" s="262" t="e">
        <f>IF(AG40&gt;'FBM Results'!$C$28*1.1,1,)</f>
        <v>#DIV/0!</v>
      </c>
      <c r="AJ40" s="264">
        <f>$W$18*$AG$21*$E40</f>
        <v>0</v>
      </c>
      <c r="AK40" s="255"/>
      <c r="AL40" s="267" t="e">
        <f>(AK40/$E40)/$AG$21</f>
        <v>#DIV/0!</v>
      </c>
      <c r="AM40" s="262" t="e">
        <f>IF(AL40&lt;'FBM Results'!$C$29*0.9,1,)</f>
        <v>#DIV/0!</v>
      </c>
      <c r="AN40" s="262" t="e">
        <f>IF(AL40&gt;'FBM Results'!$C$29*1.1,1,)</f>
        <v>#DIV/0!</v>
      </c>
      <c r="AO40" s="271">
        <f>SUM(F41+K41+P41+U41+Z41+AE41+AJ41)</f>
        <v>0</v>
      </c>
      <c r="AP40" s="272" t="e">
        <f>(AO40/E40)/$AG$21</f>
        <v>#DIV/0!</v>
      </c>
      <c r="AQ40" s="322" t="e">
        <f>AP40*100/$AG$19</f>
        <v>#DIV/0!</v>
      </c>
      <c r="AR40" s="34"/>
      <c r="AS40" s="34"/>
    </row>
    <row r="41" spans="2:45" s="38" customFormat="1" ht="15.75" hidden="1" customHeight="1" x14ac:dyDescent="0.2">
      <c r="B41" s="340" t="b">
        <f>IF(E41&gt;0,11)</f>
        <v>0</v>
      </c>
      <c r="C41" s="86"/>
      <c r="D41" s="85"/>
      <c r="E41" s="255"/>
      <c r="F41" s="257">
        <f>(G40*$AB$12)/100</f>
        <v>0</v>
      </c>
      <c r="G41" s="87"/>
      <c r="H41" s="345"/>
      <c r="I41" s="262"/>
      <c r="J41" s="262"/>
      <c r="K41" s="263">
        <f>(L40*$AB$13)/100</f>
        <v>0</v>
      </c>
      <c r="L41" s="87"/>
      <c r="M41" s="345"/>
      <c r="N41" s="262"/>
      <c r="O41" s="262"/>
      <c r="P41" s="263">
        <f>(Q40*$AB$14)/100</f>
        <v>0</v>
      </c>
      <c r="Q41" s="87"/>
      <c r="R41" s="345"/>
      <c r="S41" s="262"/>
      <c r="T41" s="262"/>
      <c r="U41" s="263">
        <f>(V40*$AB$15)/100</f>
        <v>0</v>
      </c>
      <c r="V41" s="87"/>
      <c r="W41" s="345"/>
      <c r="X41" s="262"/>
      <c r="Y41" s="262"/>
      <c r="Z41" s="263">
        <f>(AA40*$AB$16)/100</f>
        <v>0</v>
      </c>
      <c r="AA41" s="87"/>
      <c r="AB41" s="345"/>
      <c r="AC41" s="262"/>
      <c r="AD41" s="262"/>
      <c r="AE41" s="263">
        <f>(AF40*$AB$17)/100</f>
        <v>0</v>
      </c>
      <c r="AF41" s="87"/>
      <c r="AG41" s="345"/>
      <c r="AH41" s="262"/>
      <c r="AI41" s="262"/>
      <c r="AJ41" s="263">
        <f>(AK40*$AB$18)/100</f>
        <v>0</v>
      </c>
      <c r="AK41" s="87"/>
      <c r="AL41" s="261"/>
      <c r="AM41" s="262"/>
      <c r="AN41" s="262"/>
      <c r="AO41" s="271"/>
      <c r="AP41" s="272"/>
      <c r="AQ41" s="322"/>
      <c r="AR41" s="34"/>
      <c r="AS41" s="34"/>
    </row>
    <row r="42" spans="2:45" s="38" customFormat="1" ht="16.5" customHeight="1" x14ac:dyDescent="0.2">
      <c r="B42" s="341" t="b">
        <f>IF(E42&gt;0,8)</f>
        <v>0</v>
      </c>
      <c r="C42" s="46"/>
      <c r="D42" s="47"/>
      <c r="E42" s="255"/>
      <c r="F42" s="258">
        <f>$AG$21*'FBM Results'!$C$23*E42</f>
        <v>0</v>
      </c>
      <c r="G42" s="255"/>
      <c r="H42" s="346" t="e">
        <f>(G42/E42)/$AG$21</f>
        <v>#DIV/0!</v>
      </c>
      <c r="I42" s="262" t="e">
        <f>IF(H42&lt;'FBM Results'!$C$23*0.9,1,0)</f>
        <v>#DIV/0!</v>
      </c>
      <c r="J42" s="262" t="e">
        <f>IF(H42&gt;'FBM Results'!$C$23*1.1,1,)</f>
        <v>#DIV/0!</v>
      </c>
      <c r="K42" s="264">
        <f>($W$13*$AG$21)*E42</f>
        <v>0</v>
      </c>
      <c r="L42" s="255"/>
      <c r="M42" s="346" t="e">
        <f>(L42/E42)/$AG$21</f>
        <v>#DIV/0!</v>
      </c>
      <c r="N42" s="262" t="e">
        <f>IF(M42&lt;'FBM Results'!$C$24*0.9,1,)</f>
        <v>#DIV/0!</v>
      </c>
      <c r="O42" s="262" t="e">
        <f>IF(M42&gt;'FBM Results'!$C$24*1.1,1,)</f>
        <v>#DIV/0!</v>
      </c>
      <c r="P42" s="264">
        <f>($W$14*$AG$21)*E42</f>
        <v>0</v>
      </c>
      <c r="Q42" s="255"/>
      <c r="R42" s="350" t="e">
        <f>(Q42/E42)/$AG$21</f>
        <v>#DIV/0!</v>
      </c>
      <c r="S42" s="262" t="e">
        <f>IF(R42&lt;'FBM Results'!$C$25*0.9,1,)</f>
        <v>#DIV/0!</v>
      </c>
      <c r="T42" s="262" t="e">
        <f>IF(R42&gt;'FBM Results'!$C$25*1.1,1,)</f>
        <v>#DIV/0!</v>
      </c>
      <c r="U42" s="264">
        <f>($W$15*$AG$21)*E42</f>
        <v>0</v>
      </c>
      <c r="V42" s="255"/>
      <c r="W42" s="350" t="e">
        <f>(V42/E42)/$AG$21</f>
        <v>#DIV/0!</v>
      </c>
      <c r="X42" s="262" t="e">
        <f>IF(W42&lt;'FBM Results'!$C$26*0.9,1,)</f>
        <v>#DIV/0!</v>
      </c>
      <c r="Y42" s="262" t="e">
        <f>IF(W42&gt;'FBM Results'!$C$26*1.1,1,)</f>
        <v>#DIV/0!</v>
      </c>
      <c r="Z42" s="264">
        <f>($W$16*$AG$21)*E42</f>
        <v>0</v>
      </c>
      <c r="AA42" s="255"/>
      <c r="AB42" s="350" t="e">
        <f>(AA42/$E42)/$AG$21</f>
        <v>#DIV/0!</v>
      </c>
      <c r="AC42" s="262" t="e">
        <f>IF(AB42&lt;'FBM Results'!$C$27*0.9,1,)</f>
        <v>#DIV/0!</v>
      </c>
      <c r="AD42" s="262" t="e">
        <f>IF(AB42&gt;'FBM Results'!$C$27*1.1,1,)</f>
        <v>#DIV/0!</v>
      </c>
      <c r="AE42" s="264">
        <f>$W$17*$AG$21*$E42</f>
        <v>0</v>
      </c>
      <c r="AF42" s="255"/>
      <c r="AG42" s="350" t="e">
        <f>(AF42/$E42)/$AG$21</f>
        <v>#DIV/0!</v>
      </c>
      <c r="AH42" s="262" t="e">
        <f>IF(AG42&lt;'FBM Results'!$C$28*0.9,1,)</f>
        <v>#DIV/0!</v>
      </c>
      <c r="AI42" s="262" t="e">
        <f>IF(AG42&gt;'FBM Results'!$C$28*1.1,1,)</f>
        <v>#DIV/0!</v>
      </c>
      <c r="AJ42" s="264">
        <f>$W$18*$AG$21*$E42</f>
        <v>0</v>
      </c>
      <c r="AK42" s="255"/>
      <c r="AL42" s="267" t="e">
        <f>(AK42/$E42)/$AG$21</f>
        <v>#DIV/0!</v>
      </c>
      <c r="AM42" s="262" t="e">
        <f>IF(AL42&lt;'FBM Results'!$C$29*0.9,1,)</f>
        <v>#DIV/0!</v>
      </c>
      <c r="AN42" s="262" t="e">
        <f>IF(AL42&gt;'FBM Results'!$C$29*1.1,1,)</f>
        <v>#DIV/0!</v>
      </c>
      <c r="AO42" s="271">
        <f>SUM(F43+K43+P43+U43+Z43+AE43+AJ43)</f>
        <v>0</v>
      </c>
      <c r="AP42" s="272" t="e">
        <f>(AO42/E42)/$AG$21</f>
        <v>#DIV/0!</v>
      </c>
      <c r="AQ42" s="322" t="e">
        <f>AP42*100/$AG$19</f>
        <v>#DIV/0!</v>
      </c>
      <c r="AR42" s="34"/>
      <c r="AS42" s="34"/>
    </row>
    <row r="43" spans="2:45" s="38" customFormat="1" ht="15.75" hidden="1" customHeight="1" x14ac:dyDescent="0.2">
      <c r="B43" s="340" t="b">
        <f>IF(E43&gt;0,11)</f>
        <v>0</v>
      </c>
      <c r="C43" s="86"/>
      <c r="D43" s="85"/>
      <c r="E43" s="255"/>
      <c r="F43" s="257">
        <f>(G42*$AB$12)/100</f>
        <v>0</v>
      </c>
      <c r="G43" s="87"/>
      <c r="H43" s="345"/>
      <c r="I43" s="262"/>
      <c r="J43" s="262"/>
      <c r="K43" s="263">
        <f>(L42*$AB$13)/100</f>
        <v>0</v>
      </c>
      <c r="L43" s="87"/>
      <c r="M43" s="345"/>
      <c r="N43" s="262"/>
      <c r="O43" s="262"/>
      <c r="P43" s="263">
        <f>(Q42*$AB$14)/100</f>
        <v>0</v>
      </c>
      <c r="Q43" s="87"/>
      <c r="R43" s="345"/>
      <c r="S43" s="262"/>
      <c r="T43" s="262"/>
      <c r="U43" s="263">
        <f>(V42*$AB$15)/100</f>
        <v>0</v>
      </c>
      <c r="V43" s="87"/>
      <c r="W43" s="345"/>
      <c r="X43" s="262"/>
      <c r="Y43" s="262"/>
      <c r="Z43" s="263">
        <f>(AA42*$AB$16)/100</f>
        <v>0</v>
      </c>
      <c r="AA43" s="87"/>
      <c r="AB43" s="345"/>
      <c r="AC43" s="262"/>
      <c r="AD43" s="262"/>
      <c r="AE43" s="263">
        <f>(AF42*$AB$17)/100</f>
        <v>0</v>
      </c>
      <c r="AF43" s="87"/>
      <c r="AG43" s="345"/>
      <c r="AH43" s="262"/>
      <c r="AI43" s="262"/>
      <c r="AJ43" s="263">
        <f>(AK42*$AB$18)/100</f>
        <v>0</v>
      </c>
      <c r="AK43" s="87"/>
      <c r="AL43" s="261"/>
      <c r="AM43" s="262"/>
      <c r="AN43" s="262"/>
      <c r="AO43" s="271"/>
      <c r="AP43" s="272"/>
      <c r="AQ43" s="322"/>
      <c r="AR43" s="34"/>
      <c r="AS43" s="34"/>
    </row>
    <row r="44" spans="2:45" s="38" customFormat="1" ht="13.5" customHeight="1" x14ac:dyDescent="0.2">
      <c r="B44" s="340" t="b">
        <f>IF(E44&gt;0,9)</f>
        <v>0</v>
      </c>
      <c r="C44" s="46"/>
      <c r="D44" s="47"/>
      <c r="E44" s="255"/>
      <c r="F44" s="258">
        <f>$AG$21*'FBM Results'!$C$23*E44</f>
        <v>0</v>
      </c>
      <c r="G44" s="255"/>
      <c r="H44" s="346" t="e">
        <f>(G44/E44)/$AG$21</f>
        <v>#DIV/0!</v>
      </c>
      <c r="I44" s="262" t="e">
        <f>IF(H44&lt;'FBM Results'!$C$23*0.9,1,0)</f>
        <v>#DIV/0!</v>
      </c>
      <c r="J44" s="262" t="e">
        <f>IF(H44&gt;'FBM Results'!$C$23*1.1,1,)</f>
        <v>#DIV/0!</v>
      </c>
      <c r="K44" s="264">
        <f>($W$13*$AG$21)*E44</f>
        <v>0</v>
      </c>
      <c r="L44" s="255"/>
      <c r="M44" s="346" t="e">
        <f>(L44/E44)/$AG$21</f>
        <v>#DIV/0!</v>
      </c>
      <c r="N44" s="262" t="e">
        <f>IF(M44&lt;'FBM Results'!$C$24*0.9,1,)</f>
        <v>#DIV/0!</v>
      </c>
      <c r="O44" s="262" t="e">
        <f>IF(M44&gt;'FBM Results'!$C$24*1.1,1,)</f>
        <v>#DIV/0!</v>
      </c>
      <c r="P44" s="264">
        <f>($W$14*$AG$21)*E44</f>
        <v>0</v>
      </c>
      <c r="Q44" s="255"/>
      <c r="R44" s="350" t="e">
        <f>(Q44/E44)/$AG$21</f>
        <v>#DIV/0!</v>
      </c>
      <c r="S44" s="262" t="e">
        <f>IF(R44&lt;'FBM Results'!$C$25*0.9,1,)</f>
        <v>#DIV/0!</v>
      </c>
      <c r="T44" s="262" t="e">
        <f>IF(R44&gt;'FBM Results'!$C$25*1.1,1,)</f>
        <v>#DIV/0!</v>
      </c>
      <c r="U44" s="264">
        <f>($W$15*$AG$21)*E44</f>
        <v>0</v>
      </c>
      <c r="V44" s="255"/>
      <c r="W44" s="350" t="e">
        <f>(V44/E44)/$AG$21</f>
        <v>#DIV/0!</v>
      </c>
      <c r="X44" s="262" t="e">
        <f>IF(W44&lt;'FBM Results'!$C$26*0.9,1,)</f>
        <v>#DIV/0!</v>
      </c>
      <c r="Y44" s="262" t="e">
        <f>IF(W44&gt;'FBM Results'!$C$26*1.1,1,)</f>
        <v>#DIV/0!</v>
      </c>
      <c r="Z44" s="264">
        <f>($W$16*$AG$21)*E44</f>
        <v>0</v>
      </c>
      <c r="AA44" s="255"/>
      <c r="AB44" s="350" t="e">
        <f>(AA44/$E44)/$AG$21</f>
        <v>#DIV/0!</v>
      </c>
      <c r="AC44" s="262" t="e">
        <f>IF(AB44&lt;'FBM Results'!$C$27*0.9,1,)</f>
        <v>#DIV/0!</v>
      </c>
      <c r="AD44" s="262" t="e">
        <f>IF(AB44&gt;'FBM Results'!$C$27*1.1,1,)</f>
        <v>#DIV/0!</v>
      </c>
      <c r="AE44" s="264">
        <f>$W$17*$AG$21*$E44</f>
        <v>0</v>
      </c>
      <c r="AF44" s="255"/>
      <c r="AG44" s="350" t="e">
        <f>(AF44/$E44)/$AG$21</f>
        <v>#DIV/0!</v>
      </c>
      <c r="AH44" s="262" t="e">
        <f>IF(AG44&lt;'FBM Results'!$C$28*0.9,1,)</f>
        <v>#DIV/0!</v>
      </c>
      <c r="AI44" s="262" t="e">
        <f>IF(AG44&gt;'FBM Results'!$C$28*1.1,1,)</f>
        <v>#DIV/0!</v>
      </c>
      <c r="AJ44" s="264">
        <f>$W$18*$AG$21*$E44</f>
        <v>0</v>
      </c>
      <c r="AK44" s="255"/>
      <c r="AL44" s="267" t="e">
        <f>(AK44/$E44)/$AG$21</f>
        <v>#DIV/0!</v>
      </c>
      <c r="AM44" s="262" t="e">
        <f>IF(AL44&lt;'FBM Results'!$C$29*0.9,1,)</f>
        <v>#DIV/0!</v>
      </c>
      <c r="AN44" s="262" t="e">
        <f>IF(AL44&gt;'FBM Results'!$C$29*1.1,1,)</f>
        <v>#DIV/0!</v>
      </c>
      <c r="AO44" s="271">
        <f>SUM(F45+K45+P45+U45+Z45+AE45+AJ45)</f>
        <v>0</v>
      </c>
      <c r="AP44" s="272" t="e">
        <f>(AO44/E44)/$AG$21</f>
        <v>#DIV/0!</v>
      </c>
      <c r="AQ44" s="322" t="e">
        <f>AP44*100/$AG$19</f>
        <v>#DIV/0!</v>
      </c>
      <c r="AR44" s="34"/>
      <c r="AS44" s="34"/>
    </row>
    <row r="45" spans="2:45" s="38" customFormat="1" ht="15.75" hidden="1" customHeight="1" x14ac:dyDescent="0.2">
      <c r="B45" s="340" t="b">
        <f>IF(E45&gt;0,11)</f>
        <v>0</v>
      </c>
      <c r="C45" s="86"/>
      <c r="D45" s="85"/>
      <c r="E45" s="255"/>
      <c r="F45" s="257">
        <f>(G44*$AB$12)/100</f>
        <v>0</v>
      </c>
      <c r="G45" s="87"/>
      <c r="H45" s="345"/>
      <c r="I45" s="262"/>
      <c r="J45" s="262"/>
      <c r="K45" s="263">
        <f>(L44*$AB$13)/100</f>
        <v>0</v>
      </c>
      <c r="L45" s="87"/>
      <c r="M45" s="345"/>
      <c r="N45" s="262"/>
      <c r="O45" s="262"/>
      <c r="P45" s="263">
        <f>(Q44*$AB$14)/100</f>
        <v>0</v>
      </c>
      <c r="Q45" s="87"/>
      <c r="R45" s="345"/>
      <c r="S45" s="262"/>
      <c r="T45" s="262"/>
      <c r="U45" s="263">
        <f>(V44*$AB$15)/100</f>
        <v>0</v>
      </c>
      <c r="V45" s="87"/>
      <c r="W45" s="345"/>
      <c r="X45" s="262"/>
      <c r="Y45" s="262"/>
      <c r="Z45" s="263">
        <f>(AA44*$AB$16)/100</f>
        <v>0</v>
      </c>
      <c r="AA45" s="87"/>
      <c r="AB45" s="345"/>
      <c r="AC45" s="262"/>
      <c r="AD45" s="262"/>
      <c r="AE45" s="263">
        <f>(AF44*$AB$17)/100</f>
        <v>0</v>
      </c>
      <c r="AF45" s="87"/>
      <c r="AG45" s="345"/>
      <c r="AH45" s="262"/>
      <c r="AI45" s="262"/>
      <c r="AJ45" s="263">
        <f>(AK44*$AB$18)/100</f>
        <v>0</v>
      </c>
      <c r="AK45" s="87"/>
      <c r="AL45" s="261"/>
      <c r="AM45" s="262"/>
      <c r="AN45" s="262"/>
      <c r="AO45" s="271"/>
      <c r="AP45" s="272"/>
      <c r="AQ45" s="322"/>
      <c r="AR45" s="34"/>
      <c r="AS45" s="34"/>
    </row>
    <row r="46" spans="2:45" s="38" customFormat="1" ht="15.75" customHeight="1" x14ac:dyDescent="0.2">
      <c r="B46" s="340" t="b">
        <f>IF(E46&gt;0,10)</f>
        <v>0</v>
      </c>
      <c r="C46" s="46"/>
      <c r="D46" s="47"/>
      <c r="E46" s="255"/>
      <c r="F46" s="258">
        <f>$AG$21*'FBM Results'!$C$23*E46</f>
        <v>0</v>
      </c>
      <c r="G46" s="255"/>
      <c r="H46" s="346" t="e">
        <f>(G46/E46)/$AG$21</f>
        <v>#DIV/0!</v>
      </c>
      <c r="I46" s="262" t="e">
        <f>IF(H46&lt;'FBM Results'!$C$23*0.9,1,0)</f>
        <v>#DIV/0!</v>
      </c>
      <c r="J46" s="262" t="e">
        <f>IF(H46&gt;'FBM Results'!$C$23*1.1,1,)</f>
        <v>#DIV/0!</v>
      </c>
      <c r="K46" s="264">
        <f>($W$13*$AG$21)*E46</f>
        <v>0</v>
      </c>
      <c r="L46" s="255"/>
      <c r="M46" s="346" t="e">
        <f>(L46/E46)/$AG$21</f>
        <v>#DIV/0!</v>
      </c>
      <c r="N46" s="262" t="e">
        <f>IF(M46&lt;'FBM Results'!$C$24*0.9,1,)</f>
        <v>#DIV/0!</v>
      </c>
      <c r="O46" s="262" t="e">
        <f>IF(M46&gt;'FBM Results'!$C$24*1.1,1,)</f>
        <v>#DIV/0!</v>
      </c>
      <c r="P46" s="264">
        <f>($W$14*$AG$21)*E46</f>
        <v>0</v>
      </c>
      <c r="Q46" s="255"/>
      <c r="R46" s="350" t="e">
        <f>(Q46/E46)/$AG$21</f>
        <v>#DIV/0!</v>
      </c>
      <c r="S46" s="262" t="e">
        <f>IF(R46&lt;'FBM Results'!$C$25*0.9,1,)</f>
        <v>#DIV/0!</v>
      </c>
      <c r="T46" s="262" t="e">
        <f>IF(R46&gt;'FBM Results'!$C$25*1.1,1,)</f>
        <v>#DIV/0!</v>
      </c>
      <c r="U46" s="264">
        <f>($W$15*$AG$21)*E46</f>
        <v>0</v>
      </c>
      <c r="V46" s="255"/>
      <c r="W46" s="350" t="e">
        <f>(V46/E46)/$AG$21</f>
        <v>#DIV/0!</v>
      </c>
      <c r="X46" s="262" t="e">
        <f>IF(W46&lt;'FBM Results'!$C$26*0.9,1,)</f>
        <v>#DIV/0!</v>
      </c>
      <c r="Y46" s="262" t="e">
        <f>IF(W46&gt;'FBM Results'!$C$26*1.1,1,)</f>
        <v>#DIV/0!</v>
      </c>
      <c r="Z46" s="264">
        <f>($W$16*$AG$21)*E46</f>
        <v>0</v>
      </c>
      <c r="AA46" s="255"/>
      <c r="AB46" s="350" t="e">
        <f>(AA46/$E46)/$AG$21</f>
        <v>#DIV/0!</v>
      </c>
      <c r="AC46" s="262" t="e">
        <f>IF(AB46&lt;'FBM Results'!$C$27*0.9,1,)</f>
        <v>#DIV/0!</v>
      </c>
      <c r="AD46" s="262" t="e">
        <f>IF(AB46&gt;'FBM Results'!$C$27*1.1,1,)</f>
        <v>#DIV/0!</v>
      </c>
      <c r="AE46" s="264">
        <f>$W$17*$AG$21*$E46</f>
        <v>0</v>
      </c>
      <c r="AF46" s="255"/>
      <c r="AG46" s="350" t="e">
        <f>(AF46/$E46)/$AG$21</f>
        <v>#DIV/0!</v>
      </c>
      <c r="AH46" s="262" t="e">
        <f>IF(AG46&lt;'FBM Results'!$C$28*0.9,1,)</f>
        <v>#DIV/0!</v>
      </c>
      <c r="AI46" s="262" t="e">
        <f>IF(AG46&gt;'FBM Results'!$C$28*1.1,1,)</f>
        <v>#DIV/0!</v>
      </c>
      <c r="AJ46" s="264">
        <f>$W$18*$AG$21*$E46</f>
        <v>0</v>
      </c>
      <c r="AK46" s="255"/>
      <c r="AL46" s="267" t="e">
        <f>(AK46/$E46)/$AG$21</f>
        <v>#DIV/0!</v>
      </c>
      <c r="AM46" s="262" t="e">
        <f>IF(AL46&lt;'FBM Results'!$C$29*0.9,1,)</f>
        <v>#DIV/0!</v>
      </c>
      <c r="AN46" s="262" t="e">
        <f>IF(AL46&gt;'FBM Results'!$C$29*1.1,1,)</f>
        <v>#DIV/0!</v>
      </c>
      <c r="AO46" s="271">
        <f>SUM(F47+K47+P47+U47+Z47+AE47+AJ47)</f>
        <v>0</v>
      </c>
      <c r="AP46" s="272" t="e">
        <f>(AO46/E46)/$AG$21</f>
        <v>#DIV/0!</v>
      </c>
      <c r="AQ46" s="322" t="e">
        <f>AP46*100/$AG$19</f>
        <v>#DIV/0!</v>
      </c>
      <c r="AR46" s="34"/>
      <c r="AS46" s="34"/>
    </row>
    <row r="47" spans="2:45" s="38" customFormat="1" ht="15.75" hidden="1" customHeight="1" x14ac:dyDescent="0.2">
      <c r="B47" s="340" t="b">
        <f>IF(E47&gt;0,11)</f>
        <v>0</v>
      </c>
      <c r="C47" s="86"/>
      <c r="D47" s="85"/>
      <c r="E47" s="255"/>
      <c r="F47" s="257">
        <f>(G46*$AB$12)/100</f>
        <v>0</v>
      </c>
      <c r="G47" s="87"/>
      <c r="H47" s="345"/>
      <c r="I47" s="262"/>
      <c r="J47" s="262"/>
      <c r="K47" s="263">
        <f>(L46*$AB$13)/100</f>
        <v>0</v>
      </c>
      <c r="L47" s="87"/>
      <c r="M47" s="345"/>
      <c r="N47" s="262"/>
      <c r="O47" s="262"/>
      <c r="P47" s="263">
        <f>(Q46*$AB$14)/100</f>
        <v>0</v>
      </c>
      <c r="Q47" s="87"/>
      <c r="R47" s="345"/>
      <c r="S47" s="262"/>
      <c r="T47" s="262"/>
      <c r="U47" s="263">
        <f>(V46*$AB$15)/100</f>
        <v>0</v>
      </c>
      <c r="V47" s="87"/>
      <c r="W47" s="345"/>
      <c r="X47" s="262"/>
      <c r="Y47" s="262"/>
      <c r="Z47" s="263">
        <f>(AA46*$AB$16)/100</f>
        <v>0</v>
      </c>
      <c r="AA47" s="87"/>
      <c r="AB47" s="345"/>
      <c r="AC47" s="262"/>
      <c r="AD47" s="262"/>
      <c r="AE47" s="263">
        <f>(AF46*$AB$17)/100</f>
        <v>0</v>
      </c>
      <c r="AF47" s="87"/>
      <c r="AG47" s="345"/>
      <c r="AH47" s="262"/>
      <c r="AI47" s="262"/>
      <c r="AJ47" s="263">
        <f>(AK46*$AB$18)/100</f>
        <v>0</v>
      </c>
      <c r="AK47" s="87"/>
      <c r="AL47" s="261"/>
      <c r="AM47" s="262"/>
      <c r="AN47" s="262"/>
      <c r="AO47" s="271"/>
      <c r="AP47" s="272"/>
      <c r="AQ47" s="322"/>
      <c r="AR47" s="34"/>
      <c r="AS47" s="34"/>
    </row>
    <row r="48" spans="2:45" s="38" customFormat="1" ht="15.75" customHeight="1" x14ac:dyDescent="0.2">
      <c r="B48" s="340" t="b">
        <f>IF(E48&gt;0,11)</f>
        <v>0</v>
      </c>
      <c r="C48" s="46"/>
      <c r="D48" s="47"/>
      <c r="E48" s="255"/>
      <c r="F48" s="258">
        <f>$AG$21*'FBM Results'!$C$23*E48</f>
        <v>0</v>
      </c>
      <c r="G48" s="255"/>
      <c r="H48" s="346" t="e">
        <f>(G48/E48)/$AG$21</f>
        <v>#DIV/0!</v>
      </c>
      <c r="I48" s="262" t="e">
        <f>IF(H48&lt;'FBM Results'!$C$23*0.9,1,0)</f>
        <v>#DIV/0!</v>
      </c>
      <c r="J48" s="262" t="e">
        <f>IF(H48&gt;'FBM Results'!$C$23*1.1,1,)</f>
        <v>#DIV/0!</v>
      </c>
      <c r="K48" s="264">
        <f>($W$13*$AG$21)*E48</f>
        <v>0</v>
      </c>
      <c r="L48" s="255"/>
      <c r="M48" s="346" t="e">
        <f>(L48/E48)/$AG$21</f>
        <v>#DIV/0!</v>
      </c>
      <c r="N48" s="262" t="e">
        <f>IF(M48&lt;'FBM Results'!$C$24*0.9,1,)</f>
        <v>#DIV/0!</v>
      </c>
      <c r="O48" s="262" t="e">
        <f>IF(M48&gt;'FBM Results'!$C$24*1.1,1,)</f>
        <v>#DIV/0!</v>
      </c>
      <c r="P48" s="264">
        <f>($W$14*$AG$21)*E48</f>
        <v>0</v>
      </c>
      <c r="Q48" s="255"/>
      <c r="R48" s="350" t="e">
        <f>(Q48/E48)/$AG$21</f>
        <v>#DIV/0!</v>
      </c>
      <c r="S48" s="262" t="e">
        <f>IF(R48&lt;'FBM Results'!$C$25*0.9,1,)</f>
        <v>#DIV/0!</v>
      </c>
      <c r="T48" s="262" t="e">
        <f>IF(R48&gt;'FBM Results'!$C$25*1.1,1,)</f>
        <v>#DIV/0!</v>
      </c>
      <c r="U48" s="264">
        <f>($W$15*$AG$21)*E48</f>
        <v>0</v>
      </c>
      <c r="V48" s="255"/>
      <c r="W48" s="350" t="e">
        <f>(V48/E48)/$AG$21</f>
        <v>#DIV/0!</v>
      </c>
      <c r="X48" s="262" t="e">
        <f>IF(W48&lt;'FBM Results'!$C$26*0.9,1,)</f>
        <v>#DIV/0!</v>
      </c>
      <c r="Y48" s="262" t="e">
        <f>IF(W48&gt;'FBM Results'!$C$26*1.1,1,)</f>
        <v>#DIV/0!</v>
      </c>
      <c r="Z48" s="264">
        <f>($W$16*$AG$21)*E48</f>
        <v>0</v>
      </c>
      <c r="AA48" s="255"/>
      <c r="AB48" s="350" t="e">
        <f>(AA48/$E48)/$AG$21</f>
        <v>#DIV/0!</v>
      </c>
      <c r="AC48" s="262" t="e">
        <f>IF(AB48&lt;'FBM Results'!$C$27*0.9,1,)</f>
        <v>#DIV/0!</v>
      </c>
      <c r="AD48" s="262" t="e">
        <f>IF(AB48&gt;'FBM Results'!$C$27*1.1,1,)</f>
        <v>#DIV/0!</v>
      </c>
      <c r="AE48" s="264">
        <f>$W$17*$AG$21*$E48</f>
        <v>0</v>
      </c>
      <c r="AF48" s="255"/>
      <c r="AG48" s="350" t="e">
        <f>(AF48/$E48)/$AG$21</f>
        <v>#DIV/0!</v>
      </c>
      <c r="AH48" s="262" t="e">
        <f>IF(AG48&lt;'FBM Results'!$C$28*0.9,1,)</f>
        <v>#DIV/0!</v>
      </c>
      <c r="AI48" s="262" t="e">
        <f>IF(AG48&gt;'FBM Results'!$C$28*1.1,1,)</f>
        <v>#DIV/0!</v>
      </c>
      <c r="AJ48" s="264">
        <f>$W$18*$AG$21*$E48</f>
        <v>0</v>
      </c>
      <c r="AK48" s="255"/>
      <c r="AL48" s="267" t="e">
        <f>(AK48/$E48)/$AG$21</f>
        <v>#DIV/0!</v>
      </c>
      <c r="AM48" s="262" t="e">
        <f>IF(AL48&lt;'FBM Results'!$C$29*0.9,1,)</f>
        <v>#DIV/0!</v>
      </c>
      <c r="AN48" s="262" t="e">
        <f>IF(AL48&gt;'FBM Results'!$C$29*1.1,1,)</f>
        <v>#DIV/0!</v>
      </c>
      <c r="AO48" s="271">
        <f>SUM(F49+K49+P49+U49+Z49+AE49+AJ49)</f>
        <v>0</v>
      </c>
      <c r="AP48" s="272" t="e">
        <f>(AO48/E48)/$AG$21</f>
        <v>#DIV/0!</v>
      </c>
      <c r="AQ48" s="322" t="e">
        <f>AP48*100/$AG$19</f>
        <v>#DIV/0!</v>
      </c>
      <c r="AR48" s="34"/>
      <c r="AS48" s="34"/>
    </row>
    <row r="49" spans="2:65" s="38" customFormat="1" ht="15.75" hidden="1" customHeight="1" x14ac:dyDescent="0.2">
      <c r="B49" s="340" t="b">
        <f>IF(E49&gt;0,11)</f>
        <v>0</v>
      </c>
      <c r="C49" s="86"/>
      <c r="D49" s="85"/>
      <c r="E49" s="255"/>
      <c r="F49" s="257">
        <f>(G48*$AB$12)/100</f>
        <v>0</v>
      </c>
      <c r="G49" s="87"/>
      <c r="H49" s="345"/>
      <c r="I49" s="243"/>
      <c r="J49" s="262"/>
      <c r="K49" s="265">
        <f>(L48*$AB$13)/100</f>
        <v>0</v>
      </c>
      <c r="L49" s="84"/>
      <c r="M49" s="345"/>
      <c r="N49" s="243"/>
      <c r="O49" s="262"/>
      <c r="P49" s="265">
        <f>(Q48*$AB$14)/100</f>
        <v>0</v>
      </c>
      <c r="Q49" s="84"/>
      <c r="R49" s="345"/>
      <c r="S49" s="262"/>
      <c r="T49" s="262"/>
      <c r="U49" s="263">
        <f>(V48*$AB$15)/100</f>
        <v>0</v>
      </c>
      <c r="V49" s="87"/>
      <c r="W49" s="345"/>
      <c r="X49" s="262"/>
      <c r="Y49" s="262"/>
      <c r="Z49" s="263">
        <f>(AA48*$AB$16)/100</f>
        <v>0</v>
      </c>
      <c r="AA49" s="87"/>
      <c r="AB49" s="345"/>
      <c r="AC49" s="262"/>
      <c r="AD49" s="262"/>
      <c r="AE49" s="263">
        <f>(AF48*$AB$17)/100</f>
        <v>0</v>
      </c>
      <c r="AF49" s="87"/>
      <c r="AG49" s="345"/>
      <c r="AH49" s="262"/>
      <c r="AI49" s="262"/>
      <c r="AJ49" s="263">
        <f>(AK48*$AB$18)/100</f>
        <v>0</v>
      </c>
      <c r="AK49" s="87"/>
      <c r="AL49" s="261"/>
      <c r="AM49" s="262"/>
      <c r="AN49" s="262"/>
      <c r="AO49" s="271"/>
      <c r="AP49" s="272"/>
      <c r="AQ49" s="322"/>
      <c r="AR49" s="34"/>
      <c r="AS49" s="34"/>
    </row>
    <row r="50" spans="2:65" s="38" customFormat="1" ht="15" customHeight="1" x14ac:dyDescent="0.2">
      <c r="B50" s="340" t="b">
        <f>IF(E50&gt;0,12)</f>
        <v>0</v>
      </c>
      <c r="C50" s="46"/>
      <c r="D50" s="47"/>
      <c r="E50" s="255"/>
      <c r="F50" s="258">
        <f>$AG$21*'FBM Results'!$C$23*E50</f>
        <v>0</v>
      </c>
      <c r="G50" s="255"/>
      <c r="H50" s="346" t="e">
        <f>(G50/E50)/$AG$21</f>
        <v>#DIV/0!</v>
      </c>
      <c r="I50" s="262" t="e">
        <f>IF(H50&lt;'FBM Results'!$C$23*0.9,1,0)</f>
        <v>#DIV/0!</v>
      </c>
      <c r="J50" s="262" t="e">
        <f>IF(H50&gt;'FBM Results'!$C$23*1.1,1,)</f>
        <v>#DIV/0!</v>
      </c>
      <c r="K50" s="264">
        <f>($W$13*$AG$21)*E50</f>
        <v>0</v>
      </c>
      <c r="L50" s="255"/>
      <c r="M50" s="346" t="e">
        <f>(L50/E50)/$AG$21</f>
        <v>#DIV/0!</v>
      </c>
      <c r="N50" s="262" t="e">
        <f>IF(M50&lt;'FBM Results'!$C$24*0.9,1,)</f>
        <v>#DIV/0!</v>
      </c>
      <c r="O50" s="262" t="e">
        <f>IF(M50&gt;'FBM Results'!$C$24*1.1,1,)</f>
        <v>#DIV/0!</v>
      </c>
      <c r="P50" s="264">
        <f>($W$14*$AG$21)*E50</f>
        <v>0</v>
      </c>
      <c r="Q50" s="255"/>
      <c r="R50" s="350" t="e">
        <f>(Q50/E50)/$AG$21</f>
        <v>#DIV/0!</v>
      </c>
      <c r="S50" s="252" t="e">
        <f>IF(R50&lt;'FBM Results'!$C$25*0.9,1,)</f>
        <v>#DIV/0!</v>
      </c>
      <c r="T50" s="252" t="e">
        <f>IF(R50&gt;'FBM Results'!$C$25*1.1,1,)</f>
        <v>#DIV/0!</v>
      </c>
      <c r="U50" s="264">
        <f>($W$15*$AG$21)*E50</f>
        <v>0</v>
      </c>
      <c r="V50" s="255"/>
      <c r="W50" s="350" t="e">
        <f>(V50/E50)/$AG$21</f>
        <v>#DIV/0!</v>
      </c>
      <c r="X50" s="262" t="e">
        <f>IF(W50&lt;'FBM Results'!$C$26*0.9,1,)</f>
        <v>#DIV/0!</v>
      </c>
      <c r="Y50" s="262" t="e">
        <f>IF(W50&gt;'FBM Results'!$C$26*1.1,1,)</f>
        <v>#DIV/0!</v>
      </c>
      <c r="Z50" s="264">
        <f>($W$16*$AG$21)*E50</f>
        <v>0</v>
      </c>
      <c r="AA50" s="255"/>
      <c r="AB50" s="350" t="e">
        <f>(AA50/$E50)/$AG$21</f>
        <v>#DIV/0!</v>
      </c>
      <c r="AC50" s="262" t="e">
        <f>IF(AB50&lt;'FBM Results'!$C$27*0.9,1,)</f>
        <v>#DIV/0!</v>
      </c>
      <c r="AD50" s="262" t="e">
        <f>IF(AB50&gt;'FBM Results'!$C$27*1.1,1,)</f>
        <v>#DIV/0!</v>
      </c>
      <c r="AE50" s="264">
        <f>$W$17*$AG$21*$E50</f>
        <v>0</v>
      </c>
      <c r="AF50" s="255"/>
      <c r="AG50" s="350" t="e">
        <f>(AF50/$E50)/$AG$21</f>
        <v>#DIV/0!</v>
      </c>
      <c r="AH50" s="262" t="e">
        <f>IF(AG50&lt;'FBM Results'!$C$28*0.9,1,)</f>
        <v>#DIV/0!</v>
      </c>
      <c r="AI50" s="262" t="e">
        <f>IF(AG50&gt;'FBM Results'!$C$28*1.1,1,)</f>
        <v>#DIV/0!</v>
      </c>
      <c r="AJ50" s="264">
        <f>$W$18*$AG$21*$E50</f>
        <v>0</v>
      </c>
      <c r="AK50" s="255"/>
      <c r="AL50" s="267" t="e">
        <f>(AK50/$E50)/$AG$21</f>
        <v>#DIV/0!</v>
      </c>
      <c r="AM50" s="262" t="e">
        <f>IF(AL50&lt;'FBM Results'!$C$29*0.9,1,)</f>
        <v>#DIV/0!</v>
      </c>
      <c r="AN50" s="262" t="e">
        <f>IF(AL50&gt;'FBM Results'!$C$29*1.1,1,)</f>
        <v>#DIV/0!</v>
      </c>
      <c r="AO50" s="271">
        <f>SUM(F51+K51+P51+U51+Z51+AE51+AJ51)</f>
        <v>0</v>
      </c>
      <c r="AP50" s="272" t="e">
        <f>(AO50/E50)/$AG$21</f>
        <v>#DIV/0!</v>
      </c>
      <c r="AQ50" s="322" t="e">
        <f>AP50*100/$AG$19</f>
        <v>#DIV/0!</v>
      </c>
      <c r="AR50" s="34"/>
      <c r="AS50" s="34"/>
    </row>
    <row r="51" spans="2:65" s="38" customFormat="1" hidden="1" x14ac:dyDescent="0.2">
      <c r="B51" s="340" t="b">
        <f>IF(E51&gt;0,11)</f>
        <v>0</v>
      </c>
      <c r="C51" s="86"/>
      <c r="D51" s="85"/>
      <c r="E51" s="255"/>
      <c r="F51" s="257">
        <f>(G50*$AB$12)/100</f>
        <v>0</v>
      </c>
      <c r="G51" s="87"/>
      <c r="H51" s="345"/>
      <c r="I51" s="243"/>
      <c r="J51" s="262"/>
      <c r="K51" s="265">
        <f>(L50*$AB$13)/100</f>
        <v>0</v>
      </c>
      <c r="L51" s="84"/>
      <c r="M51" s="345"/>
      <c r="N51" s="243"/>
      <c r="O51" s="262"/>
      <c r="P51" s="265">
        <f>(Q50*$AB$14)/100</f>
        <v>0</v>
      </c>
      <c r="Q51" s="87"/>
      <c r="R51" s="345"/>
      <c r="S51" s="262"/>
      <c r="T51" s="262"/>
      <c r="U51" s="263">
        <f>(V50*$AB$15)/100</f>
        <v>0</v>
      </c>
      <c r="V51" s="87"/>
      <c r="W51" s="345"/>
      <c r="X51" s="262"/>
      <c r="Y51" s="262"/>
      <c r="Z51" s="263">
        <f>(AA50*$AB$16)/100</f>
        <v>0</v>
      </c>
      <c r="AA51" s="87"/>
      <c r="AB51" s="345"/>
      <c r="AC51" s="262"/>
      <c r="AD51" s="262"/>
      <c r="AE51" s="263">
        <f>(AF50*$AB$17)/100</f>
        <v>0</v>
      </c>
      <c r="AF51" s="87"/>
      <c r="AG51" s="345"/>
      <c r="AH51" s="262"/>
      <c r="AI51" s="262"/>
      <c r="AJ51" s="263">
        <f>(AK50*$AB$18)/100</f>
        <v>0</v>
      </c>
      <c r="AK51" s="87"/>
      <c r="AL51" s="261"/>
      <c r="AM51" s="262"/>
      <c r="AN51" s="262"/>
      <c r="AO51" s="271"/>
      <c r="AP51" s="272"/>
      <c r="AQ51" s="322"/>
      <c r="AR51" s="34"/>
      <c r="AS51" s="34"/>
    </row>
    <row r="52" spans="2:65" s="38" customFormat="1" ht="15.95" customHeight="1" x14ac:dyDescent="0.2">
      <c r="B52" s="340" t="b">
        <f>IF(E52&gt;0,13)</f>
        <v>0</v>
      </c>
      <c r="C52" s="48"/>
      <c r="D52" s="47"/>
      <c r="E52" s="255"/>
      <c r="F52" s="258">
        <f>$AG$21*'FBM Results'!$C$23*E52</f>
        <v>0</v>
      </c>
      <c r="G52" s="255"/>
      <c r="H52" s="346" t="e">
        <f>(G52/E52)/$AG$21</f>
        <v>#DIV/0!</v>
      </c>
      <c r="I52" s="262" t="e">
        <f>IF(H52&lt;'FBM Results'!$C$23*0.9,1,0)</f>
        <v>#DIV/0!</v>
      </c>
      <c r="J52" s="262" t="e">
        <f>IF(H52&gt;'FBM Results'!$C$23*1.1,1,)</f>
        <v>#DIV/0!</v>
      </c>
      <c r="K52" s="264">
        <f>($W$13*$AG$21)*E52</f>
        <v>0</v>
      </c>
      <c r="L52" s="255"/>
      <c r="M52" s="346" t="e">
        <f>(L52/E52)/$AG$21</f>
        <v>#DIV/0!</v>
      </c>
      <c r="N52" s="262" t="e">
        <f>IF(M52&lt;'FBM Results'!$C$24*0.9,1,)</f>
        <v>#DIV/0!</v>
      </c>
      <c r="O52" s="262" t="e">
        <f>IF(M52&gt;'FBM Results'!$C$24*1.1,1,)</f>
        <v>#DIV/0!</v>
      </c>
      <c r="P52" s="264">
        <f>($W$14*$AG$21)*E52</f>
        <v>0</v>
      </c>
      <c r="Q52" s="255"/>
      <c r="R52" s="350" t="e">
        <f>(Q52/E52)/$AG$21</f>
        <v>#DIV/0!</v>
      </c>
      <c r="S52" s="262" t="e">
        <f>IF(R52&lt;'FBM Results'!$C$25*0.9,1,)</f>
        <v>#DIV/0!</v>
      </c>
      <c r="T52" s="262" t="e">
        <f>IF(R52&gt;'FBM Results'!$C$25*1.1,1,)</f>
        <v>#DIV/0!</v>
      </c>
      <c r="U52" s="264">
        <f>($W$15*$AG$21)*E52</f>
        <v>0</v>
      </c>
      <c r="V52" s="255"/>
      <c r="W52" s="350" t="e">
        <f>(V52/E52)/$AG$21</f>
        <v>#DIV/0!</v>
      </c>
      <c r="X52" s="262" t="e">
        <f>IF(W52&lt;'FBM Results'!$C$26*0.9,1,)</f>
        <v>#DIV/0!</v>
      </c>
      <c r="Y52" s="262" t="e">
        <f>IF(W52&gt;'FBM Results'!$C$26*1.1,1,)</f>
        <v>#DIV/0!</v>
      </c>
      <c r="Z52" s="264">
        <f>($W$16*$AG$21)*E52</f>
        <v>0</v>
      </c>
      <c r="AA52" s="255"/>
      <c r="AB52" s="350" t="e">
        <f>(AA52/$E52)/$AG$21</f>
        <v>#DIV/0!</v>
      </c>
      <c r="AC52" s="262" t="e">
        <f>IF(AB52&lt;'FBM Results'!$C$27*0.9,1,)</f>
        <v>#DIV/0!</v>
      </c>
      <c r="AD52" s="262" t="e">
        <f>IF(AB52&gt;'FBM Results'!$C$27*1.1,1,)</f>
        <v>#DIV/0!</v>
      </c>
      <c r="AE52" s="264">
        <f>$W$17*$AG$21*$E52</f>
        <v>0</v>
      </c>
      <c r="AF52" s="255"/>
      <c r="AG52" s="350" t="e">
        <f>(AF52/$E52)/$AG$21</f>
        <v>#DIV/0!</v>
      </c>
      <c r="AH52" s="262" t="e">
        <f>IF(AG52&lt;'FBM Results'!$C$28*0.9,1,)</f>
        <v>#DIV/0!</v>
      </c>
      <c r="AI52" s="262" t="e">
        <f>IF(AG52&gt;'FBM Results'!$C$28*1.1,1,)</f>
        <v>#DIV/0!</v>
      </c>
      <c r="AJ52" s="264">
        <f>$W$18*$AG$21*$E52</f>
        <v>0</v>
      </c>
      <c r="AK52" s="255"/>
      <c r="AL52" s="267" t="e">
        <f>(AK52/$E52)/$AG$21</f>
        <v>#DIV/0!</v>
      </c>
      <c r="AM52" s="262" t="e">
        <f>IF(AL52&lt;'FBM Results'!$C$29*0.9,1,)</f>
        <v>#DIV/0!</v>
      </c>
      <c r="AN52" s="262" t="e">
        <f>IF(AL52&gt;'FBM Results'!$C$29*1.1,1,)</f>
        <v>#DIV/0!</v>
      </c>
      <c r="AO52" s="271">
        <f>SUM(F53+K53+P53+U53+Z53+AE53+AJ53)</f>
        <v>0</v>
      </c>
      <c r="AP52" s="272" t="e">
        <f>(AO52/E52)/$AG$21</f>
        <v>#DIV/0!</v>
      </c>
      <c r="AQ52" s="322" t="e">
        <f>AP52*100/$AG$19</f>
        <v>#DIV/0!</v>
      </c>
      <c r="AR52" s="34"/>
      <c r="AS52" s="34"/>
    </row>
    <row r="53" spans="2:65" s="38" customFormat="1" hidden="1" x14ac:dyDescent="0.2">
      <c r="B53" s="340" t="b">
        <f>IF(E53&gt;0,11)</f>
        <v>0</v>
      </c>
      <c r="C53" s="86"/>
      <c r="D53" s="85"/>
      <c r="E53" s="255"/>
      <c r="F53" s="257">
        <f>(G52*$AB$12)/100</f>
        <v>0</v>
      </c>
      <c r="G53" s="87"/>
      <c r="H53" s="345"/>
      <c r="I53" s="243"/>
      <c r="J53" s="262"/>
      <c r="K53" s="265">
        <f>(L52*$AB$13)/100</f>
        <v>0</v>
      </c>
      <c r="L53" s="84"/>
      <c r="M53" s="345"/>
      <c r="N53" s="243"/>
      <c r="O53" s="262"/>
      <c r="P53" s="265">
        <f>(Q52*$AB$14)/100</f>
        <v>0</v>
      </c>
      <c r="Q53" s="87"/>
      <c r="R53" s="345"/>
      <c r="S53" s="262"/>
      <c r="T53" s="262"/>
      <c r="U53" s="263">
        <f>(V52*$AB$15)/100</f>
        <v>0</v>
      </c>
      <c r="V53" s="87"/>
      <c r="W53" s="345"/>
      <c r="X53" s="262"/>
      <c r="Y53" s="262"/>
      <c r="Z53" s="263">
        <f>(AA52*$AB$16)/100</f>
        <v>0</v>
      </c>
      <c r="AA53" s="87"/>
      <c r="AB53" s="345"/>
      <c r="AC53" s="262"/>
      <c r="AD53" s="262"/>
      <c r="AE53" s="263">
        <f>(AF52*$AB$17)/100</f>
        <v>0</v>
      </c>
      <c r="AF53" s="87"/>
      <c r="AG53" s="345"/>
      <c r="AH53" s="262"/>
      <c r="AI53" s="262"/>
      <c r="AJ53" s="263">
        <f>(AK52*$AB$18)/100</f>
        <v>0</v>
      </c>
      <c r="AK53" s="87"/>
      <c r="AL53" s="261"/>
      <c r="AM53" s="262"/>
      <c r="AN53" s="262"/>
      <c r="AO53" s="271"/>
      <c r="AP53" s="272"/>
      <c r="AQ53" s="322"/>
      <c r="AR53" s="34"/>
      <c r="AS53" s="34"/>
    </row>
    <row r="54" spans="2:65" s="38" customFormat="1" x14ac:dyDescent="0.2">
      <c r="B54" s="340" t="b">
        <f>IF(E54&gt;0,14)</f>
        <v>0</v>
      </c>
      <c r="C54" s="46"/>
      <c r="D54" s="47"/>
      <c r="E54" s="255"/>
      <c r="F54" s="258">
        <f>$AG$21*'FBM Results'!$C$23*E54</f>
        <v>0</v>
      </c>
      <c r="G54" s="255"/>
      <c r="H54" s="346" t="e">
        <f>(G54/E54)/$AG$21</f>
        <v>#DIV/0!</v>
      </c>
      <c r="I54" s="262" t="e">
        <f>IF(H54&lt;'FBM Results'!$C$23*0.9,1,0)</f>
        <v>#DIV/0!</v>
      </c>
      <c r="J54" s="262" t="e">
        <f>IF(H54&gt;'FBM Results'!$C$23*1.1,1,)</f>
        <v>#DIV/0!</v>
      </c>
      <c r="K54" s="264">
        <f>($W$13*$AG$21)*E54</f>
        <v>0</v>
      </c>
      <c r="L54" s="255"/>
      <c r="M54" s="346" t="e">
        <f>(L54/E54)/$AG$21</f>
        <v>#DIV/0!</v>
      </c>
      <c r="N54" s="262" t="e">
        <f>IF(M54&lt;'FBM Results'!$C$24*0.9,1,)</f>
        <v>#DIV/0!</v>
      </c>
      <c r="O54" s="262" t="e">
        <f>IF(M54&gt;'FBM Results'!$C$24*1.1,1,)</f>
        <v>#DIV/0!</v>
      </c>
      <c r="P54" s="264">
        <f>($W$14*$AG$21)*E54</f>
        <v>0</v>
      </c>
      <c r="Q54" s="255"/>
      <c r="R54" s="350" t="e">
        <f>(Q54/E54)/$AG$21</f>
        <v>#DIV/0!</v>
      </c>
      <c r="S54" s="262" t="e">
        <f>IF(R54&lt;'FBM Results'!$C$25*0.9,1,)</f>
        <v>#DIV/0!</v>
      </c>
      <c r="T54" s="262" t="e">
        <f>IF(R54&gt;'FBM Results'!$C$25*1.1,1,)</f>
        <v>#DIV/0!</v>
      </c>
      <c r="U54" s="264">
        <f>($W$15*$AG$21)*E54</f>
        <v>0</v>
      </c>
      <c r="V54" s="255"/>
      <c r="W54" s="350" t="e">
        <f>(V54/E54)/$AG$21</f>
        <v>#DIV/0!</v>
      </c>
      <c r="X54" s="262" t="e">
        <f>IF(W54&lt;'FBM Results'!$C$26*0.9,1,)</f>
        <v>#DIV/0!</v>
      </c>
      <c r="Y54" s="262" t="e">
        <f>IF(W54&gt;'FBM Results'!$C$26*1.1,1,)</f>
        <v>#DIV/0!</v>
      </c>
      <c r="Z54" s="264">
        <f>($W$16*$AG$21)*E54</f>
        <v>0</v>
      </c>
      <c r="AA54" s="255"/>
      <c r="AB54" s="350" t="e">
        <f>(AA54/$E54)/$AG$21</f>
        <v>#DIV/0!</v>
      </c>
      <c r="AC54" s="262" t="e">
        <f>IF(AB54&lt;'FBM Results'!$C$27*0.9,1,)</f>
        <v>#DIV/0!</v>
      </c>
      <c r="AD54" s="262" t="e">
        <f>IF(AB54&gt;'FBM Results'!$C$27*1.1,1,)</f>
        <v>#DIV/0!</v>
      </c>
      <c r="AE54" s="264">
        <f>$W$17*$AG$21*$E54</f>
        <v>0</v>
      </c>
      <c r="AF54" s="255"/>
      <c r="AG54" s="350" t="e">
        <f>(AF54/$E54)/$AG$21</f>
        <v>#DIV/0!</v>
      </c>
      <c r="AH54" s="262" t="e">
        <f>IF(AG54&lt;'FBM Results'!$C$28*0.9,1,)</f>
        <v>#DIV/0!</v>
      </c>
      <c r="AI54" s="262" t="e">
        <f>IF(AG54&gt;'FBM Results'!$C$28*1.1,1,)</f>
        <v>#DIV/0!</v>
      </c>
      <c r="AJ54" s="264">
        <f>$W$18*$AG$21*$E54</f>
        <v>0</v>
      </c>
      <c r="AK54" s="255"/>
      <c r="AL54" s="267" t="e">
        <f>(AK54/$E54)/$AG$21</f>
        <v>#DIV/0!</v>
      </c>
      <c r="AM54" s="262" t="e">
        <f>IF(AL54&lt;'FBM Results'!$C$29*0.9,1,)</f>
        <v>#DIV/0!</v>
      </c>
      <c r="AN54" s="262" t="e">
        <f>IF(AL54&gt;'FBM Results'!$C$29*1.1,1,)</f>
        <v>#DIV/0!</v>
      </c>
      <c r="AO54" s="271">
        <f>SUM(F55+K55+P55+U55+Z55+AE55+AJ55)</f>
        <v>0</v>
      </c>
      <c r="AP54" s="272" t="e">
        <f>(AO54/E54)/$AG$21</f>
        <v>#DIV/0!</v>
      </c>
      <c r="AQ54" s="322" t="e">
        <f>AP54*100/$AG$19</f>
        <v>#DIV/0!</v>
      </c>
      <c r="AR54" s="34"/>
      <c r="AS54" s="34"/>
    </row>
    <row r="55" spans="2:65" s="38" customFormat="1" hidden="1" x14ac:dyDescent="0.2">
      <c r="B55" s="340" t="b">
        <f>IF(E55&gt;0,14)</f>
        <v>0</v>
      </c>
      <c r="C55" s="86"/>
      <c r="D55" s="85"/>
      <c r="E55" s="255"/>
      <c r="F55" s="257">
        <f>(G54*$AB$12)/100</f>
        <v>0</v>
      </c>
      <c r="G55" s="87"/>
      <c r="H55" s="345"/>
      <c r="I55" s="243"/>
      <c r="J55" s="262"/>
      <c r="K55" s="265">
        <f>(L54*$AB$13)/100</f>
        <v>0</v>
      </c>
      <c r="L55" s="84"/>
      <c r="M55" s="345"/>
      <c r="N55" s="243"/>
      <c r="O55" s="262"/>
      <c r="P55" s="265">
        <f>(Q54*$AB$14)/100</f>
        <v>0</v>
      </c>
      <c r="Q55" s="87"/>
      <c r="R55" s="345"/>
      <c r="S55" s="262"/>
      <c r="T55" s="262"/>
      <c r="U55" s="263">
        <f>(V54*$AB$15)/100</f>
        <v>0</v>
      </c>
      <c r="V55" s="87"/>
      <c r="W55" s="345"/>
      <c r="X55" s="262"/>
      <c r="Y55" s="262"/>
      <c r="Z55" s="263">
        <f>(AA54*$AB$16)/100</f>
        <v>0</v>
      </c>
      <c r="AA55" s="87"/>
      <c r="AB55" s="345"/>
      <c r="AC55" s="262"/>
      <c r="AD55" s="262"/>
      <c r="AE55" s="263">
        <f>(AF54*$AB$17)/100</f>
        <v>0</v>
      </c>
      <c r="AF55" s="87"/>
      <c r="AG55" s="345"/>
      <c r="AH55" s="262"/>
      <c r="AI55" s="262"/>
      <c r="AJ55" s="263">
        <f>(AK54*$AB$18)/100</f>
        <v>0</v>
      </c>
      <c r="AK55" s="87"/>
      <c r="AL55" s="261"/>
      <c r="AM55" s="262"/>
      <c r="AN55" s="262"/>
      <c r="AO55" s="271"/>
      <c r="AP55" s="272"/>
      <c r="AQ55" s="322"/>
      <c r="AR55" s="34"/>
      <c r="AS55" s="34"/>
    </row>
    <row r="56" spans="2:65" s="38" customFormat="1" x14ac:dyDescent="0.2">
      <c r="B56" s="340" t="b">
        <f>IF(E56&gt;0,15)</f>
        <v>0</v>
      </c>
      <c r="C56" s="46"/>
      <c r="D56" s="47"/>
      <c r="E56" s="255"/>
      <c r="F56" s="258">
        <f>$AG$21*'FBM Results'!$C$23*E56</f>
        <v>0</v>
      </c>
      <c r="G56" s="255"/>
      <c r="H56" s="346" t="e">
        <f>(G56/E56)/$AG$21</f>
        <v>#DIV/0!</v>
      </c>
      <c r="I56" s="262" t="e">
        <f>IF(H56&lt;'FBM Results'!$C$23*0.9,1,0)</f>
        <v>#DIV/0!</v>
      </c>
      <c r="J56" s="262" t="e">
        <f>IF(H56&gt;'FBM Results'!$C$23*1.1,1,)</f>
        <v>#DIV/0!</v>
      </c>
      <c r="K56" s="264">
        <f>($W$13*$AG$21)*E56</f>
        <v>0</v>
      </c>
      <c r="L56" s="255"/>
      <c r="M56" s="346" t="e">
        <f>(L56/E56)/$AG$21</f>
        <v>#DIV/0!</v>
      </c>
      <c r="N56" s="262" t="e">
        <f>IF(M56&lt;'FBM Results'!$C$24*0.9,1,)</f>
        <v>#DIV/0!</v>
      </c>
      <c r="O56" s="262" t="e">
        <f>IF(M56&gt;'FBM Results'!$C$24*1.1,1,)</f>
        <v>#DIV/0!</v>
      </c>
      <c r="P56" s="264">
        <f>($W$14*$AG$21)*E56</f>
        <v>0</v>
      </c>
      <c r="Q56" s="255"/>
      <c r="R56" s="350" t="e">
        <f>(Q56/E56)/$AG$21</f>
        <v>#DIV/0!</v>
      </c>
      <c r="S56" s="262" t="e">
        <f>IF(R56&lt;'FBM Results'!$C$25*0.9,1,)</f>
        <v>#DIV/0!</v>
      </c>
      <c r="T56" s="262" t="e">
        <f>IF(R56&gt;'FBM Results'!$C$25*1.1,1,)</f>
        <v>#DIV/0!</v>
      </c>
      <c r="U56" s="264">
        <f>($W$15*$AG$21)*E56</f>
        <v>0</v>
      </c>
      <c r="V56" s="255"/>
      <c r="W56" s="350" t="e">
        <f>(V56/E56)/$AG$21</f>
        <v>#DIV/0!</v>
      </c>
      <c r="X56" s="262" t="e">
        <f>IF(W56&lt;'FBM Results'!$C$26*0.9,1,)</f>
        <v>#DIV/0!</v>
      </c>
      <c r="Y56" s="262" t="e">
        <f>IF(W56&gt;'FBM Results'!$C$26*1.1,1,)</f>
        <v>#DIV/0!</v>
      </c>
      <c r="Z56" s="264">
        <f>($W$16*$AG$21)*E56</f>
        <v>0</v>
      </c>
      <c r="AA56" s="255"/>
      <c r="AB56" s="350" t="e">
        <f>(AA56/$E56)/$AG$21</f>
        <v>#DIV/0!</v>
      </c>
      <c r="AC56" s="262" t="e">
        <f>IF(AB56&lt;'FBM Results'!$C$27*0.9,1,)</f>
        <v>#DIV/0!</v>
      </c>
      <c r="AD56" s="262" t="e">
        <f>IF(AB56&gt;'FBM Results'!$C$27*1.1,1,)</f>
        <v>#DIV/0!</v>
      </c>
      <c r="AE56" s="264">
        <f>$W$17*$AG$21*$E56</f>
        <v>0</v>
      </c>
      <c r="AF56" s="255"/>
      <c r="AG56" s="350" t="e">
        <f>(AF56/$E56)/$AG$21</f>
        <v>#DIV/0!</v>
      </c>
      <c r="AH56" s="262" t="e">
        <f>IF(AG56&lt;'FBM Results'!$C$28*0.9,1,)</f>
        <v>#DIV/0!</v>
      </c>
      <c r="AI56" s="262" t="e">
        <f>IF(AG56&gt;'FBM Results'!$C$28*1.1,1,)</f>
        <v>#DIV/0!</v>
      </c>
      <c r="AJ56" s="264">
        <f>$W$18*$AG$21*$E56</f>
        <v>0</v>
      </c>
      <c r="AK56" s="255"/>
      <c r="AL56" s="267" t="e">
        <f>(AK56/$E56)/$AG$21</f>
        <v>#DIV/0!</v>
      </c>
      <c r="AM56" s="262" t="e">
        <f>IF(AL56&lt;'FBM Results'!$C$29*0.9,1,)</f>
        <v>#DIV/0!</v>
      </c>
      <c r="AN56" s="262" t="e">
        <f>IF(AL56&gt;'FBM Results'!$C$29*1.1,1,)</f>
        <v>#DIV/0!</v>
      </c>
      <c r="AO56" s="271">
        <f>SUM(F57+K57+P57+U57+Z57+AE57+AJ57)</f>
        <v>0</v>
      </c>
      <c r="AP56" s="272" t="e">
        <f>(AO56/E56)/$AG$21</f>
        <v>#DIV/0!</v>
      </c>
      <c r="AQ56" s="322" t="e">
        <f>AP56*100/$AG$19</f>
        <v>#DIV/0!</v>
      </c>
      <c r="AR56" s="34"/>
      <c r="AS56" s="34"/>
    </row>
    <row r="57" spans="2:65" s="38" customFormat="1" hidden="1" x14ac:dyDescent="0.2">
      <c r="B57" s="340" t="b">
        <f>IF(E57&gt;0,14)</f>
        <v>0</v>
      </c>
      <c r="C57" s="86"/>
      <c r="D57" s="85"/>
      <c r="E57" s="255"/>
      <c r="F57" s="257">
        <f>(G56*$AB$12)/100</f>
        <v>0</v>
      </c>
      <c r="G57" s="87"/>
      <c r="H57" s="345"/>
      <c r="I57" s="243"/>
      <c r="J57" s="262"/>
      <c r="K57" s="265">
        <f>(L56*$AB$13)/100</f>
        <v>0</v>
      </c>
      <c r="L57" s="84"/>
      <c r="M57" s="345"/>
      <c r="N57" s="243"/>
      <c r="O57" s="262"/>
      <c r="P57" s="265">
        <f>(Q56*$AB$14)/100</f>
        <v>0</v>
      </c>
      <c r="Q57" s="87"/>
      <c r="R57" s="345"/>
      <c r="S57" s="262"/>
      <c r="T57" s="262"/>
      <c r="U57" s="263">
        <f>(V56*$AB$15)/100</f>
        <v>0</v>
      </c>
      <c r="V57" s="87"/>
      <c r="W57" s="345"/>
      <c r="X57" s="262"/>
      <c r="Y57" s="262"/>
      <c r="Z57" s="263">
        <f>(AA56*$AB$16)/100</f>
        <v>0</v>
      </c>
      <c r="AA57" s="87"/>
      <c r="AB57" s="345"/>
      <c r="AC57" s="262"/>
      <c r="AD57" s="262"/>
      <c r="AE57" s="263">
        <f>(AF56*$AB$17)/100</f>
        <v>0</v>
      </c>
      <c r="AF57" s="87"/>
      <c r="AG57" s="345"/>
      <c r="AH57" s="262"/>
      <c r="AI57" s="262"/>
      <c r="AJ57" s="263">
        <f>(AK56*$AB$18)/100</f>
        <v>0</v>
      </c>
      <c r="AK57" s="87"/>
      <c r="AL57" s="261"/>
      <c r="AM57" s="262"/>
      <c r="AN57" s="262"/>
      <c r="AO57" s="271"/>
      <c r="AP57" s="272"/>
      <c r="AQ57" s="322"/>
      <c r="AR57" s="34"/>
      <c r="AS57" s="34"/>
    </row>
    <row r="58" spans="2:65" s="38" customFormat="1" ht="15.75" x14ac:dyDescent="0.25">
      <c r="B58" s="340" t="b">
        <f>IF(E58&gt;0,16)</f>
        <v>0</v>
      </c>
      <c r="C58" s="46"/>
      <c r="D58" s="47"/>
      <c r="E58" s="255"/>
      <c r="F58" s="258">
        <f>$AG$21*'FBM Results'!$C$23*E58</f>
        <v>0</v>
      </c>
      <c r="G58" s="255"/>
      <c r="H58" s="346" t="e">
        <f>(G58/E58)/$AG$21</f>
        <v>#DIV/0!</v>
      </c>
      <c r="I58" s="262" t="e">
        <f>IF(H58&lt;'FBM Results'!$C$23*0.9,1,0)</f>
        <v>#DIV/0!</v>
      </c>
      <c r="J58" s="262" t="e">
        <f>IF(H58&gt;'FBM Results'!$C$23*1.1,1,)</f>
        <v>#DIV/0!</v>
      </c>
      <c r="K58" s="264">
        <f>($W$13*$AG$21)*E58</f>
        <v>0</v>
      </c>
      <c r="L58" s="255"/>
      <c r="M58" s="346" t="e">
        <f>(L58/E58)/$AG$21</f>
        <v>#DIV/0!</v>
      </c>
      <c r="N58" s="262" t="e">
        <f>IF(M58&lt;'FBM Results'!$C$24*0.9,1,)</f>
        <v>#DIV/0!</v>
      </c>
      <c r="O58" s="262" t="e">
        <f>IF(M58&gt;'FBM Results'!$C$24*1.1,1,)</f>
        <v>#DIV/0!</v>
      </c>
      <c r="P58" s="264">
        <f>($W$14*$AG$21)*E58</f>
        <v>0</v>
      </c>
      <c r="Q58" s="255"/>
      <c r="R58" s="350" t="e">
        <f>(Q58/E58)/$AG$21</f>
        <v>#DIV/0!</v>
      </c>
      <c r="S58" s="262" t="e">
        <f>IF(R58&lt;'FBM Results'!$C$25*0.9,1,)</f>
        <v>#DIV/0!</v>
      </c>
      <c r="T58" s="262" t="e">
        <f>IF(R58&gt;'FBM Results'!$C$25*1.1,1,)</f>
        <v>#DIV/0!</v>
      </c>
      <c r="U58" s="264">
        <f>($W$15*$AG$21)*E58</f>
        <v>0</v>
      </c>
      <c r="V58" s="255"/>
      <c r="W58" s="350" t="e">
        <f>(V58/E58)/$AG$21</f>
        <v>#DIV/0!</v>
      </c>
      <c r="X58" s="262" t="e">
        <f>IF(W58&lt;'FBM Results'!$C$26*0.9,1,)</f>
        <v>#DIV/0!</v>
      </c>
      <c r="Y58" s="262" t="e">
        <f>IF(W58&gt;'FBM Results'!$C$26*1.1,1,)</f>
        <v>#DIV/0!</v>
      </c>
      <c r="Z58" s="264">
        <f>($W$16*$AG$21)*E58</f>
        <v>0</v>
      </c>
      <c r="AA58" s="255"/>
      <c r="AB58" s="350" t="e">
        <f>(AA58/$E58)/$AG$21</f>
        <v>#DIV/0!</v>
      </c>
      <c r="AC58" s="262" t="e">
        <f>IF(AB58&lt;'FBM Results'!$C$27*0.9,1,)</f>
        <v>#DIV/0!</v>
      </c>
      <c r="AD58" s="262" t="e">
        <f>IF(AB58&gt;'FBM Results'!$C$27*1.1,1,)</f>
        <v>#DIV/0!</v>
      </c>
      <c r="AE58" s="264">
        <f>$W$17*$AG$21*$E58</f>
        <v>0</v>
      </c>
      <c r="AF58" s="255"/>
      <c r="AG58" s="350" t="e">
        <f>(AF58/$E58)/$AG$21</f>
        <v>#DIV/0!</v>
      </c>
      <c r="AH58" s="262" t="e">
        <f>IF(AG58&lt;'FBM Results'!$C$28*0.9,1,)</f>
        <v>#DIV/0!</v>
      </c>
      <c r="AI58" s="262" t="e">
        <f>IF(AG58&gt;'FBM Results'!$C$28*1.1,1,)</f>
        <v>#DIV/0!</v>
      </c>
      <c r="AJ58" s="264">
        <f>$W$18*$AG$21*$E58</f>
        <v>0</v>
      </c>
      <c r="AK58" s="255"/>
      <c r="AL58" s="267" t="e">
        <f>(AK58/$E58)/$AG$21</f>
        <v>#DIV/0!</v>
      </c>
      <c r="AM58" s="262" t="e">
        <f>IF(AL58&lt;'FBM Results'!$C$29*0.9,1,)</f>
        <v>#DIV/0!</v>
      </c>
      <c r="AN58" s="262" t="e">
        <f>IF(AL58&gt;'FBM Results'!$C$29*1.1,1,)</f>
        <v>#DIV/0!</v>
      </c>
      <c r="AO58" s="271">
        <f>SUM(F59+K59+P59+U59+Z59+AE59+AJ59)</f>
        <v>0</v>
      </c>
      <c r="AP58" s="272" t="e">
        <f>(AO58/E58)/$AG$21</f>
        <v>#DIV/0!</v>
      </c>
      <c r="AQ58" s="322" t="e">
        <f>AP58*100/$AG$19</f>
        <v>#DIV/0!</v>
      </c>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2:65" s="38" customFormat="1" hidden="1" x14ac:dyDescent="0.2">
      <c r="B59" s="340" t="b">
        <f>IF(E59&gt;0,14)</f>
        <v>0</v>
      </c>
      <c r="C59" s="86"/>
      <c r="D59" s="85"/>
      <c r="E59" s="255"/>
      <c r="F59" s="257">
        <f>(G58*$AB$12)/100</f>
        <v>0</v>
      </c>
      <c r="G59" s="87"/>
      <c r="H59" s="345"/>
      <c r="I59" s="243"/>
      <c r="J59" s="262"/>
      <c r="K59" s="265">
        <f>(L58*$AB$13)/100</f>
        <v>0</v>
      </c>
      <c r="L59" s="84"/>
      <c r="M59" s="345"/>
      <c r="N59" s="243"/>
      <c r="O59" s="262"/>
      <c r="P59" s="265">
        <f>(Q58*$AB$14)/100</f>
        <v>0</v>
      </c>
      <c r="Q59" s="87"/>
      <c r="R59" s="345"/>
      <c r="S59" s="262"/>
      <c r="T59" s="262"/>
      <c r="U59" s="263">
        <f>(V58*$AB$15)/100</f>
        <v>0</v>
      </c>
      <c r="V59" s="87"/>
      <c r="W59" s="345"/>
      <c r="X59" s="262"/>
      <c r="Y59" s="262"/>
      <c r="Z59" s="263">
        <f>(AA58*$AB$16)/100</f>
        <v>0</v>
      </c>
      <c r="AA59" s="87"/>
      <c r="AB59" s="345"/>
      <c r="AC59" s="262"/>
      <c r="AD59" s="262"/>
      <c r="AE59" s="263">
        <f>(AF58*$AB$17)/100</f>
        <v>0</v>
      </c>
      <c r="AF59" s="87"/>
      <c r="AG59" s="345"/>
      <c r="AH59" s="262"/>
      <c r="AI59" s="262"/>
      <c r="AJ59" s="263">
        <f>(AK58*$AB$18)/100</f>
        <v>0</v>
      </c>
      <c r="AK59" s="87"/>
      <c r="AL59" s="261"/>
      <c r="AM59" s="262"/>
      <c r="AN59" s="262"/>
      <c r="AO59" s="271"/>
      <c r="AP59" s="272"/>
      <c r="AQ59" s="322"/>
      <c r="AR59" s="34"/>
      <c r="AS59" s="34"/>
    </row>
    <row r="60" spans="2:65" s="38" customFormat="1" x14ac:dyDescent="0.2">
      <c r="B60" s="340" t="b">
        <f>IF(E60&gt;0,17)</f>
        <v>0</v>
      </c>
      <c r="C60" s="46"/>
      <c r="D60" s="47"/>
      <c r="E60" s="255"/>
      <c r="F60" s="258">
        <f>$AG$21*'FBM Results'!$C$23*E60</f>
        <v>0</v>
      </c>
      <c r="G60" s="255"/>
      <c r="H60" s="346" t="e">
        <f>(G60/E60)/$AG$21</f>
        <v>#DIV/0!</v>
      </c>
      <c r="I60" s="262" t="e">
        <f>IF(H60&lt;'FBM Results'!$C$23*0.9,1,0)</f>
        <v>#DIV/0!</v>
      </c>
      <c r="J60" s="262" t="e">
        <f>IF(H60&gt;'FBM Results'!$C$23*1.1,1,)</f>
        <v>#DIV/0!</v>
      </c>
      <c r="K60" s="264">
        <f>($W$13*$AG$21)*E60</f>
        <v>0</v>
      </c>
      <c r="L60" s="255"/>
      <c r="M60" s="346" t="e">
        <f>(L60/E60)/$AG$21</f>
        <v>#DIV/0!</v>
      </c>
      <c r="N60" s="262" t="e">
        <f>IF(M60&lt;'FBM Results'!$C$24*0.9,1,)</f>
        <v>#DIV/0!</v>
      </c>
      <c r="O60" s="262" t="e">
        <f>IF(M60&gt;'FBM Results'!$C$24*1.1,1,)</f>
        <v>#DIV/0!</v>
      </c>
      <c r="P60" s="264">
        <f>($W$14*$AG$21)*E60</f>
        <v>0</v>
      </c>
      <c r="Q60" s="255"/>
      <c r="R60" s="350" t="e">
        <f>(Q60/E60)/$AG$21</f>
        <v>#DIV/0!</v>
      </c>
      <c r="S60" s="262" t="e">
        <f>IF(R60&lt;'FBM Results'!$C$25*0.9,1,)</f>
        <v>#DIV/0!</v>
      </c>
      <c r="T60" s="262" t="e">
        <f>IF(R60&gt;'FBM Results'!$C$25*1.1,1,)</f>
        <v>#DIV/0!</v>
      </c>
      <c r="U60" s="264">
        <f>($W$15*$AG$21)*E60</f>
        <v>0</v>
      </c>
      <c r="V60" s="255"/>
      <c r="W60" s="350" t="e">
        <f>(V60/E60)/$AG$21</f>
        <v>#DIV/0!</v>
      </c>
      <c r="X60" s="262" t="e">
        <f>IF(W60&lt;'FBM Results'!$C$26*0.9,1,)</f>
        <v>#DIV/0!</v>
      </c>
      <c r="Y60" s="262" t="e">
        <f>IF(W60&gt;'FBM Results'!$C$26*1.1,1,)</f>
        <v>#DIV/0!</v>
      </c>
      <c r="Z60" s="264">
        <f>($W$16*$AG$21)*E60</f>
        <v>0</v>
      </c>
      <c r="AA60" s="255"/>
      <c r="AB60" s="350" t="e">
        <f>(AA60/$E60)/$AG$21</f>
        <v>#DIV/0!</v>
      </c>
      <c r="AC60" s="262" t="e">
        <f>IF(AB60&lt;'FBM Results'!$C$27*0.9,1,)</f>
        <v>#DIV/0!</v>
      </c>
      <c r="AD60" s="262" t="e">
        <f>IF(AB60&gt;'FBM Results'!$C$27*1.1,1,)</f>
        <v>#DIV/0!</v>
      </c>
      <c r="AE60" s="264">
        <f>$W$17*$AG$21*$E60</f>
        <v>0</v>
      </c>
      <c r="AF60" s="255"/>
      <c r="AG60" s="350" t="e">
        <f>(AF60/$E60)/$AG$21</f>
        <v>#DIV/0!</v>
      </c>
      <c r="AH60" s="262" t="e">
        <f>IF(AG60&lt;'FBM Results'!$C$28*0.9,1,)</f>
        <v>#DIV/0!</v>
      </c>
      <c r="AI60" s="262" t="e">
        <f>IF(AG60&gt;'FBM Results'!$C$28*1.1,1,)</f>
        <v>#DIV/0!</v>
      </c>
      <c r="AJ60" s="264">
        <f>$W$18*$AG$21*$E60</f>
        <v>0</v>
      </c>
      <c r="AK60" s="255"/>
      <c r="AL60" s="267" t="e">
        <f>(AK60/$E60)/$AG$21</f>
        <v>#DIV/0!</v>
      </c>
      <c r="AM60" s="262" t="e">
        <f>IF(AL60&lt;'FBM Results'!$C$29*0.9,1,)</f>
        <v>#DIV/0!</v>
      </c>
      <c r="AN60" s="262" t="e">
        <f>IF(AL60&gt;'FBM Results'!$C$29*1.1,1,)</f>
        <v>#DIV/0!</v>
      </c>
      <c r="AO60" s="271">
        <f>SUM(F61+K61+P61+U61+Z61+AE61+AJ61)</f>
        <v>0</v>
      </c>
      <c r="AP60" s="272" t="e">
        <f>(AO60/E60)/$AG$21</f>
        <v>#DIV/0!</v>
      </c>
      <c r="AQ60" s="322" t="e">
        <f>AP60*100/$AG$19</f>
        <v>#DIV/0!</v>
      </c>
      <c r="AR60" s="34"/>
      <c r="AS60" s="34"/>
    </row>
    <row r="61" spans="2:65" s="38" customFormat="1" hidden="1" x14ac:dyDescent="0.2">
      <c r="B61" s="340" t="b">
        <f>IF(E61&gt;0,14)</f>
        <v>0</v>
      </c>
      <c r="C61" s="86"/>
      <c r="D61" s="85"/>
      <c r="E61" s="255"/>
      <c r="F61" s="257">
        <f>(G60*$AB$12)/100</f>
        <v>0</v>
      </c>
      <c r="G61" s="87"/>
      <c r="H61" s="345"/>
      <c r="I61" s="243"/>
      <c r="J61" s="262"/>
      <c r="K61" s="265">
        <f>(L60*$AB$13)/100</f>
        <v>0</v>
      </c>
      <c r="L61" s="84"/>
      <c r="M61" s="345"/>
      <c r="N61" s="243"/>
      <c r="O61" s="262"/>
      <c r="P61" s="265">
        <f>(Q60*$AB$14)/100</f>
        <v>0</v>
      </c>
      <c r="Q61" s="87"/>
      <c r="R61" s="345"/>
      <c r="S61" s="262"/>
      <c r="T61" s="262"/>
      <c r="U61" s="263">
        <f>(V60*$AB$15)/100</f>
        <v>0</v>
      </c>
      <c r="V61" s="87"/>
      <c r="W61" s="345"/>
      <c r="X61" s="262"/>
      <c r="Y61" s="262"/>
      <c r="Z61" s="263">
        <f>(AA60*$AB$16)/100</f>
        <v>0</v>
      </c>
      <c r="AA61" s="87"/>
      <c r="AB61" s="345"/>
      <c r="AC61" s="262"/>
      <c r="AD61" s="262"/>
      <c r="AE61" s="263">
        <f>(AF60*$AB$17)/100</f>
        <v>0</v>
      </c>
      <c r="AF61" s="87"/>
      <c r="AG61" s="345"/>
      <c r="AH61" s="262"/>
      <c r="AI61" s="262"/>
      <c r="AJ61" s="263">
        <f>(AK60*$AB$18)/100</f>
        <v>0</v>
      </c>
      <c r="AK61" s="87"/>
      <c r="AL61" s="261"/>
      <c r="AM61" s="262"/>
      <c r="AN61" s="262"/>
      <c r="AO61" s="271"/>
      <c r="AP61" s="272"/>
      <c r="AQ61" s="322"/>
      <c r="AR61" s="34"/>
      <c r="AS61" s="34"/>
    </row>
    <row r="62" spans="2:65" s="38" customFormat="1" x14ac:dyDescent="0.2">
      <c r="B62" s="340" t="b">
        <f>IF(E62&gt;0,18)</f>
        <v>0</v>
      </c>
      <c r="C62" s="46"/>
      <c r="D62" s="47"/>
      <c r="E62" s="255"/>
      <c r="F62" s="258">
        <f>$AG$21*'FBM Results'!$C$23*E62</f>
        <v>0</v>
      </c>
      <c r="G62" s="255"/>
      <c r="H62" s="346" t="e">
        <f>(G62/E62)/$AG$21</f>
        <v>#DIV/0!</v>
      </c>
      <c r="I62" s="262" t="e">
        <f>IF(H62&lt;'FBM Results'!$C$23*0.9,1,0)</f>
        <v>#DIV/0!</v>
      </c>
      <c r="J62" s="262" t="e">
        <f>IF(H62&gt;'FBM Results'!$C$23*1.1,1,)</f>
        <v>#DIV/0!</v>
      </c>
      <c r="K62" s="264">
        <f>($W$13*$AG$21)*E62</f>
        <v>0</v>
      </c>
      <c r="L62" s="255"/>
      <c r="M62" s="346" t="e">
        <f>(L62/E62)/$AG$21</f>
        <v>#DIV/0!</v>
      </c>
      <c r="N62" s="262" t="e">
        <f>IF(M62&lt;'FBM Results'!$C$24*0.9,1,)</f>
        <v>#DIV/0!</v>
      </c>
      <c r="O62" s="262" t="e">
        <f>IF(M62&gt;'FBM Results'!$C$24*1.1,1,)</f>
        <v>#DIV/0!</v>
      </c>
      <c r="P62" s="264">
        <f>($W$14*$AG$21)*E62</f>
        <v>0</v>
      </c>
      <c r="Q62" s="255"/>
      <c r="R62" s="350" t="e">
        <f>(Q62/E62)/$AG$21</f>
        <v>#DIV/0!</v>
      </c>
      <c r="S62" s="262" t="e">
        <f>IF(R62&lt;'FBM Results'!$C$25*0.9,1,)</f>
        <v>#DIV/0!</v>
      </c>
      <c r="T62" s="262" t="e">
        <f>IF(R62&gt;'FBM Results'!$C$25*1.1,1,)</f>
        <v>#DIV/0!</v>
      </c>
      <c r="U62" s="264">
        <f>($W$15*$AG$21)*E62</f>
        <v>0</v>
      </c>
      <c r="V62" s="255"/>
      <c r="W62" s="350" t="e">
        <f>(V62/E62)/$AG$21</f>
        <v>#DIV/0!</v>
      </c>
      <c r="X62" s="262" t="e">
        <f>IF(W62&lt;'FBM Results'!$C$26*0.9,1,)</f>
        <v>#DIV/0!</v>
      </c>
      <c r="Y62" s="262" t="e">
        <f>IF(W62&gt;'FBM Results'!$C$26*1.1,1,)</f>
        <v>#DIV/0!</v>
      </c>
      <c r="Z62" s="264">
        <f>($W$16*$AG$21)*E62</f>
        <v>0</v>
      </c>
      <c r="AA62" s="255"/>
      <c r="AB62" s="350" t="e">
        <f>(AA62/$E62)/$AG$21</f>
        <v>#DIV/0!</v>
      </c>
      <c r="AC62" s="262" t="e">
        <f>IF(AB62&lt;'FBM Results'!$C$27*0.9,1,)</f>
        <v>#DIV/0!</v>
      </c>
      <c r="AD62" s="262" t="e">
        <f>IF(AB62&gt;'FBM Results'!$C$27*1.1,1,)</f>
        <v>#DIV/0!</v>
      </c>
      <c r="AE62" s="264">
        <f>$W$17*$AG$21*$E62</f>
        <v>0</v>
      </c>
      <c r="AF62" s="255"/>
      <c r="AG62" s="350" t="e">
        <f>(AF62/$E62)/$AG$21</f>
        <v>#DIV/0!</v>
      </c>
      <c r="AH62" s="262" t="e">
        <f>IF(AG62&lt;'FBM Results'!$C$28*0.9,1,)</f>
        <v>#DIV/0!</v>
      </c>
      <c r="AI62" s="262" t="e">
        <f>IF(AG62&gt;'FBM Results'!$C$28*1.1,1,)</f>
        <v>#DIV/0!</v>
      </c>
      <c r="AJ62" s="264">
        <f>$W$18*$AG$21*$E62</f>
        <v>0</v>
      </c>
      <c r="AK62" s="255"/>
      <c r="AL62" s="267" t="e">
        <f>(AK62/$E62)/$AG$21</f>
        <v>#DIV/0!</v>
      </c>
      <c r="AM62" s="262" t="e">
        <f>IF(AL62&lt;'FBM Results'!$C$29*0.9,1,)</f>
        <v>#DIV/0!</v>
      </c>
      <c r="AN62" s="262" t="e">
        <f>IF(AL62&gt;'FBM Results'!$C$29*1.1,1,)</f>
        <v>#DIV/0!</v>
      </c>
      <c r="AO62" s="271">
        <f>SUM(F63+K63+P63+U63+Z63+AE63+AJ63)</f>
        <v>0</v>
      </c>
      <c r="AP62" s="272" t="e">
        <f>(AO62/E62)/$AG$21</f>
        <v>#DIV/0!</v>
      </c>
      <c r="AQ62" s="322" t="e">
        <f>AP62*100/$AG$19</f>
        <v>#DIV/0!</v>
      </c>
      <c r="AR62" s="34"/>
      <c r="AS62" s="34"/>
    </row>
    <row r="63" spans="2:65" s="38" customFormat="1" hidden="1" x14ac:dyDescent="0.2">
      <c r="B63" s="340" t="b">
        <f>IF(E63&gt;0,14)</f>
        <v>0</v>
      </c>
      <c r="C63" s="86"/>
      <c r="D63" s="85"/>
      <c r="E63" s="255"/>
      <c r="F63" s="257">
        <f>(G62*$AB$12)/100</f>
        <v>0</v>
      </c>
      <c r="G63" s="87"/>
      <c r="H63" s="345"/>
      <c r="I63" s="243"/>
      <c r="J63" s="262"/>
      <c r="K63" s="265">
        <f>(L62*$AB$13)/100</f>
        <v>0</v>
      </c>
      <c r="L63" s="84"/>
      <c r="M63" s="345"/>
      <c r="N63" s="243"/>
      <c r="O63" s="262"/>
      <c r="P63" s="265">
        <f>(Q62*$AB$14)/100</f>
        <v>0</v>
      </c>
      <c r="Q63" s="87"/>
      <c r="R63" s="345"/>
      <c r="S63" s="262"/>
      <c r="T63" s="262"/>
      <c r="U63" s="263">
        <f>(V62*$AB$15)/100</f>
        <v>0</v>
      </c>
      <c r="V63" s="87"/>
      <c r="W63" s="345"/>
      <c r="X63" s="262"/>
      <c r="Y63" s="262"/>
      <c r="Z63" s="263">
        <f>(AA62*$AB$16)/100</f>
        <v>0</v>
      </c>
      <c r="AA63" s="87"/>
      <c r="AB63" s="345"/>
      <c r="AC63" s="262"/>
      <c r="AD63" s="262"/>
      <c r="AE63" s="263">
        <f>(AF62*$AB$17)/100</f>
        <v>0</v>
      </c>
      <c r="AF63" s="87"/>
      <c r="AG63" s="345"/>
      <c r="AH63" s="262"/>
      <c r="AI63" s="262"/>
      <c r="AJ63" s="263">
        <f>(AK62*$AB$18)/100</f>
        <v>0</v>
      </c>
      <c r="AK63" s="87"/>
      <c r="AL63" s="261"/>
      <c r="AM63" s="262"/>
      <c r="AN63" s="262"/>
      <c r="AO63" s="271"/>
      <c r="AP63" s="272"/>
      <c r="AQ63" s="322"/>
      <c r="AR63" s="34"/>
      <c r="AS63" s="34"/>
    </row>
    <row r="64" spans="2:65" s="38" customFormat="1" x14ac:dyDescent="0.2">
      <c r="B64" s="340" t="b">
        <f>IF(E64&gt;0,19)</f>
        <v>0</v>
      </c>
      <c r="C64" s="46"/>
      <c r="D64" s="47"/>
      <c r="E64" s="255"/>
      <c r="F64" s="258">
        <f>$AG$21*'FBM Results'!$C$23*E64</f>
        <v>0</v>
      </c>
      <c r="G64" s="255"/>
      <c r="H64" s="346" t="e">
        <f>(G64/E64)/$AG$21</f>
        <v>#DIV/0!</v>
      </c>
      <c r="I64" s="262" t="e">
        <f>IF(H64&lt;'FBM Results'!$C$23*0.9,1,0)</f>
        <v>#DIV/0!</v>
      </c>
      <c r="J64" s="262" t="e">
        <f>IF(H64&gt;'FBM Results'!$C$23*1.1,1,)</f>
        <v>#DIV/0!</v>
      </c>
      <c r="K64" s="264">
        <f>($W$13*$AG$21)*E64</f>
        <v>0</v>
      </c>
      <c r="L64" s="255"/>
      <c r="M64" s="346" t="e">
        <f>(L64/E64)/$AG$21</f>
        <v>#DIV/0!</v>
      </c>
      <c r="N64" s="262" t="e">
        <f>IF(M64&lt;'FBM Results'!$C$24*0.9,1,)</f>
        <v>#DIV/0!</v>
      </c>
      <c r="O64" s="262" t="e">
        <f>IF(M64&gt;'FBM Results'!$C$24*1.1,1,)</f>
        <v>#DIV/0!</v>
      </c>
      <c r="P64" s="264">
        <f>($W$14*$AG$21)*E64</f>
        <v>0</v>
      </c>
      <c r="Q64" s="255"/>
      <c r="R64" s="350" t="e">
        <f>(Q64/E64)/$AG$21</f>
        <v>#DIV/0!</v>
      </c>
      <c r="S64" s="262" t="e">
        <f>IF(R64&lt;'FBM Results'!$C$25*0.9,1,)</f>
        <v>#DIV/0!</v>
      </c>
      <c r="T64" s="262" t="e">
        <f>IF(R64&gt;'FBM Results'!$C$25*1.1,1,)</f>
        <v>#DIV/0!</v>
      </c>
      <c r="U64" s="264">
        <f>($W$15*$AG$21)*E64</f>
        <v>0</v>
      </c>
      <c r="V64" s="255"/>
      <c r="W64" s="350" t="e">
        <f>(V64/E64)/$AG$21</f>
        <v>#DIV/0!</v>
      </c>
      <c r="X64" s="262" t="e">
        <f>IF(W64&lt;'FBM Results'!$C$26*0.9,1,)</f>
        <v>#DIV/0!</v>
      </c>
      <c r="Y64" s="262" t="e">
        <f>IF(W64&gt;'FBM Results'!$C$26*1.1,1,)</f>
        <v>#DIV/0!</v>
      </c>
      <c r="Z64" s="264">
        <f>($W$16*$AG$21)*E64</f>
        <v>0</v>
      </c>
      <c r="AA64" s="255"/>
      <c r="AB64" s="350" t="e">
        <f>(AA64/$E64)/$AG$21</f>
        <v>#DIV/0!</v>
      </c>
      <c r="AC64" s="262" t="e">
        <f>IF(AB64&lt;'FBM Results'!$C$27*0.9,1,)</f>
        <v>#DIV/0!</v>
      </c>
      <c r="AD64" s="262" t="e">
        <f>IF(AB64&gt;'FBM Results'!$C$27*1.1,1,)</f>
        <v>#DIV/0!</v>
      </c>
      <c r="AE64" s="264">
        <f>$W$17*$AG$21*$E64</f>
        <v>0</v>
      </c>
      <c r="AF64" s="255"/>
      <c r="AG64" s="350" t="e">
        <f>(AF64/$E64)/$AG$21</f>
        <v>#DIV/0!</v>
      </c>
      <c r="AH64" s="262" t="e">
        <f>IF(AG64&lt;'FBM Results'!$C$28*0.9,1,)</f>
        <v>#DIV/0!</v>
      </c>
      <c r="AI64" s="262" t="e">
        <f>IF(AG64&gt;'FBM Results'!$C$28*1.1,1,)</f>
        <v>#DIV/0!</v>
      </c>
      <c r="AJ64" s="264">
        <f>$W$18*$AG$21*$E64</f>
        <v>0</v>
      </c>
      <c r="AK64" s="255"/>
      <c r="AL64" s="267" t="e">
        <f>(AK64/$E64)/$AG$21</f>
        <v>#DIV/0!</v>
      </c>
      <c r="AM64" s="262" t="e">
        <f>IF(AL64&lt;'FBM Results'!$C$29*0.9,1,)</f>
        <v>#DIV/0!</v>
      </c>
      <c r="AN64" s="262" t="e">
        <f>IF(AL64&gt;'FBM Results'!$C$29*1.1,1,)</f>
        <v>#DIV/0!</v>
      </c>
      <c r="AO64" s="271">
        <f>SUM(F65+K65+P65+U65+Z65+AE65+AJ65)</f>
        <v>0</v>
      </c>
      <c r="AP64" s="272" t="e">
        <f>(AO64/E64)/$AG$21</f>
        <v>#DIV/0!</v>
      </c>
      <c r="AQ64" s="322" t="e">
        <f>AP64*100/$AG$19</f>
        <v>#DIV/0!</v>
      </c>
      <c r="AR64" s="34"/>
      <c r="AS64" s="34"/>
    </row>
    <row r="65" spans="2:45" s="38" customFormat="1" hidden="1" x14ac:dyDescent="0.2">
      <c r="B65" s="340" t="b">
        <f>IF(E65&gt;0,14)</f>
        <v>0</v>
      </c>
      <c r="C65" s="86"/>
      <c r="D65" s="85"/>
      <c r="E65" s="255"/>
      <c r="F65" s="257">
        <f>(G64*$AB$12)/100</f>
        <v>0</v>
      </c>
      <c r="G65" s="87"/>
      <c r="H65" s="345"/>
      <c r="I65" s="243"/>
      <c r="J65" s="262"/>
      <c r="K65" s="265">
        <f>(L64*$AB$13)/100</f>
        <v>0</v>
      </c>
      <c r="L65" s="84"/>
      <c r="M65" s="345"/>
      <c r="N65" s="243"/>
      <c r="O65" s="262"/>
      <c r="P65" s="265">
        <f>(Q64*$AB$14)/100</f>
        <v>0</v>
      </c>
      <c r="Q65" s="87"/>
      <c r="R65" s="345"/>
      <c r="S65" s="262"/>
      <c r="T65" s="262"/>
      <c r="U65" s="263">
        <f>(V64*$AB$15)/100</f>
        <v>0</v>
      </c>
      <c r="V65" s="87"/>
      <c r="W65" s="345"/>
      <c r="X65" s="262"/>
      <c r="Y65" s="262"/>
      <c r="Z65" s="263">
        <f>(AA64*$AB$16)/100</f>
        <v>0</v>
      </c>
      <c r="AA65" s="87"/>
      <c r="AB65" s="345"/>
      <c r="AC65" s="262"/>
      <c r="AD65" s="262"/>
      <c r="AE65" s="263">
        <f>(AF64*$AB$17)/100</f>
        <v>0</v>
      </c>
      <c r="AF65" s="87"/>
      <c r="AG65" s="345"/>
      <c r="AH65" s="262"/>
      <c r="AI65" s="262"/>
      <c r="AJ65" s="263">
        <f>(AK64*$AB$18)/100</f>
        <v>0</v>
      </c>
      <c r="AK65" s="87"/>
      <c r="AL65" s="261"/>
      <c r="AM65" s="262"/>
      <c r="AN65" s="262"/>
      <c r="AO65" s="271"/>
      <c r="AP65" s="272"/>
      <c r="AQ65" s="322"/>
      <c r="AR65" s="34"/>
      <c r="AS65" s="34"/>
    </row>
    <row r="66" spans="2:45" s="38" customFormat="1" x14ac:dyDescent="0.2">
      <c r="B66" s="340" t="b">
        <f>IF(E66&gt;0,20)</f>
        <v>0</v>
      </c>
      <c r="C66" s="46"/>
      <c r="D66" s="47"/>
      <c r="E66" s="255"/>
      <c r="F66" s="258">
        <f>$AG$21*'FBM Results'!$C$23*E66</f>
        <v>0</v>
      </c>
      <c r="G66" s="255"/>
      <c r="H66" s="346" t="e">
        <f>(G66/E66)/$AG$21</f>
        <v>#DIV/0!</v>
      </c>
      <c r="I66" s="262" t="e">
        <f>IF(H66&lt;'FBM Results'!$C$23*0.9,1,0)</f>
        <v>#DIV/0!</v>
      </c>
      <c r="J66" s="262" t="e">
        <f>IF(H66&gt;'FBM Results'!$C$23*1.1,1,)</f>
        <v>#DIV/0!</v>
      </c>
      <c r="K66" s="264">
        <f>($W$13*$AG$21)*E66</f>
        <v>0</v>
      </c>
      <c r="L66" s="255"/>
      <c r="M66" s="346" t="e">
        <f>(L66/E66)/$AG$21</f>
        <v>#DIV/0!</v>
      </c>
      <c r="N66" s="262" t="e">
        <f>IF(M66&lt;'FBM Results'!$C$24*0.9,1,)</f>
        <v>#DIV/0!</v>
      </c>
      <c r="O66" s="262" t="e">
        <f>IF(M66&gt;'FBM Results'!$C$24*1.1,1,)</f>
        <v>#DIV/0!</v>
      </c>
      <c r="P66" s="264">
        <f>($W$14*$AG$21)*E66</f>
        <v>0</v>
      </c>
      <c r="Q66" s="255"/>
      <c r="R66" s="350" t="e">
        <f>(Q66/E66)/$AG$21</f>
        <v>#DIV/0!</v>
      </c>
      <c r="S66" s="262" t="e">
        <f>IF(R66&lt;'FBM Results'!$C$25*0.9,1,)</f>
        <v>#DIV/0!</v>
      </c>
      <c r="T66" s="262" t="e">
        <f>IF(R66&gt;'FBM Results'!$C$25*1.1,1,)</f>
        <v>#DIV/0!</v>
      </c>
      <c r="U66" s="264">
        <f>($W$15*$AG$21)*E66</f>
        <v>0</v>
      </c>
      <c r="V66" s="255"/>
      <c r="W66" s="350" t="e">
        <f>(V66/E66)/$AG$21</f>
        <v>#DIV/0!</v>
      </c>
      <c r="X66" s="262" t="e">
        <f>IF(W66&lt;'FBM Results'!$C$26*0.9,1,)</f>
        <v>#DIV/0!</v>
      </c>
      <c r="Y66" s="262" t="e">
        <f>IF(W66&gt;'FBM Results'!$C$26*1.1,1,)</f>
        <v>#DIV/0!</v>
      </c>
      <c r="Z66" s="264">
        <f>($W$16*$AG$21)*E66</f>
        <v>0</v>
      </c>
      <c r="AA66" s="255"/>
      <c r="AB66" s="350" t="e">
        <f>(AA66/$E66)/$AG$21</f>
        <v>#DIV/0!</v>
      </c>
      <c r="AC66" s="262" t="e">
        <f>IF(AB66&lt;'FBM Results'!$C$27*0.9,1,)</f>
        <v>#DIV/0!</v>
      </c>
      <c r="AD66" s="262" t="e">
        <f>IF(AB66&gt;'FBM Results'!$C$27*1.1,1,)</f>
        <v>#DIV/0!</v>
      </c>
      <c r="AE66" s="264">
        <f>$W$17*$AG$21*$E66</f>
        <v>0</v>
      </c>
      <c r="AF66" s="255"/>
      <c r="AG66" s="350" t="e">
        <f>(AF66/$E66)/$AG$21</f>
        <v>#DIV/0!</v>
      </c>
      <c r="AH66" s="262" t="e">
        <f>IF(AG66&lt;'FBM Results'!$C$28*0.9,1,)</f>
        <v>#DIV/0!</v>
      </c>
      <c r="AI66" s="262" t="e">
        <f>IF(AG66&gt;'FBM Results'!$C$28*1.1,1,)</f>
        <v>#DIV/0!</v>
      </c>
      <c r="AJ66" s="264">
        <f>$W$18*$AG$21*$E66</f>
        <v>0</v>
      </c>
      <c r="AK66" s="255"/>
      <c r="AL66" s="267" t="e">
        <f>(AK66/$E66)/$AG$21</f>
        <v>#DIV/0!</v>
      </c>
      <c r="AM66" s="262" t="e">
        <f>IF(AL66&lt;'FBM Results'!$C$29*0.9,1,)</f>
        <v>#DIV/0!</v>
      </c>
      <c r="AN66" s="262" t="e">
        <f>IF(AL66&gt;'FBM Results'!$C$29*1.1,1,)</f>
        <v>#DIV/0!</v>
      </c>
      <c r="AO66" s="271">
        <f>SUM(F67+K67+P67+U67+Z67+AE67+AJ67)</f>
        <v>0</v>
      </c>
      <c r="AP66" s="272" t="e">
        <f>(AO66/E66)/$AG$21</f>
        <v>#DIV/0!</v>
      </c>
      <c r="AQ66" s="322" t="e">
        <f>AP66*100/$AG$19</f>
        <v>#DIV/0!</v>
      </c>
      <c r="AR66" s="34"/>
      <c r="AS66" s="34"/>
    </row>
    <row r="67" spans="2:45" s="38" customFormat="1" hidden="1" x14ac:dyDescent="0.2">
      <c r="B67" s="340" t="b">
        <f>IF(E67&gt;0,14)</f>
        <v>0</v>
      </c>
      <c r="C67" s="86"/>
      <c r="D67" s="85"/>
      <c r="E67" s="255"/>
      <c r="F67" s="257">
        <f>(G66*$AB$12)/100</f>
        <v>0</v>
      </c>
      <c r="G67" s="87"/>
      <c r="H67" s="345"/>
      <c r="I67" s="243"/>
      <c r="J67" s="262"/>
      <c r="K67" s="265">
        <f>(L66*$AB$13)/100</f>
        <v>0</v>
      </c>
      <c r="L67" s="84"/>
      <c r="M67" s="345"/>
      <c r="N67" s="243"/>
      <c r="O67" s="262"/>
      <c r="P67" s="265">
        <f>(Q66*$AB$14)/100</f>
        <v>0</v>
      </c>
      <c r="Q67" s="87"/>
      <c r="R67" s="345"/>
      <c r="S67" s="262"/>
      <c r="T67" s="262"/>
      <c r="U67" s="263">
        <f>(V66*$AB$15)/100</f>
        <v>0</v>
      </c>
      <c r="V67" s="87"/>
      <c r="W67" s="345"/>
      <c r="X67" s="262"/>
      <c r="Y67" s="262"/>
      <c r="Z67" s="263">
        <f>(AA66*$AB$16)/100</f>
        <v>0</v>
      </c>
      <c r="AA67" s="87"/>
      <c r="AB67" s="345"/>
      <c r="AC67" s="262"/>
      <c r="AD67" s="262"/>
      <c r="AE67" s="263">
        <f>(AF66*$AB$17)/100</f>
        <v>0</v>
      </c>
      <c r="AF67" s="87"/>
      <c r="AG67" s="345"/>
      <c r="AH67" s="262"/>
      <c r="AI67" s="262"/>
      <c r="AJ67" s="263">
        <f>(AK66*$AB$18)/100</f>
        <v>0</v>
      </c>
      <c r="AK67" s="87"/>
      <c r="AL67" s="261"/>
      <c r="AM67" s="262"/>
      <c r="AN67" s="262"/>
      <c r="AO67" s="271"/>
      <c r="AP67" s="272"/>
      <c r="AQ67" s="322"/>
      <c r="AR67" s="34"/>
      <c r="AS67" s="34"/>
    </row>
    <row r="68" spans="2:45" s="38" customFormat="1" x14ac:dyDescent="0.2">
      <c r="B68" s="340" t="b">
        <f>IF(E68&gt;0,21)</f>
        <v>0</v>
      </c>
      <c r="C68" s="48"/>
      <c r="D68" s="49"/>
      <c r="E68" s="255"/>
      <c r="F68" s="258">
        <f>$AG$21*'FBM Results'!$C$23*E68</f>
        <v>0</v>
      </c>
      <c r="G68" s="255"/>
      <c r="H68" s="346" t="e">
        <f>(G68/E68)/$AG$21</f>
        <v>#DIV/0!</v>
      </c>
      <c r="I68" s="262" t="e">
        <f>IF(H68&lt;'FBM Results'!$C$23*0.9,1,0)</f>
        <v>#DIV/0!</v>
      </c>
      <c r="J68" s="262" t="e">
        <f>IF(H68&gt;'FBM Results'!$C$23*1.1,1,)</f>
        <v>#DIV/0!</v>
      </c>
      <c r="K68" s="264">
        <f>($W$13*$AG$21)*E68</f>
        <v>0</v>
      </c>
      <c r="L68" s="255"/>
      <c r="M68" s="346" t="e">
        <f>(L68/E68)/$AG$21</f>
        <v>#DIV/0!</v>
      </c>
      <c r="N68" s="262" t="e">
        <f>IF(M68&lt;'FBM Results'!$C$24*0.9,1,)</f>
        <v>#DIV/0!</v>
      </c>
      <c r="O68" s="262" t="e">
        <f>IF(M68&gt;'FBM Results'!$C$24*1.1,1,)</f>
        <v>#DIV/0!</v>
      </c>
      <c r="P68" s="264">
        <f>($W$14*$AG$21)*E68</f>
        <v>0</v>
      </c>
      <c r="Q68" s="255"/>
      <c r="R68" s="350" t="e">
        <f>(Q68/E68)/$AG$21</f>
        <v>#DIV/0!</v>
      </c>
      <c r="S68" s="262" t="e">
        <f>IF(R68&lt;'FBM Results'!$C$25*0.9,1,)</f>
        <v>#DIV/0!</v>
      </c>
      <c r="T68" s="262" t="e">
        <f>IF(R68&gt;'FBM Results'!$C$25*1.1,1,)</f>
        <v>#DIV/0!</v>
      </c>
      <c r="U68" s="264">
        <f>($W$15*$AG$21)*E68</f>
        <v>0</v>
      </c>
      <c r="V68" s="255"/>
      <c r="W68" s="350" t="e">
        <f>(V68/E68)/$AG$21</f>
        <v>#DIV/0!</v>
      </c>
      <c r="X68" s="262" t="e">
        <f>IF(W68&lt;'FBM Results'!$C$26*0.9,1,)</f>
        <v>#DIV/0!</v>
      </c>
      <c r="Y68" s="262" t="e">
        <f>IF(W68&gt;'FBM Results'!$C$26*1.1,1,)</f>
        <v>#DIV/0!</v>
      </c>
      <c r="Z68" s="264">
        <f>($W$16*$AG$21)*E68</f>
        <v>0</v>
      </c>
      <c r="AA68" s="255"/>
      <c r="AB68" s="350" t="e">
        <f>(AA68/$E68)/$AG$21</f>
        <v>#DIV/0!</v>
      </c>
      <c r="AC68" s="262" t="e">
        <f>IF(AB68&lt;'FBM Results'!$C$27*0.9,1,)</f>
        <v>#DIV/0!</v>
      </c>
      <c r="AD68" s="262" t="e">
        <f>IF(AB68&gt;'FBM Results'!$C$27*1.1,1,)</f>
        <v>#DIV/0!</v>
      </c>
      <c r="AE68" s="264">
        <f>$W$17*$AG$21*$E68</f>
        <v>0</v>
      </c>
      <c r="AF68" s="255"/>
      <c r="AG68" s="350" t="e">
        <f>(AF68/$E68)/$AG$21</f>
        <v>#DIV/0!</v>
      </c>
      <c r="AH68" s="262" t="e">
        <f>IF(AG68&lt;'FBM Results'!$C$28*0.9,1,)</f>
        <v>#DIV/0!</v>
      </c>
      <c r="AI68" s="262" t="e">
        <f>IF(AG68&gt;'FBM Results'!$C$28*1.1,1,)</f>
        <v>#DIV/0!</v>
      </c>
      <c r="AJ68" s="264">
        <f>$W$18*$AG$21*$E68</f>
        <v>0</v>
      </c>
      <c r="AK68" s="255"/>
      <c r="AL68" s="267" t="e">
        <f>(AK68/$E68)/$AG$21</f>
        <v>#DIV/0!</v>
      </c>
      <c r="AM68" s="262" t="e">
        <f>IF(AL68&lt;'FBM Results'!$C$29*0.9,1,)</f>
        <v>#DIV/0!</v>
      </c>
      <c r="AN68" s="262" t="e">
        <f>IF(AL68&gt;'FBM Results'!$C$29*1.1,1,)</f>
        <v>#DIV/0!</v>
      </c>
      <c r="AO68" s="271">
        <f>SUM(F69+K69+P69+U69+Z69+AE69+AJ69)</f>
        <v>0</v>
      </c>
      <c r="AP68" s="272" t="e">
        <f>(AO68/E68)/$AG$21</f>
        <v>#DIV/0!</v>
      </c>
      <c r="AQ68" s="322" t="e">
        <f>AP68*100/$AG$19</f>
        <v>#DIV/0!</v>
      </c>
      <c r="AR68" s="34"/>
      <c r="AS68" s="34"/>
    </row>
    <row r="69" spans="2:45" s="38" customFormat="1" hidden="1" x14ac:dyDescent="0.2">
      <c r="B69" s="340" t="b">
        <f>IF(E69&gt;0,14)</f>
        <v>0</v>
      </c>
      <c r="C69" s="86"/>
      <c r="D69" s="85"/>
      <c r="E69" s="255"/>
      <c r="F69" s="257">
        <f>(G68*$AB$12)/100</f>
        <v>0</v>
      </c>
      <c r="G69" s="87"/>
      <c r="H69" s="345"/>
      <c r="I69" s="243"/>
      <c r="J69" s="262"/>
      <c r="K69" s="265">
        <f>(L68*$AB$13)/100</f>
        <v>0</v>
      </c>
      <c r="L69" s="84"/>
      <c r="M69" s="345"/>
      <c r="N69" s="243"/>
      <c r="O69" s="262"/>
      <c r="P69" s="265">
        <f>(Q68*$AB$14)/100</f>
        <v>0</v>
      </c>
      <c r="Q69" s="87"/>
      <c r="R69" s="345"/>
      <c r="S69" s="262"/>
      <c r="T69" s="262"/>
      <c r="U69" s="263">
        <f>(V68*$AB$15)/100</f>
        <v>0</v>
      </c>
      <c r="V69" s="87"/>
      <c r="W69" s="345"/>
      <c r="X69" s="262"/>
      <c r="Y69" s="262"/>
      <c r="Z69" s="263">
        <f>(AA68*$AB$16)/100</f>
        <v>0</v>
      </c>
      <c r="AA69" s="87"/>
      <c r="AB69" s="345"/>
      <c r="AC69" s="262"/>
      <c r="AD69" s="262"/>
      <c r="AE69" s="263">
        <f>(AF68*$AB$17)/100</f>
        <v>0</v>
      </c>
      <c r="AF69" s="87"/>
      <c r="AG69" s="345"/>
      <c r="AH69" s="262"/>
      <c r="AI69" s="262"/>
      <c r="AJ69" s="263">
        <f>(AK68*$AB$18)/100</f>
        <v>0</v>
      </c>
      <c r="AK69" s="87"/>
      <c r="AL69" s="261"/>
      <c r="AM69" s="262"/>
      <c r="AN69" s="262"/>
      <c r="AO69" s="271"/>
      <c r="AP69" s="272"/>
      <c r="AQ69" s="322"/>
      <c r="AR69" s="34"/>
      <c r="AS69" s="34"/>
    </row>
    <row r="70" spans="2:45" s="38" customFormat="1" x14ac:dyDescent="0.2">
      <c r="B70" s="340" t="b">
        <f>IF(E70&gt;0,22)</f>
        <v>0</v>
      </c>
      <c r="C70" s="46"/>
      <c r="D70" s="47"/>
      <c r="E70" s="255"/>
      <c r="F70" s="258">
        <f>$AG$21*'FBM Results'!$C$23*E70</f>
        <v>0</v>
      </c>
      <c r="G70" s="255"/>
      <c r="H70" s="346" t="e">
        <f>(G70/E70)/$AG$21</f>
        <v>#DIV/0!</v>
      </c>
      <c r="I70" s="262" t="e">
        <f>IF(H70&lt;'FBM Results'!$C$23*0.9,1,0)</f>
        <v>#DIV/0!</v>
      </c>
      <c r="J70" s="262" t="e">
        <f>IF(H70&gt;'FBM Results'!$C$23*1.1,1,)</f>
        <v>#DIV/0!</v>
      </c>
      <c r="K70" s="264">
        <f>($W$13*$AG$21)*E70</f>
        <v>0</v>
      </c>
      <c r="L70" s="255"/>
      <c r="M70" s="346" t="e">
        <f>(L70/E70)/$AG$21</f>
        <v>#DIV/0!</v>
      </c>
      <c r="N70" s="262" t="e">
        <f>IF(M70&lt;'FBM Results'!$C$24*0.9,1,)</f>
        <v>#DIV/0!</v>
      </c>
      <c r="O70" s="262" t="e">
        <f>IF(M70&gt;'FBM Results'!$C$24*1.1,1,)</f>
        <v>#DIV/0!</v>
      </c>
      <c r="P70" s="264">
        <f>($W$14*$AG$21)*E70</f>
        <v>0</v>
      </c>
      <c r="Q70" s="255"/>
      <c r="R70" s="350" t="e">
        <f>(Q70/E70)/$AG$21</f>
        <v>#DIV/0!</v>
      </c>
      <c r="S70" s="262" t="e">
        <f>IF(R70&lt;'FBM Results'!$C$25*0.9,1,)</f>
        <v>#DIV/0!</v>
      </c>
      <c r="T70" s="262" t="e">
        <f>IF(R70&gt;'FBM Results'!$C$25*1.1,1,)</f>
        <v>#DIV/0!</v>
      </c>
      <c r="U70" s="264">
        <f>($W$15*$AG$21)*E70</f>
        <v>0</v>
      </c>
      <c r="V70" s="255"/>
      <c r="W70" s="350" t="e">
        <f>(V70/E70)/$AG$21</f>
        <v>#DIV/0!</v>
      </c>
      <c r="X70" s="262" t="e">
        <f>IF(W70&lt;'FBM Results'!$C$26*0.9,1,)</f>
        <v>#DIV/0!</v>
      </c>
      <c r="Y70" s="262" t="e">
        <f>IF(W70&gt;'FBM Results'!$C$26*1.1,1,)</f>
        <v>#DIV/0!</v>
      </c>
      <c r="Z70" s="264">
        <f>($W$16*$AG$21)*E70</f>
        <v>0</v>
      </c>
      <c r="AA70" s="255"/>
      <c r="AB70" s="350" t="e">
        <f>(AA70/$E70)/$AG$21</f>
        <v>#DIV/0!</v>
      </c>
      <c r="AC70" s="262" t="e">
        <f>IF(AB70&lt;'FBM Results'!$C$27*0.9,1,)</f>
        <v>#DIV/0!</v>
      </c>
      <c r="AD70" s="262" t="e">
        <f>IF(AB70&gt;'FBM Results'!$C$27*1.1,1,)</f>
        <v>#DIV/0!</v>
      </c>
      <c r="AE70" s="264">
        <f>$W$17*$AG$21*$E70</f>
        <v>0</v>
      </c>
      <c r="AF70" s="255"/>
      <c r="AG70" s="350" t="e">
        <f>(AF70/$E70)/$AG$21</f>
        <v>#DIV/0!</v>
      </c>
      <c r="AH70" s="262" t="e">
        <f>IF(AG70&lt;'FBM Results'!$C$28*0.9,1,)</f>
        <v>#DIV/0!</v>
      </c>
      <c r="AI70" s="262" t="e">
        <f>IF(AG70&gt;'FBM Results'!$C$28*1.1,1,)</f>
        <v>#DIV/0!</v>
      </c>
      <c r="AJ70" s="264">
        <f>$W$18*$AG$21*$E70</f>
        <v>0</v>
      </c>
      <c r="AK70" s="255"/>
      <c r="AL70" s="267" t="e">
        <f>(AK70/$E70)/$AG$21</f>
        <v>#DIV/0!</v>
      </c>
      <c r="AM70" s="262" t="e">
        <f>IF(AL70&lt;'FBM Results'!$C$29*0.9,1,)</f>
        <v>#DIV/0!</v>
      </c>
      <c r="AN70" s="262" t="e">
        <f>IF(AL70&gt;'FBM Results'!$C$29*1.1,1,)</f>
        <v>#DIV/0!</v>
      </c>
      <c r="AO70" s="271">
        <f>SUM(F71+K71+P71+U71+Z71+AE71+AJ71)</f>
        <v>0</v>
      </c>
      <c r="AP70" s="272" t="e">
        <f>(AO70/E70)/$AG$21</f>
        <v>#DIV/0!</v>
      </c>
      <c r="AQ70" s="322" t="e">
        <f>AP70*100/$AG$19</f>
        <v>#DIV/0!</v>
      </c>
      <c r="AR70" s="34"/>
      <c r="AS70" s="34"/>
    </row>
    <row r="71" spans="2:45" s="38" customFormat="1" hidden="1" x14ac:dyDescent="0.2">
      <c r="B71" s="340" t="b">
        <f>IF(E71&gt;0,14)</f>
        <v>0</v>
      </c>
      <c r="C71" s="86"/>
      <c r="D71" s="85"/>
      <c r="E71" s="255"/>
      <c r="F71" s="257">
        <f>(G70*$AB$12)/100</f>
        <v>0</v>
      </c>
      <c r="G71" s="87"/>
      <c r="H71" s="345"/>
      <c r="I71" s="243"/>
      <c r="J71" s="262"/>
      <c r="K71" s="265">
        <f>(L70*$AB$13)/100</f>
        <v>0</v>
      </c>
      <c r="L71" s="84"/>
      <c r="M71" s="345"/>
      <c r="N71" s="243"/>
      <c r="O71" s="262"/>
      <c r="P71" s="265">
        <f>(Q70*$AB$14)/100</f>
        <v>0</v>
      </c>
      <c r="Q71" s="87"/>
      <c r="R71" s="345"/>
      <c r="S71" s="262"/>
      <c r="T71" s="262"/>
      <c r="U71" s="263">
        <f>(V70*$AB$15)/100</f>
        <v>0</v>
      </c>
      <c r="V71" s="87"/>
      <c r="W71" s="345"/>
      <c r="X71" s="262"/>
      <c r="Y71" s="262"/>
      <c r="Z71" s="263">
        <f>(AA70*$AB$16)/100</f>
        <v>0</v>
      </c>
      <c r="AA71" s="87"/>
      <c r="AB71" s="345"/>
      <c r="AC71" s="262"/>
      <c r="AD71" s="262"/>
      <c r="AE71" s="263">
        <f>(AF70*$AB$17)/100</f>
        <v>0</v>
      </c>
      <c r="AF71" s="87"/>
      <c r="AG71" s="345"/>
      <c r="AH71" s="262"/>
      <c r="AI71" s="262"/>
      <c r="AJ71" s="263">
        <f>(AK70*$AB$18)/100</f>
        <v>0</v>
      </c>
      <c r="AK71" s="87"/>
      <c r="AL71" s="261"/>
      <c r="AM71" s="262"/>
      <c r="AN71" s="262"/>
      <c r="AO71" s="271"/>
      <c r="AP71" s="272"/>
      <c r="AQ71" s="322"/>
      <c r="AR71" s="34"/>
      <c r="AS71" s="34"/>
    </row>
    <row r="72" spans="2:45" s="38" customFormat="1" x14ac:dyDescent="0.2">
      <c r="B72" s="340" t="b">
        <f>IF(E72&gt;0,23)</f>
        <v>0</v>
      </c>
      <c r="C72" s="46"/>
      <c r="D72" s="47"/>
      <c r="E72" s="255"/>
      <c r="F72" s="258">
        <f>$AG$21*'FBM Results'!$C$23*E72</f>
        <v>0</v>
      </c>
      <c r="G72" s="255"/>
      <c r="H72" s="346" t="e">
        <f>(G72/E72)/$AG$21</f>
        <v>#DIV/0!</v>
      </c>
      <c r="I72" s="262" t="e">
        <f>IF(H72&lt;'FBM Results'!$C$23*0.9,1,0)</f>
        <v>#DIV/0!</v>
      </c>
      <c r="J72" s="262" t="e">
        <f>IF(H72&gt;'FBM Results'!$C$23*1.1,1,)</f>
        <v>#DIV/0!</v>
      </c>
      <c r="K72" s="264">
        <f>($W$13*$AG$21)*E72</f>
        <v>0</v>
      </c>
      <c r="L72" s="255"/>
      <c r="M72" s="346" t="e">
        <f>(L72/E72)/$AG$21</f>
        <v>#DIV/0!</v>
      </c>
      <c r="N72" s="262" t="e">
        <f>IF(M72&lt;'FBM Results'!$C$24*0.9,1,)</f>
        <v>#DIV/0!</v>
      </c>
      <c r="O72" s="262" t="e">
        <f>IF(M72&gt;'FBM Results'!$C$24*1.1,1,)</f>
        <v>#DIV/0!</v>
      </c>
      <c r="P72" s="264">
        <f>($W$14*$AG$21)*E72</f>
        <v>0</v>
      </c>
      <c r="Q72" s="255"/>
      <c r="R72" s="350" t="e">
        <f>(Q72/E72)/$AG$21</f>
        <v>#DIV/0!</v>
      </c>
      <c r="S72" s="262" t="e">
        <f>IF(R72&lt;'FBM Results'!$C$25*0.9,1,)</f>
        <v>#DIV/0!</v>
      </c>
      <c r="T72" s="262" t="e">
        <f>IF(R72&gt;'FBM Results'!$C$25*1.1,1,)</f>
        <v>#DIV/0!</v>
      </c>
      <c r="U72" s="264">
        <f>($W$15*$AG$21)*E72</f>
        <v>0</v>
      </c>
      <c r="V72" s="255"/>
      <c r="W72" s="350" t="e">
        <f>(V72/E72)/$AG$21</f>
        <v>#DIV/0!</v>
      </c>
      <c r="X72" s="262" t="e">
        <f>IF(W72&lt;'FBM Results'!$C$26*0.9,1,)</f>
        <v>#DIV/0!</v>
      </c>
      <c r="Y72" s="262" t="e">
        <f>IF(W72&gt;'FBM Results'!$C$26*1.1,1,)</f>
        <v>#DIV/0!</v>
      </c>
      <c r="Z72" s="264">
        <f>($W$16*$AG$21)*E72</f>
        <v>0</v>
      </c>
      <c r="AA72" s="255"/>
      <c r="AB72" s="350" t="e">
        <f>(AA72/$E72)/$AG$21</f>
        <v>#DIV/0!</v>
      </c>
      <c r="AC72" s="262" t="e">
        <f>IF(AB72&lt;'FBM Results'!$C$27*0.9,1,)</f>
        <v>#DIV/0!</v>
      </c>
      <c r="AD72" s="262" t="e">
        <f>IF(AB72&gt;'FBM Results'!$C$27*1.1,1,)</f>
        <v>#DIV/0!</v>
      </c>
      <c r="AE72" s="264">
        <f>$W$17*$AG$21*$E72</f>
        <v>0</v>
      </c>
      <c r="AF72" s="255"/>
      <c r="AG72" s="350" t="e">
        <f>(AF72/$E72)/$AG$21</f>
        <v>#DIV/0!</v>
      </c>
      <c r="AH72" s="262" t="e">
        <f>IF(AG72&lt;'FBM Results'!$C$28*0.9,1,)</f>
        <v>#DIV/0!</v>
      </c>
      <c r="AI72" s="262" t="e">
        <f>IF(AG72&gt;'FBM Results'!$C$28*1.1,1,)</f>
        <v>#DIV/0!</v>
      </c>
      <c r="AJ72" s="264">
        <f>$W$18*$AG$21*$E72</f>
        <v>0</v>
      </c>
      <c r="AK72" s="255"/>
      <c r="AL72" s="267" t="e">
        <f>(AK72/$E72)/$AG$21</f>
        <v>#DIV/0!</v>
      </c>
      <c r="AM72" s="262" t="e">
        <f>IF(AL72&lt;'FBM Results'!$C$29*0.9,1,)</f>
        <v>#DIV/0!</v>
      </c>
      <c r="AN72" s="262" t="e">
        <f>IF(AL72&gt;'FBM Results'!$C$29*1.1,1,)</f>
        <v>#DIV/0!</v>
      </c>
      <c r="AO72" s="271">
        <f>SUM(F73+K73+P73+U73+Z73+AE73+AJ73)</f>
        <v>0</v>
      </c>
      <c r="AP72" s="272" t="e">
        <f>(AO72/E72)/$AG$21</f>
        <v>#DIV/0!</v>
      </c>
      <c r="AQ72" s="322" t="e">
        <f>AP72*100/$AG$19</f>
        <v>#DIV/0!</v>
      </c>
      <c r="AR72" s="34"/>
      <c r="AS72" s="34"/>
    </row>
    <row r="73" spans="2:45" s="38" customFormat="1" hidden="1" x14ac:dyDescent="0.2">
      <c r="B73" s="340"/>
      <c r="C73" s="86"/>
      <c r="D73" s="85"/>
      <c r="E73" s="255"/>
      <c r="F73" s="257">
        <f>(G72*$AB$12)/100</f>
        <v>0</v>
      </c>
      <c r="G73" s="87"/>
      <c r="H73" s="345"/>
      <c r="I73" s="243"/>
      <c r="J73" s="262"/>
      <c r="K73" s="265">
        <f>(L72*$AB$13)/100</f>
        <v>0</v>
      </c>
      <c r="L73" s="84"/>
      <c r="M73" s="345"/>
      <c r="N73" s="243"/>
      <c r="O73" s="262"/>
      <c r="P73" s="265">
        <f>(Q72*$AB$14)/100</f>
        <v>0</v>
      </c>
      <c r="Q73" s="87"/>
      <c r="R73" s="345"/>
      <c r="S73" s="262"/>
      <c r="T73" s="262"/>
      <c r="U73" s="263">
        <f>(V72*$AB$15)/100</f>
        <v>0</v>
      </c>
      <c r="V73" s="87"/>
      <c r="W73" s="345"/>
      <c r="X73" s="262"/>
      <c r="Y73" s="262"/>
      <c r="Z73" s="263">
        <f>(AA72*$AB$16)/100</f>
        <v>0</v>
      </c>
      <c r="AA73" s="87"/>
      <c r="AB73" s="345"/>
      <c r="AC73" s="262"/>
      <c r="AD73" s="262"/>
      <c r="AE73" s="263">
        <f>(AF72*$AB$17)/100</f>
        <v>0</v>
      </c>
      <c r="AF73" s="87"/>
      <c r="AG73" s="345"/>
      <c r="AH73" s="262"/>
      <c r="AI73" s="262"/>
      <c r="AJ73" s="263">
        <f>(AK72*$AB$18)/100</f>
        <v>0</v>
      </c>
      <c r="AK73" s="87"/>
      <c r="AL73" s="261"/>
      <c r="AM73" s="262"/>
      <c r="AN73" s="262"/>
      <c r="AO73" s="271"/>
      <c r="AP73" s="272"/>
      <c r="AQ73" s="322"/>
      <c r="AR73" s="34"/>
      <c r="AS73" s="34"/>
    </row>
    <row r="74" spans="2:45" s="38" customFormat="1" x14ac:dyDescent="0.2">
      <c r="B74" s="340" t="b">
        <f>IF(E74&gt;0,24)</f>
        <v>0</v>
      </c>
      <c r="C74" s="46"/>
      <c r="D74" s="47"/>
      <c r="E74" s="255"/>
      <c r="F74" s="258">
        <f>$AG$21*'FBM Results'!$C$23*E74</f>
        <v>0</v>
      </c>
      <c r="G74" s="255"/>
      <c r="H74" s="346" t="e">
        <f>(G74/E74)/$AG$21</f>
        <v>#DIV/0!</v>
      </c>
      <c r="I74" s="262" t="e">
        <f>IF(H74&lt;'FBM Results'!$C$23*0.9,1,0)</f>
        <v>#DIV/0!</v>
      </c>
      <c r="J74" s="262" t="e">
        <f>IF(H74&gt;'FBM Results'!$C$23*1.1,1,)</f>
        <v>#DIV/0!</v>
      </c>
      <c r="K74" s="264">
        <f>($W$13*$AG$21)*E74</f>
        <v>0</v>
      </c>
      <c r="L74" s="255"/>
      <c r="M74" s="346" t="e">
        <f>(L74/E74)/$AG$21</f>
        <v>#DIV/0!</v>
      </c>
      <c r="N74" s="262" t="e">
        <f>IF(M74&lt;'FBM Results'!$C$24*0.9,1,)</f>
        <v>#DIV/0!</v>
      </c>
      <c r="O74" s="262" t="e">
        <f>IF(M74&gt;'FBM Results'!$C$24*1.1,1,)</f>
        <v>#DIV/0!</v>
      </c>
      <c r="P74" s="264">
        <f>($W$14*$AG$21)*E74</f>
        <v>0</v>
      </c>
      <c r="Q74" s="255"/>
      <c r="R74" s="350" t="e">
        <f>(Q74/E74)/$AG$21</f>
        <v>#DIV/0!</v>
      </c>
      <c r="S74" s="262" t="e">
        <f>IF(R74&lt;'FBM Results'!$C$25*0.9,1,)</f>
        <v>#DIV/0!</v>
      </c>
      <c r="T74" s="262" t="e">
        <f>IF(R74&gt;'FBM Results'!$C$25*1.1,1,)</f>
        <v>#DIV/0!</v>
      </c>
      <c r="U74" s="264">
        <f>($W$15*$AG$21)*E74</f>
        <v>0</v>
      </c>
      <c r="V74" s="255"/>
      <c r="W74" s="350" t="e">
        <f>(V74/E74)/$AG$21</f>
        <v>#DIV/0!</v>
      </c>
      <c r="X74" s="262" t="e">
        <f>IF(W74&lt;'FBM Results'!$C$26*0.9,1,)</f>
        <v>#DIV/0!</v>
      </c>
      <c r="Y74" s="262" t="e">
        <f>IF(W74&gt;'FBM Results'!$C$26*1.1,1,)</f>
        <v>#DIV/0!</v>
      </c>
      <c r="Z74" s="264">
        <f>($W$16*$AG$21)*E74</f>
        <v>0</v>
      </c>
      <c r="AA74" s="255"/>
      <c r="AB74" s="350" t="e">
        <f>(AA74/$E74)/$AG$21</f>
        <v>#DIV/0!</v>
      </c>
      <c r="AC74" s="262" t="e">
        <f>IF(AB74&lt;'FBM Results'!$C$27*0.9,1,)</f>
        <v>#DIV/0!</v>
      </c>
      <c r="AD74" s="262" t="e">
        <f>IF(AB74&gt;'FBM Results'!$C$27*1.1,1,)</f>
        <v>#DIV/0!</v>
      </c>
      <c r="AE74" s="264">
        <f>$W$17*$AG$21*$E74</f>
        <v>0</v>
      </c>
      <c r="AF74" s="255"/>
      <c r="AG74" s="350" t="e">
        <f>(AF74/$E74)/$AG$21</f>
        <v>#DIV/0!</v>
      </c>
      <c r="AH74" s="262" t="e">
        <f>IF(AG74&lt;'FBM Results'!$C$28*0.9,1,)</f>
        <v>#DIV/0!</v>
      </c>
      <c r="AI74" s="262" t="e">
        <f>IF(AG74&gt;'FBM Results'!$C$28*1.1,1,)</f>
        <v>#DIV/0!</v>
      </c>
      <c r="AJ74" s="264">
        <f>$W$18*$AG$21*$E74</f>
        <v>0</v>
      </c>
      <c r="AK74" s="255"/>
      <c r="AL74" s="267" t="e">
        <f>(AK74/$E74)/$AG$21</f>
        <v>#DIV/0!</v>
      </c>
      <c r="AM74" s="262" t="e">
        <f>IF(AL74&lt;'FBM Results'!$C$29*0.9,1,)</f>
        <v>#DIV/0!</v>
      </c>
      <c r="AN74" s="262" t="e">
        <f>IF(AL74&gt;'FBM Results'!$C$29*1.1,1,)</f>
        <v>#DIV/0!</v>
      </c>
      <c r="AO74" s="271">
        <f>SUM(F75+K75+P75+U75+Z75+AE75+AJ75)</f>
        <v>0</v>
      </c>
      <c r="AP74" s="272" t="e">
        <f>(AO74/E74)/$AG$21</f>
        <v>#DIV/0!</v>
      </c>
      <c r="AQ74" s="322" t="e">
        <f>AP74*100/$AG$19</f>
        <v>#DIV/0!</v>
      </c>
      <c r="AR74" s="34"/>
      <c r="AS74" s="34"/>
    </row>
    <row r="75" spans="2:45" s="38" customFormat="1" hidden="1" x14ac:dyDescent="0.2">
      <c r="B75" s="340" t="b">
        <f>IF(E75&gt;0,14)</f>
        <v>0</v>
      </c>
      <c r="C75" s="86"/>
      <c r="D75" s="85"/>
      <c r="E75" s="255"/>
      <c r="F75" s="257">
        <f>(G74*$AB$12)/100</f>
        <v>0</v>
      </c>
      <c r="G75" s="87"/>
      <c r="H75" s="345"/>
      <c r="I75" s="243"/>
      <c r="J75" s="262"/>
      <c r="K75" s="265">
        <f>(L74*$AB$13)/100</f>
        <v>0</v>
      </c>
      <c r="L75" s="84"/>
      <c r="M75" s="345"/>
      <c r="N75" s="243"/>
      <c r="O75" s="262"/>
      <c r="P75" s="265">
        <f>(Q74*$AB$14)/100</f>
        <v>0</v>
      </c>
      <c r="Q75" s="87"/>
      <c r="R75" s="345"/>
      <c r="S75" s="262"/>
      <c r="T75" s="262"/>
      <c r="U75" s="263">
        <f>(V74*$AB$15)/100</f>
        <v>0</v>
      </c>
      <c r="V75" s="87"/>
      <c r="W75" s="345"/>
      <c r="X75" s="262"/>
      <c r="Y75" s="262"/>
      <c r="Z75" s="263">
        <f>(AA74*$AB$16)/100</f>
        <v>0</v>
      </c>
      <c r="AA75" s="87"/>
      <c r="AB75" s="345"/>
      <c r="AC75" s="262"/>
      <c r="AD75" s="262"/>
      <c r="AE75" s="263">
        <f>(AF74*$AB$17)/100</f>
        <v>0</v>
      </c>
      <c r="AF75" s="87"/>
      <c r="AG75" s="345"/>
      <c r="AH75" s="262"/>
      <c r="AI75" s="262"/>
      <c r="AJ75" s="263">
        <f>(AK74*$AB$18)/100</f>
        <v>0</v>
      </c>
      <c r="AK75" s="87"/>
      <c r="AL75" s="261"/>
      <c r="AM75" s="262"/>
      <c r="AN75" s="262"/>
      <c r="AO75" s="271"/>
      <c r="AP75" s="272"/>
      <c r="AQ75" s="322"/>
      <c r="AR75" s="34"/>
      <c r="AS75" s="34"/>
    </row>
    <row r="76" spans="2:45" s="38" customFormat="1" x14ac:dyDescent="0.2">
      <c r="B76" s="340" t="b">
        <f>IF(E76&gt;0,25)</f>
        <v>0</v>
      </c>
      <c r="C76" s="46"/>
      <c r="D76" s="47"/>
      <c r="E76" s="255"/>
      <c r="F76" s="258">
        <f>$AG$21*'FBM Results'!$C$23*E76</f>
        <v>0</v>
      </c>
      <c r="G76" s="255"/>
      <c r="H76" s="346" t="e">
        <f>(G76/E76)/$AG$21</f>
        <v>#DIV/0!</v>
      </c>
      <c r="I76" s="262" t="e">
        <f>IF(H76&lt;'FBM Results'!$C$23*0.9,1,0)</f>
        <v>#DIV/0!</v>
      </c>
      <c r="J76" s="262" t="e">
        <f>IF(H76&gt;'FBM Results'!$C$23*1.1,1,)</f>
        <v>#DIV/0!</v>
      </c>
      <c r="K76" s="264">
        <f>($W$13*$AG$21)*E76</f>
        <v>0</v>
      </c>
      <c r="L76" s="255"/>
      <c r="M76" s="346" t="e">
        <f>(L76/E76)/$AG$21</f>
        <v>#DIV/0!</v>
      </c>
      <c r="N76" s="262" t="e">
        <f>IF(M76&lt;'FBM Results'!$C$24*0.9,1,)</f>
        <v>#DIV/0!</v>
      </c>
      <c r="O76" s="262" t="e">
        <f>IF(M76&gt;'FBM Results'!$C$24*1.1,1,)</f>
        <v>#DIV/0!</v>
      </c>
      <c r="P76" s="264">
        <f>($W$14*$AG$21)*E76</f>
        <v>0</v>
      </c>
      <c r="Q76" s="255"/>
      <c r="R76" s="350" t="e">
        <f>(Q76/E76)/$AG$21</f>
        <v>#DIV/0!</v>
      </c>
      <c r="S76" s="262" t="e">
        <f>IF(R76&lt;'FBM Results'!$C$25*0.9,1,)</f>
        <v>#DIV/0!</v>
      </c>
      <c r="T76" s="262" t="e">
        <f>IF(R76&gt;'FBM Results'!$C$25*1.1,1,)</f>
        <v>#DIV/0!</v>
      </c>
      <c r="U76" s="264">
        <f>($W$15*$AG$21)*E76</f>
        <v>0</v>
      </c>
      <c r="V76" s="255"/>
      <c r="W76" s="350" t="e">
        <f>(V76/E76)/$AG$21</f>
        <v>#DIV/0!</v>
      </c>
      <c r="X76" s="262" t="e">
        <f>IF(W76&lt;'FBM Results'!$C$26*0.9,1,)</f>
        <v>#DIV/0!</v>
      </c>
      <c r="Y76" s="262" t="e">
        <f>IF(W76&gt;'FBM Results'!$C$26*1.1,1,)</f>
        <v>#DIV/0!</v>
      </c>
      <c r="Z76" s="264">
        <f>($W$16*$AG$21)*E76</f>
        <v>0</v>
      </c>
      <c r="AA76" s="255"/>
      <c r="AB76" s="350" t="e">
        <f>(AA76/$E76)/$AG$21</f>
        <v>#DIV/0!</v>
      </c>
      <c r="AC76" s="262" t="e">
        <f>IF(AB76&lt;'FBM Results'!$C$27*0.9,1,)</f>
        <v>#DIV/0!</v>
      </c>
      <c r="AD76" s="262" t="e">
        <f>IF(AB76&gt;'FBM Results'!$C$27*1.1,1,)</f>
        <v>#DIV/0!</v>
      </c>
      <c r="AE76" s="264">
        <f>$W$17*$AG$21*$E76</f>
        <v>0</v>
      </c>
      <c r="AF76" s="255"/>
      <c r="AG76" s="350" t="e">
        <f>(AF76/$E76)/$AG$21</f>
        <v>#DIV/0!</v>
      </c>
      <c r="AH76" s="262" t="e">
        <f>IF(AG76&lt;'FBM Results'!$C$28*0.9,1,)</f>
        <v>#DIV/0!</v>
      </c>
      <c r="AI76" s="262" t="e">
        <f>IF(AG76&gt;'FBM Results'!$C$28*1.1,1,)</f>
        <v>#DIV/0!</v>
      </c>
      <c r="AJ76" s="264">
        <f>$W$18*$AG$21*$E76</f>
        <v>0</v>
      </c>
      <c r="AK76" s="255"/>
      <c r="AL76" s="267" t="e">
        <f>(AK76/$E76)/$AG$21</f>
        <v>#DIV/0!</v>
      </c>
      <c r="AM76" s="262" t="e">
        <f>IF(AL76&lt;'FBM Results'!$C$29*0.9,1,)</f>
        <v>#DIV/0!</v>
      </c>
      <c r="AN76" s="262" t="e">
        <f>IF(AL76&gt;'FBM Results'!$C$29*1.1,1,)</f>
        <v>#DIV/0!</v>
      </c>
      <c r="AO76" s="271">
        <f>SUM(F77+K77+P77+U77+Z77+AE77+AJ77)</f>
        <v>0</v>
      </c>
      <c r="AP76" s="272" t="e">
        <f>(AO76/E76)/$AG$21</f>
        <v>#DIV/0!</v>
      </c>
      <c r="AQ76" s="322" t="e">
        <f>AP76*100/$AG$19</f>
        <v>#DIV/0!</v>
      </c>
      <c r="AR76" s="34"/>
      <c r="AS76" s="34"/>
    </row>
    <row r="77" spans="2:45" s="38" customFormat="1" hidden="1" x14ac:dyDescent="0.2">
      <c r="B77" s="340" t="b">
        <f>IF(E77&gt;0,14)</f>
        <v>0</v>
      </c>
      <c r="C77" s="86"/>
      <c r="D77" s="85"/>
      <c r="E77" s="255"/>
      <c r="F77" s="257">
        <f>(G76*$AB$12)/100</f>
        <v>0</v>
      </c>
      <c r="G77" s="87"/>
      <c r="H77" s="345"/>
      <c r="I77" s="243"/>
      <c r="J77" s="262"/>
      <c r="K77" s="265">
        <f>(L76*$AB$13)/100</f>
        <v>0</v>
      </c>
      <c r="L77" s="84"/>
      <c r="M77" s="345"/>
      <c r="N77" s="243"/>
      <c r="O77" s="262"/>
      <c r="P77" s="265">
        <f>(Q76*$AB$14)/100</f>
        <v>0</v>
      </c>
      <c r="Q77" s="87"/>
      <c r="R77" s="345"/>
      <c r="S77" s="262"/>
      <c r="T77" s="262"/>
      <c r="U77" s="263">
        <f>(V76*$AB$15)/100</f>
        <v>0</v>
      </c>
      <c r="V77" s="87"/>
      <c r="W77" s="345"/>
      <c r="X77" s="262"/>
      <c r="Y77" s="262"/>
      <c r="Z77" s="263">
        <f>(AA76*$AB$16)/100</f>
        <v>0</v>
      </c>
      <c r="AA77" s="87"/>
      <c r="AB77" s="345"/>
      <c r="AC77" s="262"/>
      <c r="AD77" s="262"/>
      <c r="AE77" s="263">
        <f>(AF76*$AB$17)/100</f>
        <v>0</v>
      </c>
      <c r="AF77" s="87"/>
      <c r="AG77" s="345"/>
      <c r="AH77" s="262"/>
      <c r="AI77" s="262"/>
      <c r="AJ77" s="263">
        <f>(AK76*$AB$18)/100</f>
        <v>0</v>
      </c>
      <c r="AK77" s="87"/>
      <c r="AL77" s="261"/>
      <c r="AM77" s="262"/>
      <c r="AN77" s="262"/>
      <c r="AO77" s="271"/>
      <c r="AP77" s="272"/>
      <c r="AQ77" s="322"/>
      <c r="AR77" s="34"/>
      <c r="AS77" s="34"/>
    </row>
    <row r="78" spans="2:45" s="38" customFormat="1" x14ac:dyDescent="0.2">
      <c r="B78" s="340" t="b">
        <f>IF(E78&gt;0,26)</f>
        <v>0</v>
      </c>
      <c r="C78" s="46"/>
      <c r="D78" s="47"/>
      <c r="E78" s="255"/>
      <c r="F78" s="258">
        <f>$AG$21*'FBM Results'!$C$23*E78</f>
        <v>0</v>
      </c>
      <c r="G78" s="255"/>
      <c r="H78" s="346" t="e">
        <f>(G78/E78)/$AG$21</f>
        <v>#DIV/0!</v>
      </c>
      <c r="I78" s="262" t="e">
        <f>IF(H78&lt;'FBM Results'!$C$23*0.9,1,0)</f>
        <v>#DIV/0!</v>
      </c>
      <c r="J78" s="262" t="e">
        <f>IF(H78&gt;'FBM Results'!$C$23*1.1,1,)</f>
        <v>#DIV/0!</v>
      </c>
      <c r="K78" s="264">
        <f>($W$13*$AG$21)*E78</f>
        <v>0</v>
      </c>
      <c r="L78" s="255"/>
      <c r="M78" s="346" t="e">
        <f>(L78/E78)/$AG$21</f>
        <v>#DIV/0!</v>
      </c>
      <c r="N78" s="262" t="e">
        <f>IF(M78&lt;'FBM Results'!$C$24*0.9,1,)</f>
        <v>#DIV/0!</v>
      </c>
      <c r="O78" s="262" t="e">
        <f>IF(M78&gt;'FBM Results'!$C$24*1.1,1,)</f>
        <v>#DIV/0!</v>
      </c>
      <c r="P78" s="264">
        <f>($W$14*$AG$21)*E78</f>
        <v>0</v>
      </c>
      <c r="Q78" s="255"/>
      <c r="R78" s="350" t="e">
        <f>(Q78/E78)/$AG$21</f>
        <v>#DIV/0!</v>
      </c>
      <c r="S78" s="262" t="e">
        <f>IF(R78&lt;'FBM Results'!$C$25*0.9,1,)</f>
        <v>#DIV/0!</v>
      </c>
      <c r="T78" s="262" t="e">
        <f>IF(R78&gt;'FBM Results'!$C$25*1.1,1,)</f>
        <v>#DIV/0!</v>
      </c>
      <c r="U78" s="264">
        <f>($W$15*$AG$21)*E78</f>
        <v>0</v>
      </c>
      <c r="V78" s="255"/>
      <c r="W78" s="350" t="e">
        <f>(V78/E78)/$AG$21</f>
        <v>#DIV/0!</v>
      </c>
      <c r="X78" s="262" t="e">
        <f>IF(W78&lt;'FBM Results'!$C$26*0.9,1,)</f>
        <v>#DIV/0!</v>
      </c>
      <c r="Y78" s="262" t="e">
        <f>IF(W78&gt;'FBM Results'!$C$26*1.1,1,)</f>
        <v>#DIV/0!</v>
      </c>
      <c r="Z78" s="264">
        <f>($W$16*$AG$21)*E78</f>
        <v>0</v>
      </c>
      <c r="AA78" s="255"/>
      <c r="AB78" s="350" t="e">
        <f>(AA78/$E78)/$AG$21</f>
        <v>#DIV/0!</v>
      </c>
      <c r="AC78" s="262" t="e">
        <f>IF(AB78&lt;'FBM Results'!$C$27*0.9,1,)</f>
        <v>#DIV/0!</v>
      </c>
      <c r="AD78" s="262" t="e">
        <f>IF(AB78&gt;'FBM Results'!$C$27*1.1,1,)</f>
        <v>#DIV/0!</v>
      </c>
      <c r="AE78" s="264">
        <f>$W$17*$AG$21*$E78</f>
        <v>0</v>
      </c>
      <c r="AF78" s="255"/>
      <c r="AG78" s="350" t="e">
        <f>(AF78/$E78)/$AG$21</f>
        <v>#DIV/0!</v>
      </c>
      <c r="AH78" s="262" t="e">
        <f>IF(AG78&lt;'FBM Results'!$C$28*0.9,1,)</f>
        <v>#DIV/0!</v>
      </c>
      <c r="AI78" s="262" t="e">
        <f>IF(AG78&gt;'FBM Results'!$C$28*1.1,1,)</f>
        <v>#DIV/0!</v>
      </c>
      <c r="AJ78" s="264">
        <f>$W$18*$AG$21*$E78</f>
        <v>0</v>
      </c>
      <c r="AK78" s="255"/>
      <c r="AL78" s="267" t="e">
        <f>(AK78/$E78)/$AG$21</f>
        <v>#DIV/0!</v>
      </c>
      <c r="AM78" s="262" t="e">
        <f>IF(AL78&lt;'FBM Results'!$C$29*0.9,1,)</f>
        <v>#DIV/0!</v>
      </c>
      <c r="AN78" s="262" t="e">
        <f>IF(AL78&gt;'FBM Results'!$C$29*1.1,1,)</f>
        <v>#DIV/0!</v>
      </c>
      <c r="AO78" s="271">
        <f>SUM(F79+K79+P79+U79+Z79+AE79+AJ79)</f>
        <v>0</v>
      </c>
      <c r="AP78" s="272" t="e">
        <f>(AO78/E78)/$AG$21</f>
        <v>#DIV/0!</v>
      </c>
      <c r="AQ78" s="322" t="e">
        <f>AP78*100/$AG$19</f>
        <v>#DIV/0!</v>
      </c>
      <c r="AR78" s="34"/>
      <c r="AS78" s="34"/>
    </row>
    <row r="79" spans="2:45" s="38" customFormat="1" hidden="1" x14ac:dyDescent="0.2">
      <c r="B79" s="340" t="b">
        <f>IF(E79&gt;0,14)</f>
        <v>0</v>
      </c>
      <c r="C79" s="86"/>
      <c r="D79" s="85"/>
      <c r="E79" s="255"/>
      <c r="F79" s="257">
        <f>(G78*$AB$12)/100</f>
        <v>0</v>
      </c>
      <c r="G79" s="87"/>
      <c r="H79" s="345"/>
      <c r="I79" s="243"/>
      <c r="J79" s="262"/>
      <c r="K79" s="265">
        <f>(L78*$AB$13)/100</f>
        <v>0</v>
      </c>
      <c r="L79" s="84"/>
      <c r="M79" s="345"/>
      <c r="N79" s="243"/>
      <c r="O79" s="262"/>
      <c r="P79" s="265">
        <f>(Q78*$AB$14)/100</f>
        <v>0</v>
      </c>
      <c r="Q79" s="87"/>
      <c r="R79" s="345"/>
      <c r="S79" s="262"/>
      <c r="T79" s="262"/>
      <c r="U79" s="263">
        <f>(V78*$AB$15)/100</f>
        <v>0</v>
      </c>
      <c r="V79" s="87"/>
      <c r="W79" s="345"/>
      <c r="X79" s="262"/>
      <c r="Y79" s="262"/>
      <c r="Z79" s="263">
        <f>(AA78*$AB$16)/100</f>
        <v>0</v>
      </c>
      <c r="AA79" s="87"/>
      <c r="AB79" s="345"/>
      <c r="AC79" s="262"/>
      <c r="AD79" s="262"/>
      <c r="AE79" s="263">
        <f>(AF78*$AB$17)/100</f>
        <v>0</v>
      </c>
      <c r="AF79" s="87"/>
      <c r="AG79" s="345"/>
      <c r="AH79" s="262"/>
      <c r="AI79" s="262"/>
      <c r="AJ79" s="263">
        <f>(AK78*$AB$18)/100</f>
        <v>0</v>
      </c>
      <c r="AK79" s="87"/>
      <c r="AL79" s="261"/>
      <c r="AM79" s="262"/>
      <c r="AN79" s="262"/>
      <c r="AO79" s="271"/>
      <c r="AP79" s="272"/>
      <c r="AQ79" s="322"/>
      <c r="AR79" s="34"/>
      <c r="AS79" s="34"/>
    </row>
    <row r="80" spans="2:45" s="38" customFormat="1" x14ac:dyDescent="0.2">
      <c r="B80" s="340" t="b">
        <f>IF(E80&gt;0,27)</f>
        <v>0</v>
      </c>
      <c r="C80" s="46"/>
      <c r="D80" s="47"/>
      <c r="E80" s="255"/>
      <c r="F80" s="258">
        <f>$AG$21*'FBM Results'!$C$23*E80</f>
        <v>0</v>
      </c>
      <c r="G80" s="255"/>
      <c r="H80" s="346" t="e">
        <f>(G80/E80)/$AG$21</f>
        <v>#DIV/0!</v>
      </c>
      <c r="I80" s="262" t="e">
        <f>IF(H80&lt;'FBM Results'!$C$23*0.9,1,0)</f>
        <v>#DIV/0!</v>
      </c>
      <c r="J80" s="262" t="e">
        <f>IF(H80&gt;'FBM Results'!$C$23*1.1,1,)</f>
        <v>#DIV/0!</v>
      </c>
      <c r="K80" s="264">
        <f>($W$13*$AG$21)*E80</f>
        <v>0</v>
      </c>
      <c r="L80" s="255"/>
      <c r="M80" s="346" t="e">
        <f>(L80/E80)/$AG$21</f>
        <v>#DIV/0!</v>
      </c>
      <c r="N80" s="262" t="e">
        <f>IF(M80&lt;'FBM Results'!$C$24*0.9,1,)</f>
        <v>#DIV/0!</v>
      </c>
      <c r="O80" s="262" t="e">
        <f>IF(M80&gt;'FBM Results'!$C$24*1.1,1,)</f>
        <v>#DIV/0!</v>
      </c>
      <c r="P80" s="264">
        <f>($W$14*$AG$21)*E80</f>
        <v>0</v>
      </c>
      <c r="Q80" s="255"/>
      <c r="R80" s="350" t="e">
        <f>(Q80/E80)/$AG$21</f>
        <v>#DIV/0!</v>
      </c>
      <c r="S80" s="262" t="e">
        <f>IF(R80&lt;'FBM Results'!$C$25*0.9,1,)</f>
        <v>#DIV/0!</v>
      </c>
      <c r="T80" s="262" t="e">
        <f>IF(R80&gt;'FBM Results'!$C$25*1.1,1,)</f>
        <v>#DIV/0!</v>
      </c>
      <c r="U80" s="264">
        <f>($W$15*$AG$21)*E80</f>
        <v>0</v>
      </c>
      <c r="V80" s="255"/>
      <c r="W80" s="350" t="e">
        <f>(V80/E80)/$AG$21</f>
        <v>#DIV/0!</v>
      </c>
      <c r="X80" s="262" t="e">
        <f>IF(W80&lt;'FBM Results'!$C$26*0.9,1,)</f>
        <v>#DIV/0!</v>
      </c>
      <c r="Y80" s="262" t="e">
        <f>IF(W80&gt;'FBM Results'!$C$26*1.1,1,)</f>
        <v>#DIV/0!</v>
      </c>
      <c r="Z80" s="264">
        <f>($W$16*$AG$21)*E80</f>
        <v>0</v>
      </c>
      <c r="AA80" s="255"/>
      <c r="AB80" s="350" t="e">
        <f>(AA80/$E80)/$AG$21</f>
        <v>#DIV/0!</v>
      </c>
      <c r="AC80" s="262" t="e">
        <f>IF(AB80&lt;'FBM Results'!$C$27*0.9,1,)</f>
        <v>#DIV/0!</v>
      </c>
      <c r="AD80" s="262" t="e">
        <f>IF(AB80&gt;'FBM Results'!$C$27*1.1,1,)</f>
        <v>#DIV/0!</v>
      </c>
      <c r="AE80" s="264">
        <f>$W$17*$AG$21*$E80</f>
        <v>0</v>
      </c>
      <c r="AF80" s="255"/>
      <c r="AG80" s="350" t="e">
        <f>(AF80/$E80)/$AG$21</f>
        <v>#DIV/0!</v>
      </c>
      <c r="AH80" s="262" t="e">
        <f>IF(AG80&lt;'FBM Results'!$C$28*0.9,1,)</f>
        <v>#DIV/0!</v>
      </c>
      <c r="AI80" s="262" t="e">
        <f>IF(AG80&gt;'FBM Results'!$C$28*1.1,1,)</f>
        <v>#DIV/0!</v>
      </c>
      <c r="AJ80" s="264">
        <f>$W$18*$AG$21*$E80</f>
        <v>0</v>
      </c>
      <c r="AK80" s="255"/>
      <c r="AL80" s="267" t="e">
        <f>(AK80/$E80)/$AG$21</f>
        <v>#DIV/0!</v>
      </c>
      <c r="AM80" s="262" t="e">
        <f>IF(AL80&lt;'FBM Results'!$C$29*0.9,1,)</f>
        <v>#DIV/0!</v>
      </c>
      <c r="AN80" s="262" t="e">
        <f>IF(AL80&gt;'FBM Results'!$C$29*1.1,1,)</f>
        <v>#DIV/0!</v>
      </c>
      <c r="AO80" s="271">
        <f>SUM(F81+K81+P81+U81+Z81+AE81+AJ81)</f>
        <v>0</v>
      </c>
      <c r="AP80" s="272" t="e">
        <f>(AO80/E80)/$AG$21</f>
        <v>#DIV/0!</v>
      </c>
      <c r="AQ80" s="322" t="e">
        <f>AP80*100/$AG$19</f>
        <v>#DIV/0!</v>
      </c>
      <c r="AR80" s="34"/>
      <c r="AS80" s="34"/>
    </row>
    <row r="81" spans="2:45" s="38" customFormat="1" hidden="1" x14ac:dyDescent="0.2">
      <c r="B81" s="340" t="b">
        <f>IF(E81&gt;0,14)</f>
        <v>0</v>
      </c>
      <c r="C81" s="86"/>
      <c r="D81" s="85"/>
      <c r="E81" s="255"/>
      <c r="F81" s="257">
        <f>(G80*$AB$12)/100</f>
        <v>0</v>
      </c>
      <c r="G81" s="87"/>
      <c r="H81" s="345"/>
      <c r="I81" s="243"/>
      <c r="J81" s="262"/>
      <c r="K81" s="265">
        <f>(L80*$AB$13)/100</f>
        <v>0</v>
      </c>
      <c r="L81" s="84"/>
      <c r="M81" s="345"/>
      <c r="N81" s="243"/>
      <c r="O81" s="262"/>
      <c r="P81" s="265">
        <f>(Q80*$AB$14)/100</f>
        <v>0</v>
      </c>
      <c r="Q81" s="87"/>
      <c r="R81" s="345"/>
      <c r="S81" s="262"/>
      <c r="T81" s="262"/>
      <c r="U81" s="263">
        <f>(V80*$AB$15)/100</f>
        <v>0</v>
      </c>
      <c r="V81" s="87"/>
      <c r="W81" s="345"/>
      <c r="X81" s="262"/>
      <c r="Y81" s="262"/>
      <c r="Z81" s="263">
        <f>(AA80*$AB$16)/100</f>
        <v>0</v>
      </c>
      <c r="AA81" s="87"/>
      <c r="AB81" s="345"/>
      <c r="AC81" s="262"/>
      <c r="AD81" s="262"/>
      <c r="AE81" s="263">
        <f>(AF80*$AB$17)/100</f>
        <v>0</v>
      </c>
      <c r="AF81" s="87"/>
      <c r="AG81" s="345"/>
      <c r="AH81" s="262"/>
      <c r="AI81" s="262"/>
      <c r="AJ81" s="263">
        <f>(AK80*$AB$18)/100</f>
        <v>0</v>
      </c>
      <c r="AK81" s="87"/>
      <c r="AL81" s="261"/>
      <c r="AM81" s="262"/>
      <c r="AN81" s="262"/>
      <c r="AO81" s="271"/>
      <c r="AP81" s="272"/>
      <c r="AQ81" s="322"/>
      <c r="AR81" s="34"/>
      <c r="AS81" s="34"/>
    </row>
    <row r="82" spans="2:45" s="38" customFormat="1" x14ac:dyDescent="0.2">
      <c r="B82" s="340" t="b">
        <f>IF(E82&gt;0,28)</f>
        <v>0</v>
      </c>
      <c r="C82" s="46"/>
      <c r="D82" s="47"/>
      <c r="E82" s="255"/>
      <c r="F82" s="258">
        <f>$AG$21*'FBM Results'!$C$23*E82</f>
        <v>0</v>
      </c>
      <c r="G82" s="255"/>
      <c r="H82" s="346" t="e">
        <f>(G82/E82)/$AG$21</f>
        <v>#DIV/0!</v>
      </c>
      <c r="I82" s="262" t="e">
        <f>IF(H82&lt;'FBM Results'!$C$23*0.9,1,0)</f>
        <v>#DIV/0!</v>
      </c>
      <c r="J82" s="262" t="e">
        <f>IF(H82&gt;'FBM Results'!$C$23*1.1,1,)</f>
        <v>#DIV/0!</v>
      </c>
      <c r="K82" s="264">
        <f>($W$13*$AG$21)*E82</f>
        <v>0</v>
      </c>
      <c r="L82" s="255"/>
      <c r="M82" s="346" t="e">
        <f>(L82/E82)/$AG$21</f>
        <v>#DIV/0!</v>
      </c>
      <c r="N82" s="262" t="e">
        <f>IF(M82&lt;'FBM Results'!$C$24*0.9,1,)</f>
        <v>#DIV/0!</v>
      </c>
      <c r="O82" s="262" t="e">
        <f>IF(M82&gt;'FBM Results'!$C$24*1.1,1,)</f>
        <v>#DIV/0!</v>
      </c>
      <c r="P82" s="264">
        <f>($W$14*$AG$21)*E82</f>
        <v>0</v>
      </c>
      <c r="Q82" s="255"/>
      <c r="R82" s="350" t="e">
        <f>(Q82/E82)/$AG$21</f>
        <v>#DIV/0!</v>
      </c>
      <c r="S82" s="262" t="e">
        <f>IF(R82&lt;'FBM Results'!$C$25*0.9,1,)</f>
        <v>#DIV/0!</v>
      </c>
      <c r="T82" s="262" t="e">
        <f>IF(R82&gt;'FBM Results'!$C$25*1.1,1,)</f>
        <v>#DIV/0!</v>
      </c>
      <c r="U82" s="264">
        <f>($W$15*$AG$21)*E82</f>
        <v>0</v>
      </c>
      <c r="V82" s="255"/>
      <c r="W82" s="350" t="e">
        <f>(V82/E82)/$AG$21</f>
        <v>#DIV/0!</v>
      </c>
      <c r="X82" s="262" t="e">
        <f>IF(W82&lt;'FBM Results'!$C$26*0.9,1,)</f>
        <v>#DIV/0!</v>
      </c>
      <c r="Y82" s="262" t="e">
        <f>IF(W82&gt;'FBM Results'!$C$26*1.1,1,)</f>
        <v>#DIV/0!</v>
      </c>
      <c r="Z82" s="264">
        <f>($W$16*$AG$21)*E82</f>
        <v>0</v>
      </c>
      <c r="AA82" s="255"/>
      <c r="AB82" s="350" t="e">
        <f>(AA82/$E82)/$AG$21</f>
        <v>#DIV/0!</v>
      </c>
      <c r="AC82" s="262" t="e">
        <f>IF(AB82&lt;'FBM Results'!$C$27*0.9,1,)</f>
        <v>#DIV/0!</v>
      </c>
      <c r="AD82" s="262" t="e">
        <f>IF(AB82&gt;'FBM Results'!$C$27*1.1,1,)</f>
        <v>#DIV/0!</v>
      </c>
      <c r="AE82" s="264">
        <f>$W$17*$AG$21*$E82</f>
        <v>0</v>
      </c>
      <c r="AF82" s="255"/>
      <c r="AG82" s="350" t="e">
        <f>(AF82/$E82)/$AG$21</f>
        <v>#DIV/0!</v>
      </c>
      <c r="AH82" s="262" t="e">
        <f>IF(AG82&lt;'FBM Results'!$C$28*0.9,1,)</f>
        <v>#DIV/0!</v>
      </c>
      <c r="AI82" s="262" t="e">
        <f>IF(AG82&gt;'FBM Results'!$C$28*1.1,1,)</f>
        <v>#DIV/0!</v>
      </c>
      <c r="AJ82" s="264">
        <f>$W$18*$AG$21*$E82</f>
        <v>0</v>
      </c>
      <c r="AK82" s="255"/>
      <c r="AL82" s="267" t="e">
        <f>(AK82/$E82)/$AG$21</f>
        <v>#DIV/0!</v>
      </c>
      <c r="AM82" s="262" t="e">
        <f>IF(AL82&lt;'FBM Results'!$C$29*0.9,1,)</f>
        <v>#DIV/0!</v>
      </c>
      <c r="AN82" s="262" t="e">
        <f>IF(AL82&gt;'FBM Results'!$C$29*1.1,1,)</f>
        <v>#DIV/0!</v>
      </c>
      <c r="AO82" s="271">
        <f>SUM(F83+K83+P83+U83+AA83+AE83+AJ83)</f>
        <v>0</v>
      </c>
      <c r="AP82" s="272" t="e">
        <f>(AO82/E82)/$AG$21</f>
        <v>#DIV/0!</v>
      </c>
      <c r="AQ82" s="322" t="e">
        <f>AP82*100/$AG$19</f>
        <v>#DIV/0!</v>
      </c>
      <c r="AR82" s="34"/>
      <c r="AS82" s="34"/>
    </row>
    <row r="83" spans="2:45" s="38" customFormat="1" hidden="1" x14ac:dyDescent="0.2">
      <c r="B83" s="340" t="b">
        <f>IF(E83&gt;0,14)</f>
        <v>0</v>
      </c>
      <c r="C83" s="86"/>
      <c r="D83" s="85"/>
      <c r="E83" s="255"/>
      <c r="F83" s="257">
        <f>(G82*$AB$12)/100</f>
        <v>0</v>
      </c>
      <c r="G83" s="87"/>
      <c r="H83" s="345"/>
      <c r="I83" s="243"/>
      <c r="J83" s="262"/>
      <c r="K83" s="265">
        <f>(L82*$AB$13)/100</f>
        <v>0</v>
      </c>
      <c r="L83" s="84"/>
      <c r="M83" s="345"/>
      <c r="N83" s="243"/>
      <c r="O83" s="262"/>
      <c r="P83" s="265">
        <f>(Q82*$AB$14)/100</f>
        <v>0</v>
      </c>
      <c r="Q83" s="87"/>
      <c r="R83" s="345"/>
      <c r="S83" s="262"/>
      <c r="T83" s="262"/>
      <c r="U83" s="263">
        <f>(V82*$AB$15)/100</f>
        <v>0</v>
      </c>
      <c r="V83" s="87"/>
      <c r="W83" s="345"/>
      <c r="X83" s="262"/>
      <c r="Y83" s="262"/>
      <c r="Z83" s="263">
        <f>(AA82*$AB$16)/100</f>
        <v>0</v>
      </c>
      <c r="AA83" s="87"/>
      <c r="AB83" s="345"/>
      <c r="AC83" s="262"/>
      <c r="AD83" s="262"/>
      <c r="AE83" s="263">
        <f>(AF82*$AB$17)/100</f>
        <v>0</v>
      </c>
      <c r="AF83" s="87"/>
      <c r="AG83" s="345"/>
      <c r="AH83" s="262"/>
      <c r="AI83" s="262"/>
      <c r="AJ83" s="263">
        <f>(AK82*$AB$18)/100</f>
        <v>0</v>
      </c>
      <c r="AK83" s="87"/>
      <c r="AL83" s="261"/>
      <c r="AM83" s="262"/>
      <c r="AN83" s="262"/>
      <c r="AO83" s="271"/>
      <c r="AP83" s="272"/>
      <c r="AQ83" s="322"/>
      <c r="AR83" s="34"/>
      <c r="AS83" s="34"/>
    </row>
    <row r="84" spans="2:45" s="38" customFormat="1" x14ac:dyDescent="0.2">
      <c r="B84" s="340" t="b">
        <f>IF(E84&gt;0,29)</f>
        <v>0</v>
      </c>
      <c r="C84" s="48"/>
      <c r="D84" s="49"/>
      <c r="E84" s="255"/>
      <c r="F84" s="258">
        <f>$AG$21*'FBM Results'!$C$23*E84</f>
        <v>0</v>
      </c>
      <c r="G84" s="255"/>
      <c r="H84" s="346" t="e">
        <f>(G84/E84)/$AG$21</f>
        <v>#DIV/0!</v>
      </c>
      <c r="I84" s="262" t="e">
        <f>IF(H84&lt;'FBM Results'!$C$23*0.9,1,0)</f>
        <v>#DIV/0!</v>
      </c>
      <c r="J84" s="262" t="e">
        <f>IF(H84&gt;'FBM Results'!$C$23*1.1,1,)</f>
        <v>#DIV/0!</v>
      </c>
      <c r="K84" s="264">
        <f>($W$13*$AG$21)*E84</f>
        <v>0</v>
      </c>
      <c r="L84" s="255"/>
      <c r="M84" s="346" t="e">
        <f>(L84/E84)/$AG$21</f>
        <v>#DIV/0!</v>
      </c>
      <c r="N84" s="262" t="e">
        <f>IF(M84&lt;'FBM Results'!$C$24*0.9,1,)</f>
        <v>#DIV/0!</v>
      </c>
      <c r="O84" s="262" t="e">
        <f>IF(M84&gt;'FBM Results'!$C$24*1.1,1,)</f>
        <v>#DIV/0!</v>
      </c>
      <c r="P84" s="264">
        <f>($W$14*$AG$21)*E84</f>
        <v>0</v>
      </c>
      <c r="Q84" s="255"/>
      <c r="R84" s="350" t="e">
        <f>(Q84/E84)/$AG$21</f>
        <v>#DIV/0!</v>
      </c>
      <c r="S84" s="262" t="e">
        <f>IF(R84&lt;'FBM Results'!$C$25*0.9,1,)</f>
        <v>#DIV/0!</v>
      </c>
      <c r="T84" s="262" t="e">
        <f>IF(R84&gt;'FBM Results'!$C$25*1.1,1,)</f>
        <v>#DIV/0!</v>
      </c>
      <c r="U84" s="264">
        <f>($W$15*$AG$21)*E84</f>
        <v>0</v>
      </c>
      <c r="V84" s="255"/>
      <c r="W84" s="350" t="e">
        <f>(V84/E84)/$AG$21</f>
        <v>#DIV/0!</v>
      </c>
      <c r="X84" s="262" t="e">
        <f>IF(W84&lt;'FBM Results'!$C$26*0.9,1,)</f>
        <v>#DIV/0!</v>
      </c>
      <c r="Y84" s="262" t="e">
        <f>IF(W84&gt;'FBM Results'!$C$26*1.1,1,)</f>
        <v>#DIV/0!</v>
      </c>
      <c r="Z84" s="264">
        <f>($W$16*$AG$21)*E84</f>
        <v>0</v>
      </c>
      <c r="AA84" s="255"/>
      <c r="AB84" s="350" t="e">
        <f>(AA84/$E84)/$AG$21</f>
        <v>#DIV/0!</v>
      </c>
      <c r="AC84" s="262" t="e">
        <f>IF(AB84&lt;'FBM Results'!$C$27*0.9,1,)</f>
        <v>#DIV/0!</v>
      </c>
      <c r="AD84" s="262" t="e">
        <f>IF(AB84&gt;'FBM Results'!$C$27*1.1,1,)</f>
        <v>#DIV/0!</v>
      </c>
      <c r="AE84" s="264">
        <f>$W$17*$AG$21*$E84</f>
        <v>0</v>
      </c>
      <c r="AF84" s="255"/>
      <c r="AG84" s="350" t="e">
        <f>(AF84/$E84)/$AG$21</f>
        <v>#DIV/0!</v>
      </c>
      <c r="AH84" s="262" t="e">
        <f>IF(AG84&lt;'FBM Results'!$C$28*0.9,1,)</f>
        <v>#DIV/0!</v>
      </c>
      <c r="AI84" s="262" t="e">
        <f>IF(AG84&gt;'FBM Results'!$C$28*1.1,1,)</f>
        <v>#DIV/0!</v>
      </c>
      <c r="AJ84" s="264">
        <f>$W$18*$AG$21*$E84</f>
        <v>0</v>
      </c>
      <c r="AK84" s="255"/>
      <c r="AL84" s="267" t="e">
        <f>(AK84/$E84)/$AG$21</f>
        <v>#DIV/0!</v>
      </c>
      <c r="AM84" s="262" t="e">
        <f>IF(AL84&lt;'FBM Results'!$C$29*0.9,1,)</f>
        <v>#DIV/0!</v>
      </c>
      <c r="AN84" s="262" t="e">
        <f>IF(AL84&gt;'FBM Results'!$C$29*1.1,1,)</f>
        <v>#DIV/0!</v>
      </c>
      <c r="AO84" s="271">
        <f>SUM(F85+K85+P85+U85+Z85+AE85+AJ85)</f>
        <v>0</v>
      </c>
      <c r="AP84" s="272" t="e">
        <f>(AO84/E84)/$AG$21</f>
        <v>#DIV/0!</v>
      </c>
      <c r="AQ84" s="322" t="e">
        <f>AP84*100/$AG$19</f>
        <v>#DIV/0!</v>
      </c>
      <c r="AR84" s="34"/>
      <c r="AS84" s="34"/>
    </row>
    <row r="85" spans="2:45" s="38" customFormat="1" hidden="1" x14ac:dyDescent="0.2">
      <c r="B85" s="340"/>
      <c r="C85" s="86"/>
      <c r="D85" s="85"/>
      <c r="E85" s="255"/>
      <c r="F85" s="257">
        <f>(G84*$AB$12)/100</f>
        <v>0</v>
      </c>
      <c r="G85" s="87"/>
      <c r="H85" s="345"/>
      <c r="I85" s="243"/>
      <c r="J85" s="262"/>
      <c r="K85" s="265">
        <f>(L84*$AB$13)/100</f>
        <v>0</v>
      </c>
      <c r="L85" s="84"/>
      <c r="M85" s="345"/>
      <c r="N85" s="243"/>
      <c r="O85" s="262"/>
      <c r="P85" s="265">
        <f>(Q84*$AB$14)/100</f>
        <v>0</v>
      </c>
      <c r="Q85" s="87"/>
      <c r="R85" s="345"/>
      <c r="S85" s="262"/>
      <c r="T85" s="262"/>
      <c r="U85" s="263">
        <f>(V84*$AB$15)/100</f>
        <v>0</v>
      </c>
      <c r="V85" s="87"/>
      <c r="W85" s="345"/>
      <c r="X85" s="262"/>
      <c r="Y85" s="262"/>
      <c r="Z85" s="263">
        <f>(AA84*$AB$16)/100</f>
        <v>0</v>
      </c>
      <c r="AA85" s="87"/>
      <c r="AB85" s="345"/>
      <c r="AC85" s="262"/>
      <c r="AD85" s="262"/>
      <c r="AE85" s="263">
        <f>(AF84*$AB$17)/100</f>
        <v>0</v>
      </c>
      <c r="AF85" s="87"/>
      <c r="AG85" s="345"/>
      <c r="AH85" s="262"/>
      <c r="AI85" s="262"/>
      <c r="AJ85" s="263">
        <f>(AK84*$AB$18)/100</f>
        <v>0</v>
      </c>
      <c r="AK85" s="87"/>
      <c r="AL85" s="261"/>
      <c r="AM85" s="262"/>
      <c r="AN85" s="262"/>
      <c r="AO85" s="271"/>
      <c r="AP85" s="272"/>
      <c r="AQ85" s="322"/>
      <c r="AR85" s="34"/>
      <c r="AS85" s="34"/>
    </row>
    <row r="86" spans="2:45" s="38" customFormat="1" x14ac:dyDescent="0.2">
      <c r="B86" s="340" t="b">
        <f>IF(E86&gt;0,30)</f>
        <v>0</v>
      </c>
      <c r="C86" s="46"/>
      <c r="D86" s="47"/>
      <c r="E86" s="255"/>
      <c r="F86" s="258">
        <f>$AG$21*'FBM Results'!$C$23*E86</f>
        <v>0</v>
      </c>
      <c r="G86" s="255"/>
      <c r="H86" s="346" t="e">
        <f>(G86/E86)/$AG$21</f>
        <v>#DIV/0!</v>
      </c>
      <c r="I86" s="262" t="e">
        <f>IF(H86&lt;'FBM Results'!$C$23*0.9,1,0)</f>
        <v>#DIV/0!</v>
      </c>
      <c r="J86" s="262" t="e">
        <f>IF(H86&gt;'FBM Results'!$C$23*1.1,1,)</f>
        <v>#DIV/0!</v>
      </c>
      <c r="K86" s="264">
        <f>($W$13*$AG$21)*E86</f>
        <v>0</v>
      </c>
      <c r="L86" s="255"/>
      <c r="M86" s="346" t="e">
        <f>(L86/E86)/$AG$21</f>
        <v>#DIV/0!</v>
      </c>
      <c r="N86" s="262" t="e">
        <f>IF(M86&lt;'FBM Results'!$C$24*0.9,1,)</f>
        <v>#DIV/0!</v>
      </c>
      <c r="O86" s="262" t="e">
        <f>IF(M86&gt;'FBM Results'!$C$24*1.1,1,)</f>
        <v>#DIV/0!</v>
      </c>
      <c r="P86" s="264">
        <f>($W$14*$AG$21)*E86</f>
        <v>0</v>
      </c>
      <c r="Q86" s="255"/>
      <c r="R86" s="350" t="e">
        <f>(Q86/E86)/$AG$21</f>
        <v>#DIV/0!</v>
      </c>
      <c r="S86" s="262" t="e">
        <f>IF(R86&lt;'FBM Results'!$C$25*0.9,1,)</f>
        <v>#DIV/0!</v>
      </c>
      <c r="T86" s="262" t="e">
        <f>IF(R86&gt;'FBM Results'!$C$25*1.1,1,)</f>
        <v>#DIV/0!</v>
      </c>
      <c r="U86" s="264">
        <f>($W$15*$AG$21)*E86</f>
        <v>0</v>
      </c>
      <c r="V86" s="255"/>
      <c r="W86" s="350" t="e">
        <f>(V86/E86)/$AG$21</f>
        <v>#DIV/0!</v>
      </c>
      <c r="X86" s="262" t="e">
        <f>IF(W86&lt;'FBM Results'!$C$26*0.9,1,)</f>
        <v>#DIV/0!</v>
      </c>
      <c r="Y86" s="262" t="e">
        <f>IF(W86&gt;'FBM Results'!$C$26*1.1,1,)</f>
        <v>#DIV/0!</v>
      </c>
      <c r="Z86" s="264">
        <f>($W$16*$AG$21)*E86</f>
        <v>0</v>
      </c>
      <c r="AA86" s="255"/>
      <c r="AB86" s="350" t="e">
        <f>(AA86/$E86)/$AG$21</f>
        <v>#DIV/0!</v>
      </c>
      <c r="AC86" s="262" t="e">
        <f>IF(AB86&lt;'FBM Results'!$C$27*0.9,1,)</f>
        <v>#DIV/0!</v>
      </c>
      <c r="AD86" s="262" t="e">
        <f>IF(AB86&gt;'FBM Results'!$C$27*1.1,1,)</f>
        <v>#DIV/0!</v>
      </c>
      <c r="AE86" s="264">
        <f>$W$17*$AG$21*$E86</f>
        <v>0</v>
      </c>
      <c r="AF86" s="255"/>
      <c r="AG86" s="350" t="e">
        <f>(AF86/$E86)/$AG$21</f>
        <v>#DIV/0!</v>
      </c>
      <c r="AH86" s="262" t="e">
        <f>IF(AG86&lt;'FBM Results'!$C$28*0.9,1,)</f>
        <v>#DIV/0!</v>
      </c>
      <c r="AI86" s="262" t="e">
        <f>IF(AG86&gt;'FBM Results'!$C$28*1.1,1,)</f>
        <v>#DIV/0!</v>
      </c>
      <c r="AJ86" s="264">
        <f>$W$18*$AG$21*$E86</f>
        <v>0</v>
      </c>
      <c r="AK86" s="255"/>
      <c r="AL86" s="267" t="e">
        <f>(AK86/$E86)/$AG$21</f>
        <v>#DIV/0!</v>
      </c>
      <c r="AM86" s="262" t="e">
        <f>IF(AL86&lt;'FBM Results'!$C$29*0.9,1,)</f>
        <v>#DIV/0!</v>
      </c>
      <c r="AN86" s="262" t="e">
        <f>IF(AL86&gt;'FBM Results'!$C$29*1.1,1,)</f>
        <v>#DIV/0!</v>
      </c>
      <c r="AO86" s="271">
        <f>SUM(F87+K87+P87+U87+Z87+AE87+AJ87)</f>
        <v>0</v>
      </c>
      <c r="AP86" s="272" t="e">
        <f>(AO86/E86)/$AG$21</f>
        <v>#DIV/0!</v>
      </c>
      <c r="AQ86" s="322" t="e">
        <f>AP86*100/$AG$19</f>
        <v>#DIV/0!</v>
      </c>
      <c r="AR86" s="34"/>
      <c r="AS86" s="34"/>
    </row>
    <row r="87" spans="2:45" s="38" customFormat="1" hidden="1" x14ac:dyDescent="0.2">
      <c r="B87" s="342"/>
      <c r="C87" s="86"/>
      <c r="D87" s="85"/>
      <c r="E87" s="255"/>
      <c r="F87" s="257">
        <f>(G86*$AB$12)/100</f>
        <v>0</v>
      </c>
      <c r="G87" s="87"/>
      <c r="H87" s="347"/>
      <c r="I87" s="243"/>
      <c r="J87" s="262"/>
      <c r="K87" s="265">
        <f>(L86*$AB$13)/100</f>
        <v>0</v>
      </c>
      <c r="L87" s="84"/>
      <c r="M87" s="347"/>
      <c r="N87" s="243"/>
      <c r="O87" s="262"/>
      <c r="P87" s="265">
        <f>(Q86*$AB$14)/100</f>
        <v>0</v>
      </c>
      <c r="Q87" s="87"/>
      <c r="R87" s="347"/>
      <c r="S87" s="262"/>
      <c r="T87" s="262"/>
      <c r="U87" s="263">
        <f>(V86*$AB$15)/100</f>
        <v>0</v>
      </c>
      <c r="V87" s="87"/>
      <c r="W87" s="347"/>
      <c r="X87" s="262"/>
      <c r="Y87" s="262"/>
      <c r="Z87" s="263">
        <f>(AA86*$AB$16)/100</f>
        <v>0</v>
      </c>
      <c r="AA87" s="87"/>
      <c r="AB87" s="347"/>
      <c r="AC87" s="262"/>
      <c r="AD87" s="262"/>
      <c r="AE87" s="263">
        <f>(AF86*$AB$17)/100</f>
        <v>0</v>
      </c>
      <c r="AF87" s="87"/>
      <c r="AG87" s="347"/>
      <c r="AH87" s="262"/>
      <c r="AI87" s="262"/>
      <c r="AJ87" s="263">
        <f>(AK86*$AB$18)/100</f>
        <v>0</v>
      </c>
      <c r="AK87" s="87"/>
      <c r="AL87" s="266"/>
      <c r="AM87" s="262"/>
      <c r="AN87" s="262"/>
      <c r="AO87" s="253"/>
      <c r="AP87" s="272"/>
      <c r="AQ87" s="322"/>
      <c r="AR87" s="34"/>
      <c r="AS87" s="34"/>
    </row>
    <row r="88" spans="2:45" s="38" customFormat="1" x14ac:dyDescent="0.2">
      <c r="B88" s="340" t="b">
        <f>IF(E88&gt;0,31)</f>
        <v>0</v>
      </c>
      <c r="C88" s="46"/>
      <c r="D88" s="47"/>
      <c r="E88" s="255"/>
      <c r="F88" s="258">
        <f>$AG$21*'FBM Results'!$C$23*E88</f>
        <v>0</v>
      </c>
      <c r="G88" s="255"/>
      <c r="H88" s="346" t="e">
        <f>(G88/E88)/$AG$21</f>
        <v>#DIV/0!</v>
      </c>
      <c r="I88" s="262" t="e">
        <f>IF(H88&lt;'FBM Results'!$C$23*0.9,1,0)</f>
        <v>#DIV/0!</v>
      </c>
      <c r="J88" s="262" t="e">
        <f>IF(H88&gt;'FBM Results'!$C$23*1.1,1,)</f>
        <v>#DIV/0!</v>
      </c>
      <c r="K88" s="264">
        <f>($W$13*$AG$21)*E88</f>
        <v>0</v>
      </c>
      <c r="L88" s="255"/>
      <c r="M88" s="346" t="e">
        <f>(L88/E88)/$AG$21</f>
        <v>#DIV/0!</v>
      </c>
      <c r="N88" s="262" t="e">
        <f>IF(M88&lt;'FBM Results'!$C$24*0.9,1,)</f>
        <v>#DIV/0!</v>
      </c>
      <c r="O88" s="262" t="e">
        <f>IF(M88&gt;'FBM Results'!$C$24*1.1,1,)</f>
        <v>#DIV/0!</v>
      </c>
      <c r="P88" s="264">
        <f>($W$14*$AG$21)*E88</f>
        <v>0</v>
      </c>
      <c r="Q88" s="255"/>
      <c r="R88" s="350" t="e">
        <f>(Q88/E88)/$AG$21</f>
        <v>#DIV/0!</v>
      </c>
      <c r="S88" s="262" t="e">
        <f>IF(R88&lt;'FBM Results'!$C$25*0.9,1,)</f>
        <v>#DIV/0!</v>
      </c>
      <c r="T88" s="262" t="e">
        <f>IF(R88&gt;'FBM Results'!$C$25*1.1,1,)</f>
        <v>#DIV/0!</v>
      </c>
      <c r="U88" s="264">
        <f>($W$15*$AG$21)*E88</f>
        <v>0</v>
      </c>
      <c r="V88" s="255"/>
      <c r="W88" s="350" t="e">
        <f>(V88/E88)/$AG$21</f>
        <v>#DIV/0!</v>
      </c>
      <c r="X88" s="262" t="e">
        <f>IF(W88&lt;'FBM Results'!$C$26*0.9,1,)</f>
        <v>#DIV/0!</v>
      </c>
      <c r="Y88" s="262" t="e">
        <f>IF(W88&gt;'FBM Results'!$C$26*1.1,1,)</f>
        <v>#DIV/0!</v>
      </c>
      <c r="Z88" s="264">
        <f>($W$16*$AG$21)*E88</f>
        <v>0</v>
      </c>
      <c r="AA88" s="255"/>
      <c r="AB88" s="350" t="e">
        <f>(AA88/$E88)/$AG$21</f>
        <v>#DIV/0!</v>
      </c>
      <c r="AC88" s="262" t="e">
        <f>IF(AB88&lt;'FBM Results'!$C$27*0.9,1,)</f>
        <v>#DIV/0!</v>
      </c>
      <c r="AD88" s="262" t="e">
        <f>IF(AB88&gt;'FBM Results'!$C$27*1.1,1,)</f>
        <v>#DIV/0!</v>
      </c>
      <c r="AE88" s="264">
        <f>$W$17*$AG$21*$E88</f>
        <v>0</v>
      </c>
      <c r="AF88" s="255"/>
      <c r="AG88" s="350" t="e">
        <f>(AF88/$E88)/$AG$21</f>
        <v>#DIV/0!</v>
      </c>
      <c r="AH88" s="262" t="e">
        <f>IF(AG88&lt;'FBM Results'!$C$28*0.9,1,)</f>
        <v>#DIV/0!</v>
      </c>
      <c r="AI88" s="262" t="e">
        <f>IF(AG88&gt;'FBM Results'!$C$28*1.1,1,)</f>
        <v>#DIV/0!</v>
      </c>
      <c r="AJ88" s="264">
        <f>$W$18*$AG$21*$E88</f>
        <v>0</v>
      </c>
      <c r="AK88" s="255"/>
      <c r="AL88" s="267" t="e">
        <f>(AK88/$E88)/$AG$21</f>
        <v>#DIV/0!</v>
      </c>
      <c r="AM88" s="262" t="e">
        <f>IF(AL88&lt;'FBM Results'!$C$29*0.9,1,)</f>
        <v>#DIV/0!</v>
      </c>
      <c r="AN88" s="262" t="e">
        <f>IF(AL88&gt;'FBM Results'!$C$29*1.1,1,)</f>
        <v>#DIV/0!</v>
      </c>
      <c r="AO88" s="271">
        <f>SUM(F89+K89+P89+U89+Z89+AE89+AJ89)</f>
        <v>0</v>
      </c>
      <c r="AP88" s="272" t="e">
        <f>(AO88/E88)/$AG$21</f>
        <v>#DIV/0!</v>
      </c>
      <c r="AQ88" s="322" t="e">
        <f>AP88*100/$AG$19</f>
        <v>#DIV/0!</v>
      </c>
      <c r="AR88" s="34"/>
      <c r="AS88" s="34"/>
    </row>
    <row r="89" spans="2:45" s="38" customFormat="1" hidden="1" x14ac:dyDescent="0.2">
      <c r="B89" s="340"/>
      <c r="C89" s="86"/>
      <c r="D89" s="85"/>
      <c r="E89" s="255"/>
      <c r="F89" s="257">
        <f>(G88*$AB$12)/100</f>
        <v>0</v>
      </c>
      <c r="G89" s="87"/>
      <c r="H89" s="345"/>
      <c r="I89" s="243"/>
      <c r="J89" s="262"/>
      <c r="K89" s="265">
        <f>(L88*$AB$13)/100</f>
        <v>0</v>
      </c>
      <c r="L89" s="84"/>
      <c r="M89" s="345"/>
      <c r="N89" s="243"/>
      <c r="O89" s="262"/>
      <c r="P89" s="265">
        <f>(Q88*$AB$14)/100</f>
        <v>0</v>
      </c>
      <c r="Q89" s="87"/>
      <c r="R89" s="345"/>
      <c r="S89" s="262"/>
      <c r="T89" s="262"/>
      <c r="U89" s="263">
        <f>(V88*$AB$15)/100</f>
        <v>0</v>
      </c>
      <c r="V89" s="87"/>
      <c r="W89" s="345"/>
      <c r="X89" s="262"/>
      <c r="Y89" s="262"/>
      <c r="Z89" s="263">
        <f>(AA88*$AB$16)/100</f>
        <v>0</v>
      </c>
      <c r="AA89" s="87"/>
      <c r="AB89" s="345"/>
      <c r="AC89" s="262"/>
      <c r="AD89" s="262"/>
      <c r="AE89" s="263">
        <f>(AF88*$AB$17)/100</f>
        <v>0</v>
      </c>
      <c r="AF89" s="87"/>
      <c r="AG89" s="345"/>
      <c r="AH89" s="262"/>
      <c r="AI89" s="262"/>
      <c r="AJ89" s="263">
        <f>(AK88*$AB$18)/100</f>
        <v>0</v>
      </c>
      <c r="AK89" s="87"/>
      <c r="AL89" s="261"/>
      <c r="AM89" s="262"/>
      <c r="AN89" s="262"/>
      <c r="AO89" s="271"/>
      <c r="AP89" s="272"/>
      <c r="AQ89" s="322"/>
      <c r="AR89" s="34"/>
      <c r="AS89" s="34"/>
    </row>
    <row r="90" spans="2:45" s="38" customFormat="1" x14ac:dyDescent="0.2">
      <c r="B90" s="340" t="b">
        <f>IF(E90&gt;0,32)</f>
        <v>0</v>
      </c>
      <c r="C90" s="46"/>
      <c r="D90" s="47"/>
      <c r="E90" s="255"/>
      <c r="F90" s="258">
        <f>$AG$21*'FBM Results'!$C$23*E90</f>
        <v>0</v>
      </c>
      <c r="G90" s="255"/>
      <c r="H90" s="346" t="e">
        <f>(G90/E90)/$AG$21</f>
        <v>#DIV/0!</v>
      </c>
      <c r="I90" s="262" t="e">
        <f>IF(H90&lt;'FBM Results'!$C$23*0.9,1,0)</f>
        <v>#DIV/0!</v>
      </c>
      <c r="J90" s="262" t="e">
        <f>IF(H90&gt;'FBM Results'!$C$23*1.1,1,)</f>
        <v>#DIV/0!</v>
      </c>
      <c r="K90" s="264">
        <f>($W$13*$AG$21)*E90</f>
        <v>0</v>
      </c>
      <c r="L90" s="255"/>
      <c r="M90" s="346" t="e">
        <f>(L90/E90)/$AG$21</f>
        <v>#DIV/0!</v>
      </c>
      <c r="N90" s="262" t="e">
        <f>IF(M90&lt;'FBM Results'!$C$24*0.9,1,)</f>
        <v>#DIV/0!</v>
      </c>
      <c r="O90" s="262" t="e">
        <f>IF(M90&gt;'FBM Results'!$C$24*1.1,1,)</f>
        <v>#DIV/0!</v>
      </c>
      <c r="P90" s="264">
        <f>($W$14*$AG$21)*E90</f>
        <v>0</v>
      </c>
      <c r="Q90" s="255"/>
      <c r="R90" s="350" t="e">
        <f>(Q90/E90)/$AG$21</f>
        <v>#DIV/0!</v>
      </c>
      <c r="S90" s="262" t="e">
        <f>IF(R90&lt;'FBM Results'!$C$25*0.9,1,)</f>
        <v>#DIV/0!</v>
      </c>
      <c r="T90" s="262" t="e">
        <f>IF(R90&gt;'FBM Results'!$C$25*1.1,1,)</f>
        <v>#DIV/0!</v>
      </c>
      <c r="U90" s="264">
        <f>($W$15*$AG$21)*E90</f>
        <v>0</v>
      </c>
      <c r="V90" s="255"/>
      <c r="W90" s="350" t="e">
        <f>(V90/E90)/$AG$21</f>
        <v>#DIV/0!</v>
      </c>
      <c r="X90" s="262" t="e">
        <f>IF(W90&lt;'FBM Results'!$C$26*0.9,1,)</f>
        <v>#DIV/0!</v>
      </c>
      <c r="Y90" s="262" t="e">
        <f>IF(W90&gt;'FBM Results'!$C$26*1.1,1,)</f>
        <v>#DIV/0!</v>
      </c>
      <c r="Z90" s="264">
        <f>($W$16*$AG$21)*E90</f>
        <v>0</v>
      </c>
      <c r="AA90" s="255"/>
      <c r="AB90" s="350" t="e">
        <f>(AA90/$E90)/$AG$21</f>
        <v>#DIV/0!</v>
      </c>
      <c r="AC90" s="262" t="e">
        <f>IF(AB90&lt;'FBM Results'!$C$27*0.9,1,)</f>
        <v>#DIV/0!</v>
      </c>
      <c r="AD90" s="262" t="e">
        <f>IF(AB90&gt;'FBM Results'!$C$27*1.1,1,)</f>
        <v>#DIV/0!</v>
      </c>
      <c r="AE90" s="264">
        <f>$W$17*$AG$21*$E90</f>
        <v>0</v>
      </c>
      <c r="AF90" s="255"/>
      <c r="AG90" s="350" t="e">
        <f>(AF90/$E90)/$AG$21</f>
        <v>#DIV/0!</v>
      </c>
      <c r="AH90" s="262" t="e">
        <f>IF(AG90&lt;'FBM Results'!$C$28*0.9,1,)</f>
        <v>#DIV/0!</v>
      </c>
      <c r="AI90" s="262" t="e">
        <f>IF(AG90&gt;'FBM Results'!$C$28*1.1,1,)</f>
        <v>#DIV/0!</v>
      </c>
      <c r="AJ90" s="264">
        <f>$W$18*$AG$21*$E90</f>
        <v>0</v>
      </c>
      <c r="AK90" s="255"/>
      <c r="AL90" s="267" t="e">
        <f>(AK90/$E90)/$AG$21</f>
        <v>#DIV/0!</v>
      </c>
      <c r="AM90" s="262" t="e">
        <f>IF(AL90&lt;'FBM Results'!$C$29*0.9,1,)</f>
        <v>#DIV/0!</v>
      </c>
      <c r="AN90" s="262" t="e">
        <f>IF(AL90&gt;'FBM Results'!$C$29*1.1,1,)</f>
        <v>#DIV/0!</v>
      </c>
      <c r="AO90" s="271">
        <f>SUM(F91+K91+P91+U91+Z91+AE91+AJ91)</f>
        <v>0</v>
      </c>
      <c r="AP90" s="272" t="e">
        <f>(AO90/E90)/$AG$21</f>
        <v>#DIV/0!</v>
      </c>
      <c r="AQ90" s="322" t="e">
        <f>AP90*100/$AG$19</f>
        <v>#DIV/0!</v>
      </c>
      <c r="AR90" s="34"/>
      <c r="AS90" s="34"/>
    </row>
    <row r="91" spans="2:45" s="38" customFormat="1" hidden="1" x14ac:dyDescent="0.2">
      <c r="B91" s="340"/>
      <c r="C91" s="86"/>
      <c r="D91" s="85"/>
      <c r="E91" s="255"/>
      <c r="F91" s="257">
        <f>(G90*$AB$12)/100</f>
        <v>0</v>
      </c>
      <c r="G91" s="87"/>
      <c r="H91" s="345"/>
      <c r="I91" s="243"/>
      <c r="J91" s="262"/>
      <c r="K91" s="265">
        <f>(L90*$AB$13)/100</f>
        <v>0</v>
      </c>
      <c r="L91" s="84"/>
      <c r="M91" s="345"/>
      <c r="N91" s="243"/>
      <c r="O91" s="262"/>
      <c r="P91" s="265">
        <f>(Q90*$AB$14)/100</f>
        <v>0</v>
      </c>
      <c r="Q91" s="87"/>
      <c r="R91" s="345"/>
      <c r="S91" s="262"/>
      <c r="T91" s="262"/>
      <c r="U91" s="263">
        <f>(V90*$AB$15)/100</f>
        <v>0</v>
      </c>
      <c r="V91" s="87"/>
      <c r="W91" s="345"/>
      <c r="X91" s="262"/>
      <c r="Y91" s="262"/>
      <c r="Z91" s="263">
        <f>(AA90*$AB$16)/100</f>
        <v>0</v>
      </c>
      <c r="AA91" s="87"/>
      <c r="AB91" s="345"/>
      <c r="AC91" s="262"/>
      <c r="AD91" s="262"/>
      <c r="AE91" s="263">
        <f>(AF90*$AB$17)/100</f>
        <v>0</v>
      </c>
      <c r="AF91" s="87"/>
      <c r="AG91" s="345"/>
      <c r="AH91" s="262"/>
      <c r="AI91" s="262"/>
      <c r="AJ91" s="263">
        <f>(AK90*$AB$18)/100</f>
        <v>0</v>
      </c>
      <c r="AK91" s="87"/>
      <c r="AL91" s="261"/>
      <c r="AM91" s="262"/>
      <c r="AN91" s="262"/>
      <c r="AO91" s="271"/>
      <c r="AP91" s="272"/>
      <c r="AQ91" s="322"/>
      <c r="AR91" s="34"/>
      <c r="AS91" s="34"/>
    </row>
    <row r="92" spans="2:45" s="38" customFormat="1" x14ac:dyDescent="0.2">
      <c r="B92" s="340" t="b">
        <f>IF(E92&gt;0,33)</f>
        <v>0</v>
      </c>
      <c r="C92" s="46"/>
      <c r="D92" s="47"/>
      <c r="E92" s="255"/>
      <c r="F92" s="258">
        <f>$AG$21*'FBM Results'!$C$23*E92</f>
        <v>0</v>
      </c>
      <c r="G92" s="255"/>
      <c r="H92" s="346" t="e">
        <f>(G92/E92)/$AG$21</f>
        <v>#DIV/0!</v>
      </c>
      <c r="I92" s="262" t="e">
        <f>IF(H92&lt;'FBM Results'!$C$23*0.9,1,0)</f>
        <v>#DIV/0!</v>
      </c>
      <c r="J92" s="262" t="e">
        <f>IF(H92&gt;'FBM Results'!$C$23*1.1,1,)</f>
        <v>#DIV/0!</v>
      </c>
      <c r="K92" s="264">
        <f>($W$13*$AG$21)*E92</f>
        <v>0</v>
      </c>
      <c r="L92" s="255"/>
      <c r="M92" s="346" t="e">
        <f>(L92/E92)/$AG$21</f>
        <v>#DIV/0!</v>
      </c>
      <c r="N92" s="262" t="e">
        <f>IF(M92&lt;'FBM Results'!$C$24*0.9,1,)</f>
        <v>#DIV/0!</v>
      </c>
      <c r="O92" s="262" t="e">
        <f>IF(M92&gt;'FBM Results'!$C$24*1.1,1,)</f>
        <v>#DIV/0!</v>
      </c>
      <c r="P92" s="264">
        <f>($W$14*$AG$21)*E92</f>
        <v>0</v>
      </c>
      <c r="Q92" s="255"/>
      <c r="R92" s="350" t="e">
        <f>(Q92/E92)/$AG$21</f>
        <v>#DIV/0!</v>
      </c>
      <c r="S92" s="262" t="e">
        <f>IF(R92&lt;'FBM Results'!$C$25*0.9,1,)</f>
        <v>#DIV/0!</v>
      </c>
      <c r="T92" s="262" t="e">
        <f>IF(R92&gt;'FBM Results'!$C$25*1.1,1,)</f>
        <v>#DIV/0!</v>
      </c>
      <c r="U92" s="264">
        <f>($W$15*$AG$21)*E92</f>
        <v>0</v>
      </c>
      <c r="V92" s="255"/>
      <c r="W92" s="350" t="e">
        <f>(V92/E92)/$AG$21</f>
        <v>#DIV/0!</v>
      </c>
      <c r="X92" s="262" t="e">
        <f>IF(W92&lt;'FBM Results'!$C$26*0.9,1,)</f>
        <v>#DIV/0!</v>
      </c>
      <c r="Y92" s="262" t="e">
        <f>IF(W92&gt;'FBM Results'!$C$26*1.1,1,)</f>
        <v>#DIV/0!</v>
      </c>
      <c r="Z92" s="264">
        <f>($W$16*$AG$21)*E92</f>
        <v>0</v>
      </c>
      <c r="AA92" s="255"/>
      <c r="AB92" s="350" t="e">
        <f>(AA92/$E92)/$AG$21</f>
        <v>#DIV/0!</v>
      </c>
      <c r="AC92" s="262" t="e">
        <f>IF(AB92&lt;'FBM Results'!$C$27*0.9,1,)</f>
        <v>#DIV/0!</v>
      </c>
      <c r="AD92" s="262" t="e">
        <f>IF(AB92&gt;'FBM Results'!$C$27*1.1,1,)</f>
        <v>#DIV/0!</v>
      </c>
      <c r="AE92" s="264">
        <f>$W$17*$AG$21*$E92</f>
        <v>0</v>
      </c>
      <c r="AF92" s="255"/>
      <c r="AG92" s="350" t="e">
        <f>(AF92/$E92)/$AG$21</f>
        <v>#DIV/0!</v>
      </c>
      <c r="AH92" s="262" t="e">
        <f>IF(AG92&lt;'FBM Results'!$C$28*0.9,1,)</f>
        <v>#DIV/0!</v>
      </c>
      <c r="AI92" s="262" t="e">
        <f>IF(AG92&gt;'FBM Results'!$C$28*1.1,1,)</f>
        <v>#DIV/0!</v>
      </c>
      <c r="AJ92" s="264">
        <f>$W$18*$AG$21*$E92</f>
        <v>0</v>
      </c>
      <c r="AK92" s="255"/>
      <c r="AL92" s="267" t="e">
        <f>(AK92/$E92)/$AG$21</f>
        <v>#DIV/0!</v>
      </c>
      <c r="AM92" s="262" t="e">
        <f>IF(AL92&lt;'FBM Results'!$C$29*0.9,1,)</f>
        <v>#DIV/0!</v>
      </c>
      <c r="AN92" s="262" t="e">
        <f>IF(AL92&gt;'FBM Results'!$C$29*1.1,1,)</f>
        <v>#DIV/0!</v>
      </c>
      <c r="AO92" s="271">
        <f>SUM(F93+K93+P93+U93+Z93+AE93+AJ93)</f>
        <v>0</v>
      </c>
      <c r="AP92" s="272" t="e">
        <f>(AO92/E92)/$AG$21</f>
        <v>#DIV/0!</v>
      </c>
      <c r="AQ92" s="322" t="e">
        <f>AP92*100/$AG$19</f>
        <v>#DIV/0!</v>
      </c>
      <c r="AR92" s="34"/>
      <c r="AS92" s="34"/>
    </row>
    <row r="93" spans="2:45" s="38" customFormat="1" hidden="1" x14ac:dyDescent="0.2">
      <c r="B93" s="340"/>
      <c r="C93" s="86"/>
      <c r="D93" s="85"/>
      <c r="E93" s="255"/>
      <c r="F93" s="257">
        <f>(G92*$AB$12)/100</f>
        <v>0</v>
      </c>
      <c r="G93" s="87"/>
      <c r="H93" s="345"/>
      <c r="I93" s="243"/>
      <c r="J93" s="262"/>
      <c r="K93" s="265">
        <f>(L92*$AB$13)/100</f>
        <v>0</v>
      </c>
      <c r="L93" s="84"/>
      <c r="M93" s="345"/>
      <c r="N93" s="243"/>
      <c r="O93" s="262"/>
      <c r="P93" s="265">
        <f>(Q92*$AB$14)/100</f>
        <v>0</v>
      </c>
      <c r="Q93" s="87"/>
      <c r="R93" s="345"/>
      <c r="S93" s="262"/>
      <c r="T93" s="262"/>
      <c r="U93" s="263">
        <f>(V92*$AB$15)/100</f>
        <v>0</v>
      </c>
      <c r="V93" s="87"/>
      <c r="W93" s="345"/>
      <c r="X93" s="262"/>
      <c r="Y93" s="262"/>
      <c r="Z93" s="263">
        <f>(AA92*$AB$16)/100</f>
        <v>0</v>
      </c>
      <c r="AA93" s="87"/>
      <c r="AB93" s="345"/>
      <c r="AC93" s="262"/>
      <c r="AD93" s="262"/>
      <c r="AE93" s="263">
        <f>(AF92*$AB$17)/100</f>
        <v>0</v>
      </c>
      <c r="AF93" s="87"/>
      <c r="AG93" s="345"/>
      <c r="AH93" s="262"/>
      <c r="AI93" s="262"/>
      <c r="AJ93" s="263">
        <f>(AK92*$AB$18)/100</f>
        <v>0</v>
      </c>
      <c r="AK93" s="87"/>
      <c r="AL93" s="261"/>
      <c r="AM93" s="262"/>
      <c r="AN93" s="262"/>
      <c r="AO93" s="271"/>
      <c r="AP93" s="272"/>
      <c r="AQ93" s="322"/>
      <c r="AR93" s="34"/>
      <c r="AS93" s="34"/>
    </row>
    <row r="94" spans="2:45" s="38" customFormat="1" x14ac:dyDescent="0.2">
      <c r="B94" s="340" t="b">
        <f>IF(E94&gt;0,34)</f>
        <v>0</v>
      </c>
      <c r="C94" s="46"/>
      <c r="D94" s="47"/>
      <c r="E94" s="255"/>
      <c r="F94" s="258">
        <f>$AG$21*'FBM Results'!$C$23*E94</f>
        <v>0</v>
      </c>
      <c r="G94" s="255"/>
      <c r="H94" s="346" t="e">
        <f>(G94/E94)/$AG$21</f>
        <v>#DIV/0!</v>
      </c>
      <c r="I94" s="262" t="e">
        <f>IF(H94&lt;'FBM Results'!$C$23*0.9,1,0)</f>
        <v>#DIV/0!</v>
      </c>
      <c r="J94" s="262" t="e">
        <f>IF(H94&gt;'FBM Results'!$C$23*1.1,1,)</f>
        <v>#DIV/0!</v>
      </c>
      <c r="K94" s="264">
        <f>($W$13*$AG$21)*E94</f>
        <v>0</v>
      </c>
      <c r="L94" s="255"/>
      <c r="M94" s="346" t="e">
        <f>(L94/E94)/$AG$21</f>
        <v>#DIV/0!</v>
      </c>
      <c r="N94" s="262" t="e">
        <f>IF(M94&lt;'FBM Results'!$C$24*0.9,1,)</f>
        <v>#DIV/0!</v>
      </c>
      <c r="O94" s="262" t="e">
        <f>IF(M94&gt;'FBM Results'!$C$24*1.1,1,)</f>
        <v>#DIV/0!</v>
      </c>
      <c r="P94" s="264">
        <f>($W$14*$AG$21)*E94</f>
        <v>0</v>
      </c>
      <c r="Q94" s="255"/>
      <c r="R94" s="350" t="e">
        <f>(Q94/E94)/$AG$21</f>
        <v>#DIV/0!</v>
      </c>
      <c r="S94" s="262" t="e">
        <f>IF(R94&lt;'FBM Results'!$C$25*0.9,1,)</f>
        <v>#DIV/0!</v>
      </c>
      <c r="T94" s="262" t="e">
        <f>IF(R94&gt;'FBM Results'!$C$25*1.1,1,)</f>
        <v>#DIV/0!</v>
      </c>
      <c r="U94" s="264">
        <f>($W$15*$AG$21)*E94</f>
        <v>0</v>
      </c>
      <c r="V94" s="255"/>
      <c r="W94" s="350" t="e">
        <f>(V94/E94)/$AG$21</f>
        <v>#DIV/0!</v>
      </c>
      <c r="X94" s="262" t="e">
        <f>IF(W94&lt;'FBM Results'!$C$26*0.9,1,)</f>
        <v>#DIV/0!</v>
      </c>
      <c r="Y94" s="262" t="e">
        <f>IF(W94&gt;'FBM Results'!$C$26*1.1,1,)</f>
        <v>#DIV/0!</v>
      </c>
      <c r="Z94" s="264">
        <f>($W$16*$AG$21)*E94</f>
        <v>0</v>
      </c>
      <c r="AA94" s="255"/>
      <c r="AB94" s="350" t="e">
        <f>(AA94/$E94)/$AG$21</f>
        <v>#DIV/0!</v>
      </c>
      <c r="AC94" s="262" t="e">
        <f>IF(AB94&lt;'FBM Results'!$C$27*0.9,1,)</f>
        <v>#DIV/0!</v>
      </c>
      <c r="AD94" s="262" t="e">
        <f>IF(AB94&gt;'FBM Results'!$C$27*1.1,1,)</f>
        <v>#DIV/0!</v>
      </c>
      <c r="AE94" s="264">
        <f>$W$17*$AG$21*$E94</f>
        <v>0</v>
      </c>
      <c r="AF94" s="255"/>
      <c r="AG94" s="350" t="e">
        <f>(AF94/$E94)/$AG$21</f>
        <v>#DIV/0!</v>
      </c>
      <c r="AH94" s="262" t="e">
        <f>IF(AG94&lt;'FBM Results'!$C$28*0.9,1,)</f>
        <v>#DIV/0!</v>
      </c>
      <c r="AI94" s="262" t="e">
        <f>IF(AG94&gt;'FBM Results'!$C$28*1.1,1,)</f>
        <v>#DIV/0!</v>
      </c>
      <c r="AJ94" s="264">
        <f>$W$18*$AG$21*$E94</f>
        <v>0</v>
      </c>
      <c r="AK94" s="255"/>
      <c r="AL94" s="267" t="e">
        <f>(AK94/$E94)/$AG$21</f>
        <v>#DIV/0!</v>
      </c>
      <c r="AM94" s="262" t="e">
        <f>IF(AL94&lt;'FBM Results'!$C$29*0.9,1,)</f>
        <v>#DIV/0!</v>
      </c>
      <c r="AN94" s="262" t="e">
        <f>IF(AL94&gt;'FBM Results'!$C$29*1.1,1,)</f>
        <v>#DIV/0!</v>
      </c>
      <c r="AO94" s="271">
        <f>SUM(F95+K95+P95+U95+Z95+AE95+AJ95)</f>
        <v>0</v>
      </c>
      <c r="AP94" s="272" t="e">
        <f>(AO94/E94)/$AG$21</f>
        <v>#DIV/0!</v>
      </c>
      <c r="AQ94" s="322" t="e">
        <f>AP94*100/$AG$19</f>
        <v>#DIV/0!</v>
      </c>
      <c r="AR94" s="34"/>
      <c r="AS94" s="34"/>
    </row>
    <row r="95" spans="2:45" s="38" customFormat="1" hidden="1" x14ac:dyDescent="0.2">
      <c r="B95" s="340"/>
      <c r="C95" s="86"/>
      <c r="D95" s="85"/>
      <c r="E95" s="255"/>
      <c r="F95" s="257">
        <f>(G94*$AB$12)/100</f>
        <v>0</v>
      </c>
      <c r="G95" s="87"/>
      <c r="H95" s="345"/>
      <c r="I95" s="243"/>
      <c r="J95" s="262"/>
      <c r="K95" s="265">
        <f>(L94*$AB$13)/100</f>
        <v>0</v>
      </c>
      <c r="L95" s="84"/>
      <c r="M95" s="345"/>
      <c r="N95" s="243"/>
      <c r="O95" s="262"/>
      <c r="P95" s="265">
        <f>(Q94*$AB$14)/100</f>
        <v>0</v>
      </c>
      <c r="Q95" s="87"/>
      <c r="R95" s="345"/>
      <c r="S95" s="262"/>
      <c r="T95" s="262"/>
      <c r="U95" s="263">
        <f>(V94*$AB$15)/100</f>
        <v>0</v>
      </c>
      <c r="V95" s="87"/>
      <c r="W95" s="345"/>
      <c r="X95" s="262"/>
      <c r="Y95" s="262"/>
      <c r="Z95" s="263">
        <f>(AA94*$AB$16)/100</f>
        <v>0</v>
      </c>
      <c r="AA95" s="87"/>
      <c r="AB95" s="345"/>
      <c r="AC95" s="262"/>
      <c r="AD95" s="262"/>
      <c r="AE95" s="263">
        <f>(AF94*$AB$17)/100</f>
        <v>0</v>
      </c>
      <c r="AF95" s="87"/>
      <c r="AG95" s="345"/>
      <c r="AH95" s="262"/>
      <c r="AI95" s="262"/>
      <c r="AJ95" s="263">
        <f>(AK94*$AB$18)/100</f>
        <v>0</v>
      </c>
      <c r="AK95" s="87"/>
      <c r="AL95" s="261"/>
      <c r="AM95" s="262"/>
      <c r="AN95" s="262"/>
      <c r="AO95" s="271"/>
      <c r="AP95" s="272"/>
      <c r="AQ95" s="322"/>
      <c r="AR95" s="34"/>
      <c r="AS95" s="34"/>
    </row>
    <row r="96" spans="2:45" s="38" customFormat="1" x14ac:dyDescent="0.2">
      <c r="B96" s="340" t="b">
        <f>IF(E96&gt;0,35)</f>
        <v>0</v>
      </c>
      <c r="C96" s="46"/>
      <c r="D96" s="47"/>
      <c r="E96" s="255"/>
      <c r="F96" s="258">
        <f>$AG$21*'FBM Results'!$C$23*E96</f>
        <v>0</v>
      </c>
      <c r="G96" s="255"/>
      <c r="H96" s="346" t="e">
        <f>(G96/E96)/$AG$21</f>
        <v>#DIV/0!</v>
      </c>
      <c r="I96" s="262" t="e">
        <f>IF(H96&lt;'FBM Results'!$C$23*0.9,1,0)</f>
        <v>#DIV/0!</v>
      </c>
      <c r="J96" s="262" t="e">
        <f>IF(H96&gt;'FBM Results'!$C$23*1.1,1,)</f>
        <v>#DIV/0!</v>
      </c>
      <c r="K96" s="264">
        <f>($W$13*$AG$21)*E96</f>
        <v>0</v>
      </c>
      <c r="L96" s="255"/>
      <c r="M96" s="346" t="e">
        <f>(L96/E96)/$AG$21</f>
        <v>#DIV/0!</v>
      </c>
      <c r="N96" s="262" t="e">
        <f>IF(M96&lt;'FBM Results'!$C$24*0.9,1,)</f>
        <v>#DIV/0!</v>
      </c>
      <c r="O96" s="262" t="e">
        <f>IF(M96&gt;'FBM Results'!$C$24*1.1,1,)</f>
        <v>#DIV/0!</v>
      </c>
      <c r="P96" s="264">
        <f>($W$14*$AG$21)*E96</f>
        <v>0</v>
      </c>
      <c r="Q96" s="255"/>
      <c r="R96" s="350" t="e">
        <f>(Q96/E96)/$AG$21</f>
        <v>#DIV/0!</v>
      </c>
      <c r="S96" s="262" t="e">
        <f>IF(R96&lt;'FBM Results'!$C$25*0.9,1,)</f>
        <v>#DIV/0!</v>
      </c>
      <c r="T96" s="262" t="e">
        <f>IF(R96&gt;'FBM Results'!$C$25*1.1,1,)</f>
        <v>#DIV/0!</v>
      </c>
      <c r="U96" s="264">
        <f>($W$15*$AG$21)*E96</f>
        <v>0</v>
      </c>
      <c r="V96" s="255"/>
      <c r="W96" s="350" t="e">
        <f>(V96/E96)/$AG$21</f>
        <v>#DIV/0!</v>
      </c>
      <c r="X96" s="262" t="e">
        <f>IF(W96&lt;'FBM Results'!$C$26*0.9,1,)</f>
        <v>#DIV/0!</v>
      </c>
      <c r="Y96" s="262" t="e">
        <f>IF(W96&gt;'FBM Results'!$C$26*1.1,1,)</f>
        <v>#DIV/0!</v>
      </c>
      <c r="Z96" s="264">
        <f>($W$16*$AG$21)*E96</f>
        <v>0</v>
      </c>
      <c r="AA96" s="255"/>
      <c r="AB96" s="350" t="e">
        <f>(AA96/$E96)/$AG$21</f>
        <v>#DIV/0!</v>
      </c>
      <c r="AC96" s="262" t="e">
        <f>IF(AB96&lt;'FBM Results'!$C$27*0.9,1,)</f>
        <v>#DIV/0!</v>
      </c>
      <c r="AD96" s="262" t="e">
        <f>IF(AB96&gt;'FBM Results'!$C$27*1.1,1,)</f>
        <v>#DIV/0!</v>
      </c>
      <c r="AE96" s="264">
        <f>$W$17*$AG$21*$E96</f>
        <v>0</v>
      </c>
      <c r="AF96" s="255"/>
      <c r="AG96" s="350" t="e">
        <f>(AF96/$E96)/$AG$21</f>
        <v>#DIV/0!</v>
      </c>
      <c r="AH96" s="262" t="e">
        <f>IF(AG96&lt;'FBM Results'!$C$28*0.9,1,)</f>
        <v>#DIV/0!</v>
      </c>
      <c r="AI96" s="262" t="e">
        <f>IF(AG96&gt;'FBM Results'!$C$28*1.1,1,)</f>
        <v>#DIV/0!</v>
      </c>
      <c r="AJ96" s="264">
        <f>$W$18*$AG$21*$E96</f>
        <v>0</v>
      </c>
      <c r="AK96" s="255"/>
      <c r="AL96" s="267" t="e">
        <f>(AK96/$E96)/$AG$21</f>
        <v>#DIV/0!</v>
      </c>
      <c r="AM96" s="262" t="e">
        <f>IF(AL96&lt;'FBM Results'!$C$29*0.9,1,)</f>
        <v>#DIV/0!</v>
      </c>
      <c r="AN96" s="262" t="e">
        <f>IF(AL96&gt;'FBM Results'!$C$29*1.1,1,)</f>
        <v>#DIV/0!</v>
      </c>
      <c r="AO96" s="271">
        <f>SUM(F97+K97+P97+U97+AA97+AE97+AJ97)</f>
        <v>0</v>
      </c>
      <c r="AP96" s="272" t="e">
        <f>(AO96/E96)/$AG$21</f>
        <v>#DIV/0!</v>
      </c>
      <c r="AQ96" s="322" t="e">
        <f>AP96*100/$AG$19</f>
        <v>#DIV/0!</v>
      </c>
      <c r="AR96" s="34"/>
      <c r="AS96" s="34"/>
    </row>
    <row r="97" spans="2:45" s="38" customFormat="1" hidden="1" x14ac:dyDescent="0.2">
      <c r="B97" s="340"/>
      <c r="C97" s="86"/>
      <c r="D97" s="85"/>
      <c r="E97" s="255"/>
      <c r="F97" s="257">
        <f>(G96*$AB$12)/100</f>
        <v>0</v>
      </c>
      <c r="G97" s="87"/>
      <c r="H97" s="345"/>
      <c r="I97" s="243"/>
      <c r="J97" s="262"/>
      <c r="K97" s="265">
        <f>(L96*$AB$13)/100</f>
        <v>0</v>
      </c>
      <c r="L97" s="84"/>
      <c r="M97" s="345"/>
      <c r="N97" s="243"/>
      <c r="O97" s="262"/>
      <c r="P97" s="265">
        <f>(Q96*$AB$14)/100</f>
        <v>0</v>
      </c>
      <c r="Q97" s="87"/>
      <c r="R97" s="345"/>
      <c r="S97" s="262"/>
      <c r="T97" s="262"/>
      <c r="U97" s="263">
        <f>(V96*$AB$15)/100</f>
        <v>0</v>
      </c>
      <c r="V97" s="87"/>
      <c r="W97" s="345"/>
      <c r="X97" s="262"/>
      <c r="Y97" s="262"/>
      <c r="Z97" s="263">
        <f>(AA96*$AB$16)/100</f>
        <v>0</v>
      </c>
      <c r="AA97" s="87"/>
      <c r="AB97" s="345"/>
      <c r="AC97" s="262"/>
      <c r="AD97" s="262"/>
      <c r="AE97" s="263">
        <f>(AF96*$AB$17)/100</f>
        <v>0</v>
      </c>
      <c r="AF97" s="87"/>
      <c r="AG97" s="345"/>
      <c r="AH97" s="262"/>
      <c r="AI97" s="262"/>
      <c r="AJ97" s="263">
        <f>(AK96*$AB$18)/100</f>
        <v>0</v>
      </c>
      <c r="AK97" s="87"/>
      <c r="AL97" s="261"/>
      <c r="AM97" s="262"/>
      <c r="AN97" s="262"/>
      <c r="AO97" s="271"/>
      <c r="AP97" s="272"/>
      <c r="AQ97" s="322"/>
      <c r="AR97" s="34"/>
      <c r="AS97" s="34"/>
    </row>
    <row r="98" spans="2:45" s="38" customFormat="1" x14ac:dyDescent="0.2">
      <c r="B98" s="340" t="b">
        <f>IF(E98&gt;0,36)</f>
        <v>0</v>
      </c>
      <c r="C98" s="48"/>
      <c r="D98" s="49"/>
      <c r="E98" s="255"/>
      <c r="F98" s="258">
        <f>$AG$21*'FBM Results'!$C$23*E98</f>
        <v>0</v>
      </c>
      <c r="G98" s="255"/>
      <c r="H98" s="346" t="e">
        <f>(G98/E98)/$AG$21</f>
        <v>#DIV/0!</v>
      </c>
      <c r="I98" s="262" t="e">
        <f>IF(H98&lt;'FBM Results'!$C$23*0.9,1,0)</f>
        <v>#DIV/0!</v>
      </c>
      <c r="J98" s="262" t="e">
        <f>IF(H98&gt;'FBM Results'!$C$23*1.1,1,)</f>
        <v>#DIV/0!</v>
      </c>
      <c r="K98" s="264">
        <f>($W$13*$AG$21)*E98</f>
        <v>0</v>
      </c>
      <c r="L98" s="255"/>
      <c r="M98" s="346" t="e">
        <f>(L98/E98)/$AG$21</f>
        <v>#DIV/0!</v>
      </c>
      <c r="N98" s="262" t="e">
        <f>IF(M98&lt;'FBM Results'!$C$24*0.9,1,)</f>
        <v>#DIV/0!</v>
      </c>
      <c r="O98" s="262" t="e">
        <f>IF(M98&gt;'FBM Results'!$C$24*1.1,1,)</f>
        <v>#DIV/0!</v>
      </c>
      <c r="P98" s="264">
        <f>($W$14*$AG$21)*E98</f>
        <v>0</v>
      </c>
      <c r="Q98" s="255"/>
      <c r="R98" s="350" t="e">
        <f>(Q98/E98)/$AG$21</f>
        <v>#DIV/0!</v>
      </c>
      <c r="S98" s="262" t="e">
        <f>IF(R98&lt;'FBM Results'!$C$25*0.9,1,)</f>
        <v>#DIV/0!</v>
      </c>
      <c r="T98" s="262" t="e">
        <f>IF(R98&gt;'FBM Results'!$C$25*1.1,1,)</f>
        <v>#DIV/0!</v>
      </c>
      <c r="U98" s="264">
        <f>($W$15*$AG$21)*E98</f>
        <v>0</v>
      </c>
      <c r="V98" s="255"/>
      <c r="W98" s="350" t="e">
        <f>(V98/E98)/$AG$21</f>
        <v>#DIV/0!</v>
      </c>
      <c r="X98" s="262" t="e">
        <f>IF(W98&lt;'FBM Results'!$C$26*0.9,1,)</f>
        <v>#DIV/0!</v>
      </c>
      <c r="Y98" s="262" t="e">
        <f>IF(W98&gt;'FBM Results'!$C$26*1.1,1,)</f>
        <v>#DIV/0!</v>
      </c>
      <c r="Z98" s="264">
        <f>($W$16*$AG$21)*E98</f>
        <v>0</v>
      </c>
      <c r="AA98" s="255"/>
      <c r="AB98" s="350" t="e">
        <f>(AA98/$E98)/$AG$21</f>
        <v>#DIV/0!</v>
      </c>
      <c r="AC98" s="262" t="e">
        <f>IF(AB98&lt;'FBM Results'!$C$27*0.9,1,)</f>
        <v>#DIV/0!</v>
      </c>
      <c r="AD98" s="262" t="e">
        <f>IF(AB98&gt;'FBM Results'!$C$27*1.1,1,)</f>
        <v>#DIV/0!</v>
      </c>
      <c r="AE98" s="264">
        <f>$W$17*$AG$21*$E98</f>
        <v>0</v>
      </c>
      <c r="AF98" s="255"/>
      <c r="AG98" s="350" t="e">
        <f>(AF98/$E98)/$AG$21</f>
        <v>#DIV/0!</v>
      </c>
      <c r="AH98" s="262" t="e">
        <f>IF(AG98&lt;'FBM Results'!$C$28*0.9,1,)</f>
        <v>#DIV/0!</v>
      </c>
      <c r="AI98" s="262" t="e">
        <f>IF(AG98&gt;'FBM Results'!$C$28*1.1,1,)</f>
        <v>#DIV/0!</v>
      </c>
      <c r="AJ98" s="264">
        <f>$W$18*$AG$21*$E98</f>
        <v>0</v>
      </c>
      <c r="AK98" s="255"/>
      <c r="AL98" s="267" t="e">
        <f>(AK98/$E98)/$AG$21</f>
        <v>#DIV/0!</v>
      </c>
      <c r="AM98" s="262" t="e">
        <f>IF(AL98&lt;'FBM Results'!$C$29*0.9,1,)</f>
        <v>#DIV/0!</v>
      </c>
      <c r="AN98" s="262" t="e">
        <f>IF(AL98&gt;'FBM Results'!$C$29*1.1,1,)</f>
        <v>#DIV/0!</v>
      </c>
      <c r="AO98" s="271">
        <f>SUM(F99+K99+P99+U99+Z99+AE99+AJ99)</f>
        <v>0</v>
      </c>
      <c r="AP98" s="272" t="e">
        <f>(AO98/E98)/$AG$21</f>
        <v>#DIV/0!</v>
      </c>
      <c r="AQ98" s="322" t="e">
        <f>AP98*100/$AG$19</f>
        <v>#DIV/0!</v>
      </c>
      <c r="AR98" s="34"/>
      <c r="AS98" s="34"/>
    </row>
    <row r="99" spans="2:45" s="38" customFormat="1" hidden="1" x14ac:dyDescent="0.2">
      <c r="B99" s="340"/>
      <c r="C99" s="86"/>
      <c r="D99" s="85"/>
      <c r="E99" s="255"/>
      <c r="F99" s="257">
        <f>(G98*$AB$12)/100</f>
        <v>0</v>
      </c>
      <c r="G99" s="87"/>
      <c r="H99" s="345"/>
      <c r="I99" s="243"/>
      <c r="J99" s="262"/>
      <c r="K99" s="265">
        <f>(L98*$AB$13)/100</f>
        <v>0</v>
      </c>
      <c r="L99" s="84"/>
      <c r="M99" s="345"/>
      <c r="N99" s="243"/>
      <c r="O99" s="262"/>
      <c r="P99" s="265">
        <f>(Q98*$AB$14)/100</f>
        <v>0</v>
      </c>
      <c r="Q99" s="87"/>
      <c r="R99" s="345"/>
      <c r="S99" s="262"/>
      <c r="T99" s="262"/>
      <c r="U99" s="263">
        <f>(V98*$AB$15)/100</f>
        <v>0</v>
      </c>
      <c r="V99" s="87"/>
      <c r="W99" s="345"/>
      <c r="X99" s="262"/>
      <c r="Y99" s="262"/>
      <c r="Z99" s="263">
        <f>(AA98*$AB$16)/100</f>
        <v>0</v>
      </c>
      <c r="AA99" s="87"/>
      <c r="AB99" s="345"/>
      <c r="AC99" s="262"/>
      <c r="AD99" s="262"/>
      <c r="AE99" s="263">
        <f>(AF98*$AB$17)/100</f>
        <v>0</v>
      </c>
      <c r="AF99" s="87"/>
      <c r="AG99" s="345"/>
      <c r="AH99" s="262"/>
      <c r="AI99" s="262"/>
      <c r="AJ99" s="263">
        <f>(AK98*$AB$18)/100</f>
        <v>0</v>
      </c>
      <c r="AK99" s="87"/>
      <c r="AL99" s="261"/>
      <c r="AM99" s="262"/>
      <c r="AN99" s="262"/>
      <c r="AO99" s="271"/>
      <c r="AP99" s="272"/>
      <c r="AQ99" s="322"/>
      <c r="AR99" s="34"/>
      <c r="AS99" s="34"/>
    </row>
    <row r="100" spans="2:45" s="38" customFormat="1" ht="15.75" thickBot="1" x14ac:dyDescent="0.25">
      <c r="B100" s="343" t="b">
        <f>IF(E100&gt;0,37)</f>
        <v>0</v>
      </c>
      <c r="C100" s="323"/>
      <c r="D100" s="324"/>
      <c r="E100" s="325"/>
      <c r="F100" s="326">
        <f>$AG$21*'FBM Results'!$C$23*E100</f>
        <v>0</v>
      </c>
      <c r="G100" s="325"/>
      <c r="H100" s="348" t="e">
        <f>(G100/E100)/$AG$21</f>
        <v>#DIV/0!</v>
      </c>
      <c r="I100" s="327" t="e">
        <f>IF(H100&lt;'FBM Results'!$C$23*0.9,1,0)</f>
        <v>#DIV/0!</v>
      </c>
      <c r="J100" s="327" t="e">
        <f>IF(H100&gt;'FBM Results'!$C$23*1.1,1,)</f>
        <v>#DIV/0!</v>
      </c>
      <c r="K100" s="328">
        <f>($W$13*$AG$21)*E100</f>
        <v>0</v>
      </c>
      <c r="L100" s="325"/>
      <c r="M100" s="348" t="e">
        <f>(L100/E100)/$AG$21</f>
        <v>#DIV/0!</v>
      </c>
      <c r="N100" s="327" t="e">
        <f>IF(M100&lt;'FBM Results'!$C$24*0.9,1,)</f>
        <v>#DIV/0!</v>
      </c>
      <c r="O100" s="327" t="e">
        <f>IF(M100&gt;'FBM Results'!$C$24*1.1,1,)</f>
        <v>#DIV/0!</v>
      </c>
      <c r="P100" s="328">
        <f>($W$14*$AG$21)*E100</f>
        <v>0</v>
      </c>
      <c r="Q100" s="325"/>
      <c r="R100" s="351" t="e">
        <f>(Q100/E100)/$AG$21</f>
        <v>#DIV/0!</v>
      </c>
      <c r="S100" s="327" t="e">
        <f>IF(R100&lt;'FBM Results'!$C$25*0.9,1,)</f>
        <v>#DIV/0!</v>
      </c>
      <c r="T100" s="327" t="e">
        <f>IF(R100&gt;'FBM Results'!$C$25*1.1,1,)</f>
        <v>#DIV/0!</v>
      </c>
      <c r="U100" s="328">
        <f>($W$15*$AG$21)*E100</f>
        <v>0</v>
      </c>
      <c r="V100" s="325"/>
      <c r="W100" s="351" t="e">
        <f>(V100/E100)/$AG$21</f>
        <v>#DIV/0!</v>
      </c>
      <c r="X100" s="327" t="e">
        <f>IF(W100&lt;'FBM Results'!$C$26*0.9,1,)</f>
        <v>#DIV/0!</v>
      </c>
      <c r="Y100" s="327" t="e">
        <f>IF(W100&gt;'FBM Results'!$C$26*1.1,1,)</f>
        <v>#DIV/0!</v>
      </c>
      <c r="Z100" s="328">
        <f>($W$16*$AG$21)*E100</f>
        <v>0</v>
      </c>
      <c r="AA100" s="325"/>
      <c r="AB100" s="351" t="e">
        <f>(AA100/$E100)/$AG$21</f>
        <v>#DIV/0!</v>
      </c>
      <c r="AC100" s="327" t="e">
        <f>IF(AB100&lt;'FBM Results'!$C$27*0.9,1,)</f>
        <v>#DIV/0!</v>
      </c>
      <c r="AD100" s="327" t="e">
        <f>IF(AB100&gt;'FBM Results'!$C$27*1.1,1,)</f>
        <v>#DIV/0!</v>
      </c>
      <c r="AE100" s="328">
        <f>$W$17*$AG$21*$E100</f>
        <v>0</v>
      </c>
      <c r="AF100" s="325"/>
      <c r="AG100" s="351" t="e">
        <f>(AF100/$E100)/$AG$21</f>
        <v>#DIV/0!</v>
      </c>
      <c r="AH100" s="327" t="e">
        <f>IF(AG100&lt;'FBM Results'!$C$28*0.9,1,)</f>
        <v>#DIV/0!</v>
      </c>
      <c r="AI100" s="327" t="e">
        <f>IF(AG100&gt;'FBM Results'!$C$28*1.1,1,)</f>
        <v>#DIV/0!</v>
      </c>
      <c r="AJ100" s="328">
        <f>$W$18*$AG$21*$E100</f>
        <v>0</v>
      </c>
      <c r="AK100" s="325"/>
      <c r="AL100" s="329" t="e">
        <f>(AK100/$E100)/$AG$21</f>
        <v>#DIV/0!</v>
      </c>
      <c r="AM100" s="327" t="e">
        <f>IF(AL100&lt;'FBM Results'!$C$29*0.9,1,)</f>
        <v>#DIV/0!</v>
      </c>
      <c r="AN100" s="327" t="e">
        <f>IF(AL100&gt;'FBM Results'!$C$29*1.1,1,)</f>
        <v>#DIV/0!</v>
      </c>
      <c r="AO100" s="330">
        <f>SUM(F101+K101+P101+U101+Z101+AE101+AJ101)</f>
        <v>0</v>
      </c>
      <c r="AP100" s="331" t="e">
        <f>(AO100/E100)/$AG$21</f>
        <v>#DIV/0!</v>
      </c>
      <c r="AQ100" s="332" t="e">
        <f>AP100*100/$AG$19</f>
        <v>#DIV/0!</v>
      </c>
      <c r="AR100" s="34"/>
      <c r="AS100" s="34"/>
    </row>
    <row r="101" spans="2:45" s="38" customFormat="1" x14ac:dyDescent="0.2">
      <c r="D101" s="40"/>
      <c r="E101" s="40"/>
      <c r="F101" s="40"/>
      <c r="G101" s="40"/>
      <c r="H101" s="40"/>
      <c r="I101" s="40"/>
      <c r="J101" s="40"/>
      <c r="AR101" s="34"/>
      <c r="AS101" s="34"/>
    </row>
    <row r="102" spans="2:45" s="38" customFormat="1" x14ac:dyDescent="0.2">
      <c r="D102" s="40"/>
      <c r="E102" s="40"/>
      <c r="F102" s="40"/>
      <c r="G102" s="40"/>
      <c r="H102" s="40"/>
      <c r="I102" s="40"/>
      <c r="J102" s="40"/>
      <c r="AR102" s="34"/>
      <c r="AS102" s="34"/>
    </row>
    <row r="103" spans="2:45" s="38" customFormat="1" x14ac:dyDescent="0.2">
      <c r="AR103" s="34"/>
      <c r="AS103" s="34"/>
    </row>
  </sheetData>
  <sheetProtection password="CAB5" sheet="1" objects="1" scenarios="1"/>
  <customSheetViews>
    <customSheetView guid="{662328B1-0775-4F70-9698-998A355FC5BA}" showRowCol="0" outlineSymbols="0" hiddenRows="1" hiddenColumns="1" showRuler="0">
      <selection activeCell="O20" sqref="O20"/>
      <pageMargins left="0.75" right="0.75" top="1" bottom="1" header="0.5" footer="0.5"/>
      <pageSetup paperSize="9" orientation="portrait" horizontalDpi="4294967293" verticalDpi="4294967293" r:id="rId1"/>
      <headerFooter alignWithMargins="0"/>
    </customSheetView>
    <customSheetView guid="{0765DE49-5067-4ED5-85D4-D9739E06A59B}" hiddenRows="1" hiddenColumns="1" showRuler="0">
      <selection sqref="A1:AA1"/>
      <pageMargins left="0.75" right="0.75" top="1" bottom="1" header="0.5" footer="0.5"/>
      <pageSetup paperSize="9" orientation="portrait" horizontalDpi="4294967293" verticalDpi="4294967293" r:id="rId2"/>
      <headerFooter alignWithMargins="0"/>
    </customSheetView>
    <customSheetView guid="{05B716BD-D5FA-43A1-BE8D-50F5C9430082}" showRowCol="0" hiddenRows="1" hiddenColumns="1" showRuler="0">
      <selection activeCell="F11" sqref="F11:K11"/>
      <pageMargins left="0.75" right="0.75" top="1" bottom="1" header="0.5" footer="0.5"/>
      <pageSetup paperSize="9" orientation="portrait" horizontalDpi="4294967293" verticalDpi="4294967293" r:id="rId3"/>
      <headerFooter alignWithMargins="0"/>
    </customSheetView>
    <customSheetView guid="{D9DE8450-BFB9-43C9-99CE-F387EC95D082}" showRowCol="0" hiddenRows="1" hiddenColumns="1" showRuler="0" topLeftCell="A6">
      <selection activeCell="A35" sqref="A35"/>
      <pageMargins left="0.75" right="0.75" top="1" bottom="1" header="0.5" footer="0.5"/>
      <pageSetup paperSize="9" orientation="portrait" horizontalDpi="4294967293" verticalDpi="4294967293" r:id="rId4"/>
      <headerFooter alignWithMargins="0"/>
    </customSheetView>
    <customSheetView guid="{5C3D267B-61EB-4FFE-BD22-532277CBABA0}" showRowCol="0" hiddenRows="1" hiddenColumns="1" showRuler="0" topLeftCell="A6">
      <selection activeCell="A35" sqref="A35"/>
      <pageMargins left="0.75" right="0.75" top="1" bottom="1" header="0.5" footer="0.5"/>
      <pageSetup paperSize="9" orientation="portrait" horizontalDpi="4294967293" verticalDpi="4294967293" r:id="rId5"/>
      <headerFooter alignWithMargins="0"/>
    </customSheetView>
    <customSheetView guid="{BA4F6A8B-B7E1-468F-AE8D-B0079A2D20E5}" showRowCol="0" hiddenRows="1" hiddenColumns="1" showRuler="0" topLeftCell="A6">
      <selection activeCell="A35" sqref="A35"/>
      <pageMargins left="0.75" right="0.75" top="1" bottom="1" header="0.5" footer="0.5"/>
      <pageSetup paperSize="9" orientation="portrait" horizontalDpi="4294967293" verticalDpi="4294967293" r:id="rId6"/>
      <headerFooter alignWithMargins="0"/>
    </customSheetView>
    <customSheetView guid="{93429E49-92B0-4925-8D04-D425145938FD}" showRowCol="0" hiddenRows="1" hiddenColumns="1" showRuler="0">
      <selection activeCell="F11" sqref="F11:K11"/>
      <pageMargins left="0.75" right="0.75" top="1" bottom="1" header="0.5" footer="0.5"/>
      <pageSetup paperSize="9" orientation="portrait" horizontalDpi="4294967293" verticalDpi="4294967293" r:id="rId7"/>
      <headerFooter alignWithMargins="0"/>
    </customSheetView>
    <customSheetView guid="{E422BA57-AFCC-4512-A22E-E75FB5198808}" showRowCol="0" hiddenRows="1" hiddenColumns="1" showRuler="0">
      <selection activeCell="F11" sqref="F11:K11"/>
      <pageMargins left="0.75" right="0.75" top="1" bottom="1" header="0.5" footer="0.5"/>
      <pageSetup paperSize="9" orientation="portrait" horizontalDpi="4294967293" verticalDpi="4294967293" r:id="rId8"/>
      <headerFooter alignWithMargins="0"/>
    </customSheetView>
    <customSheetView guid="{818A4ACB-56B8-4736-9E14-BA18A36B5B2F}" showRowCol="0" hiddenRows="1" hiddenColumns="1" showRuler="0">
      <selection activeCell="F11" sqref="F11:K11"/>
      <pageMargins left="0.75" right="0.75" top="1" bottom="1" header="0.5" footer="0.5"/>
      <pageSetup paperSize="9" orientation="portrait" horizontalDpi="4294967293" verticalDpi="4294967293" r:id="rId9"/>
      <headerFooter alignWithMargins="0"/>
    </customSheetView>
    <customSheetView guid="{3EA4A73F-A388-49D1-AD67-268667AF56E2}" showGridLines="0" showRowCol="0" fitToPage="1" hiddenRows="1" hiddenColumns="1" showRuler="0">
      <selection activeCell="B1" sqref="B1:AQ100"/>
      <rowBreaks count="2" manualBreakCount="2">
        <brk id="24" max="16383" man="1"/>
        <brk id="100" min="1" max="42" man="1"/>
      </rowBreaks>
      <colBreaks count="1" manualBreakCount="1">
        <brk id="43" max="1048575" man="1"/>
      </colBreaks>
      <pageMargins left="0.63" right="0.75" top="0.53" bottom="1" header="0.5" footer="0.5"/>
      <pageSetup paperSize="9" scale="10" orientation="landscape" horizontalDpi="4294967293" verticalDpi="4294967293" r:id="rId10"/>
      <headerFooter alignWithMargins="0"/>
    </customSheetView>
  </customSheetViews>
  <mergeCells count="17">
    <mergeCell ref="Z2:AA3"/>
    <mergeCell ref="C3:D3"/>
    <mergeCell ref="C2:D2"/>
    <mergeCell ref="AJ26:AL26"/>
    <mergeCell ref="Z26:AB26"/>
    <mergeCell ref="F26:H26"/>
    <mergeCell ref="K26:M26"/>
    <mergeCell ref="P26:R26"/>
    <mergeCell ref="U26:W26"/>
    <mergeCell ref="AR24:AS24"/>
    <mergeCell ref="AE26:AG26"/>
    <mergeCell ref="AO26:AQ26"/>
    <mergeCell ref="F12:H12"/>
    <mergeCell ref="F14:H14"/>
    <mergeCell ref="F16:H16"/>
    <mergeCell ref="F18:H18"/>
    <mergeCell ref="F20:H20"/>
  </mergeCells>
  <phoneticPr fontId="0" type="noConversion"/>
  <conditionalFormatting sqref="B28:B100">
    <cfRule type="cellIs" dxfId="2" priority="1" stopIfTrue="1" operator="equal">
      <formula>FALSE</formula>
    </cfRule>
  </conditionalFormatting>
  <dataValidations xWindow="475" yWindow="591" count="19">
    <dataValidation allowBlank="1" showInputMessage="1" showErrorMessage="1" prompt="This is the amount of energy (kcals) received from the distribution for each family member per day .  " sqref="AP31"/>
    <dataValidation type="list" allowBlank="1" showErrorMessage="1" prompt="Enter the family size (as given on their ration card) for the person collecting the food" sqref="E98 E100 E30:E96">
      <formula1>"1,2,3,4,5,6,7,8,9,10,11,12,13,14,15,16,17,18,19,20,21,22,23,24,25,26,27,28,29,30,31,32,33,34,35,36,37,38,39,40"</formula1>
    </dataValidation>
    <dataValidation type="list" allowBlank="1" showDropDown="1" showErrorMessage="1" error="Enter M for male or F for Female" prompt="Enter M for male or F for female." sqref="C34:C86 C88:C100">
      <formula1>"M,F,m,f"</formula1>
    </dataValidation>
    <dataValidation type="whole" allowBlank="1" showErrorMessage="1" error="Enter whole numbers only " prompt="Enter the sample number for each subject in this column.  Do not enter a sample number if you are not entering data in that row!" sqref="B30:B86 B88:B100">
      <formula1>1</formula1>
      <formula2>100000</formula2>
    </dataValidation>
    <dataValidation allowBlank="1" showInputMessage="1" showErrorMessage="1" prompt="Enter the name of the food item here." sqref="R12"/>
    <dataValidation allowBlank="1" showInputMessage="1" showErrorMessage="1" prompt="Enter the planned number of grams each person should receive per day  (g/p/d) here." sqref="W12"/>
    <dataValidation allowBlank="1" showInputMessage="1" showErrorMessage="1" prompt="Enter the energy content of the food item here.  You can check this by looking in the Food and Nutrient Database." sqref="AB12"/>
    <dataValidation type="whole" allowBlank="1" showInputMessage="1" showErrorMessage="1" errorTitle="NutVal 2004" error="Enter the number of days in whole numbers." sqref="AG21">
      <formula1>1</formula1>
      <formula2>500</formula2>
    </dataValidation>
    <dataValidation allowBlank="1" showInputMessage="1" showErrorMessage="1" prompt="The address of the person whose food you have weighed can be entered here if required._x000a__x000a_" sqref="D28:D29"/>
    <dataValidation type="list" allowBlank="1" showInputMessage="1" showErrorMessage="1" prompt="Enter the family size (as given on their ration card) for the person collecting the food" sqref="E28:E29">
      <formula1>"1,2,3,4,5,6,7,8,9,10,11,12,13,14,15,16,17,18,19,20,21,22,23,24,25,26,27,28,29,30,31,32,33,34,35,36,37,38,39,40"</formula1>
    </dataValidation>
    <dataValidation type="custom" allowBlank="1" showInputMessage="1" showErrorMessage="1" error="Do not enter data in this cell!" prompt="Do not enter data in this column.  The figure shown is the number of grams that should be received based on the family size, ration plan and  days covered by the distribution. " sqref="AE28 F28 K28 P28 U28 Z28 AJ28">
      <formula1>"xxxxxxxxxxxxxxxxxxxx"</formula1>
    </dataValidation>
    <dataValidation allowBlank="1" showInputMessage="1" showErrorMessage="1" prompt="Enter the number of grams of commodity received by the family in this column. " sqref="AK28:AK29 L28:L29 Q28:Q29 V28:V29 AA28:AA29 AF28:AF29"/>
    <dataValidation allowBlank="1" showInputMessage="1" showErrorMessage="1" prompt="This figure is the calculated total Kcal received by the beneficiary during this distribution." sqref="AO29"/>
    <dataValidation allowBlank="1" showInputMessage="1" showErrorMessage="1" prompt="This is the percentage of the planned food, expressed in kcals, that was received by the beneficiary." sqref="AQ28:AQ29"/>
    <dataValidation allowBlank="1" showInputMessage="1" showErrorMessage="1" prompt="Do not enter data in this column.  It contains the calculated amount of food that was received by the beneficiary during the distribution.  It is expressed as grams per person per day." sqref="H28:H29 M28:M29 R28:R29 W28:W29 AB28:AB29 AG28:AG29 AL28:AL29"/>
    <dataValidation type="whole" allowBlank="1" showInputMessage="1" showErrorMessage="1" error="Enter whole numbers only " prompt="Do not enter data in this column.  The sample number will be entered automatically when you enter the familiy size in the column on the right." sqref="B28:B29">
      <formula1>1</formula1>
      <formula2>100000</formula2>
    </dataValidation>
    <dataValidation allowBlank="1" showInputMessage="1" showErrorMessage="1" prompt="This is the amount of energy (kcals) that is available for each family member per day from the distributed food." sqref="AP28:AP29"/>
    <dataValidation type="list" allowBlank="1" showDropDown="1" showInputMessage="1" showErrorMessage="1" errorTitle="NutVal 2004" error="Enter M for male or F for Female" prompt="Enter M for male or F for female." sqref="C28:C33">
      <formula1>"M,F,m,f"</formula1>
    </dataValidation>
    <dataValidation allowBlank="1" showInputMessage="1" showErrorMessage="1" prompt="Enter the number of grams of commodity received by the family in this column." sqref="G28:G29"/>
  </dataValidations>
  <hyperlinks>
    <hyperlink ref="C27" location="'Food Basket Monitoring '!C27" tooltip="This column is for the gender of the beneficiary who collects the ration" display="Sex"/>
    <hyperlink ref="D27" location="'Food Basket Monitoring '!D27" tooltip="This column is for the address of the beneficiary" display="Address"/>
    <hyperlink ref="E27" location="'Food Basket Monitoring '!E27" tooltip="This column is for the family size of the beneficiary" display="Family Size"/>
    <hyperlink ref="F27" location="'Food Basket Monitoring '!E27" tooltip="The calculated weight the beneficiary should of received" display="Exp.  (gm)"/>
    <hyperlink ref="G27" location="'Food Basket Monitoring '!G27" tooltip="Ammount of commodity actually recieved" display="Rec. (g)"/>
    <hyperlink ref="K27" location="'Food Basket Monitoring '!H27" tooltip="The calculated weight the beneficiary should of received" display="Exp.  (gm)"/>
    <hyperlink ref="M27" location="'Food Basket Monitoring '!M27" tooltip="Calculated number of grams received for each family member" display="g/p/d2"/>
    <hyperlink ref="Q27" location="'Food Basket Monitoring '!Q27" tooltip="Ammount of commodity actually recieved" display="Rec. (g)"/>
    <hyperlink ref="U27" location="'Food Basket Monitoring '!T27" tooltip="The calculated weight the beneficiary should of received" display="Exp.  (gm)"/>
    <hyperlink ref="V27" location="'Food Basket Monitoring '!V27" tooltip="Ammount of commodity actually recieved" display="Rec. (g)"/>
    <hyperlink ref="Z27" location="'Food Basket Monitoring '!Y27" tooltip="The calculated weight the beneficiary should of received" display="Exp.  (gm)"/>
    <hyperlink ref="AA27" location="'Food Basket Monitoring '!AA27" tooltip="Ammount of commodity actually recieved" display="Rec. (g)"/>
    <hyperlink ref="AJ27" location="'Food Basket Monitoring '!AI27" tooltip="The calculated weight the beneficiary should of received" display="Exp.  (gm)"/>
    <hyperlink ref="AK27" location="'Food Basket Monitoring '!AK27" tooltip="Ammount of commodity actually recieved" display="Rec. (g)"/>
    <hyperlink ref="AE27" location="'Food Basket Monitoring '!AD27" tooltip="The calculated weight the beneficiary should of received" display="Exp.  (gm)"/>
    <hyperlink ref="AF27" location="'Food Basket Monitoring '!AF27" tooltip="Ammount of commodity actually recieved" display="Rec. (g)"/>
    <hyperlink ref="AO27" location="'Food Basket Monitoring '!AN27" tooltip="Total amount of kcals collected by beneficiary" display="Total Kcal"/>
    <hyperlink ref="AP27" location="'Food Basket Monitoring '!AP27" tooltip="The calculated average kcal per person per day" display="Kcal/p/d"/>
    <hyperlink ref="AQ27" location="'Food Basket Monitoring '!AQ27" tooltip="Percentage of the planned kcals received" display="% Kcal"/>
    <hyperlink ref="B27" location="'Food Basket Monitoring '!B27" tooltip="Sample numbers used in the distribution survey" display="Sample Number"/>
    <hyperlink ref="P27" location="'Food Basket Monitoring '!G27" tooltip="Calculated number of grams received for each family member" display="g/p/d"/>
    <hyperlink ref="R27" location="'Food Basket Monitoring '!R27" tooltip="Calculated number of grams received for each family member" display="g/p/d2"/>
    <hyperlink ref="W27" location="'Food Basket Monitoring '!W27" tooltip="Calculated number of grams received for each family member" display="g/p/d2"/>
    <hyperlink ref="AB27" location="'Food Basket Monitoring '!AB27" tooltip="Calculated number of grams received for each family member" display="g/p/d2"/>
    <hyperlink ref="AG27" location="'Food Basket Monitoring '!AG27" tooltip="Calculated number of grams received for each family member" display="g/p/d2"/>
    <hyperlink ref="AL27" location="'Food Basket Monitoring '!AL27" tooltip="Calculated number of grams received for each family member" display="g/p/d2"/>
    <hyperlink ref="H27" location="'Food Basket Monitoring '!H27" tooltip="Calculated number of grams received for each family member" display="g/p/d2"/>
    <hyperlink ref="L27" location="'Food Basket Monitoring '!L27" tooltip="Ammount of commodity actually recieved in grams" display="Rec. (g)"/>
  </hyperlinks>
  <pageMargins left="0.63" right="0.75" top="0.53" bottom="1" header="0.5" footer="0.5"/>
  <pageSetup paperSize="9" scale="10" orientation="landscape" horizontalDpi="4294967293" verticalDpi="4294967293" r:id="rId11"/>
  <headerFooter alignWithMargins="0"/>
  <rowBreaks count="2" manualBreakCount="2">
    <brk id="24" max="16383" man="1"/>
    <brk id="100" min="1" max="42" man="1"/>
  </rowBreaks>
  <colBreaks count="1" manualBreakCount="1">
    <brk id="43"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35195" r:id="rId14" name="Button 9595">
              <controlPr defaultSize="0" print="0" autoFill="0" autoPict="0" macro="[0]!Goto_Menu1">
                <anchor>
                  <from>
                    <xdr:col>2</xdr:col>
                    <xdr:colOff>28575</xdr:colOff>
                    <xdr:row>0</xdr:row>
                    <xdr:rowOff>228600</xdr:rowOff>
                  </from>
                  <to>
                    <xdr:col>4</xdr:col>
                    <xdr:colOff>219075</xdr:colOff>
                    <xdr:row>1</xdr:row>
                    <xdr:rowOff>57150</xdr:rowOff>
                  </to>
                </anchor>
              </controlPr>
            </control>
          </mc:Choice>
        </mc:AlternateContent>
        <mc:AlternateContent xmlns:mc="http://schemas.openxmlformats.org/markup-compatibility/2006">
          <mc:Choice Requires="x14">
            <control shapeId="35196" r:id="rId15" name="Button 9596">
              <controlPr defaultSize="0" print="0" autoFill="0" autoPict="0" macro="[0]!Goto_Help3">
                <anchor>
                  <from>
                    <xdr:col>2</xdr:col>
                    <xdr:colOff>28575</xdr:colOff>
                    <xdr:row>1</xdr:row>
                    <xdr:rowOff>66675</xdr:rowOff>
                  </from>
                  <to>
                    <xdr:col>4</xdr:col>
                    <xdr:colOff>219075</xdr:colOff>
                    <xdr:row>2</xdr:row>
                    <xdr:rowOff>133350</xdr:rowOff>
                  </to>
                </anchor>
              </controlPr>
            </control>
          </mc:Choice>
        </mc:AlternateContent>
        <mc:AlternateContent xmlns:mc="http://schemas.openxmlformats.org/markup-compatibility/2006">
          <mc:Choice Requires="x14">
            <control shapeId="35121" r:id="rId16" name="Button 9521">
              <controlPr defaultSize="0" print="0" autoFill="0" autoPict="0" macro="[0]!Save_OSDM_Data_entry_Sheet">
                <anchor>
                  <from>
                    <xdr:col>37</xdr:col>
                    <xdr:colOff>57150</xdr:colOff>
                    <xdr:row>2</xdr:row>
                    <xdr:rowOff>238125</xdr:rowOff>
                  </from>
                  <to>
                    <xdr:col>41</xdr:col>
                    <xdr:colOff>161925</xdr:colOff>
                    <xdr:row>4</xdr:row>
                    <xdr:rowOff>161925</xdr:rowOff>
                  </to>
                </anchor>
              </controlPr>
            </control>
          </mc:Choice>
        </mc:AlternateContent>
        <mc:AlternateContent xmlns:mc="http://schemas.openxmlformats.org/markup-compatibility/2006">
          <mc:Choice Requires="x14">
            <control shapeId="35122" r:id="rId17" name="Button 9522">
              <controlPr defaultSize="0" print="0" autoFill="0" autoPict="0" macro="[0]!FBM_Data_Collection_Sheet">
                <anchor>
                  <from>
                    <xdr:col>37</xdr:col>
                    <xdr:colOff>57150</xdr:colOff>
                    <xdr:row>1</xdr:row>
                    <xdr:rowOff>114300</xdr:rowOff>
                  </from>
                  <to>
                    <xdr:col>41</xdr:col>
                    <xdr:colOff>161925</xdr:colOff>
                    <xdr:row>2</xdr:row>
                    <xdr:rowOff>228600</xdr:rowOff>
                  </to>
                </anchor>
              </controlPr>
            </control>
          </mc:Choice>
        </mc:AlternateContent>
        <mc:AlternateContent xmlns:mc="http://schemas.openxmlformats.org/markup-compatibility/2006">
          <mc:Choice Requires="x14">
            <control shapeId="35198" r:id="rId18" name="Button 9598">
              <controlPr defaultSize="0" print="0" autoFill="0" autoPict="0" macro="[0]!Goto_FBMResults">
                <anchor>
                  <from>
                    <xdr:col>37</xdr:col>
                    <xdr:colOff>57150</xdr:colOff>
                    <xdr:row>0</xdr:row>
                    <xdr:rowOff>238125</xdr:rowOff>
                  </from>
                  <to>
                    <xdr:col>41</xdr:col>
                    <xdr:colOff>161925</xdr:colOff>
                    <xdr:row>1</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Q48"/>
  <sheetViews>
    <sheetView workbookViewId="0">
      <selection activeCell="C5" sqref="C5"/>
    </sheetView>
  </sheetViews>
  <sheetFormatPr defaultRowHeight="15" customHeight="1" x14ac:dyDescent="0.25"/>
  <cols>
    <col min="1" max="1" width="3.5546875" style="32" customWidth="1"/>
    <col min="2" max="2" width="6.6640625" customWidth="1"/>
    <col min="3" max="3" width="6" customWidth="1"/>
    <col min="5" max="5" width="6" customWidth="1"/>
    <col min="6" max="12" width="15.77734375" customWidth="1"/>
    <col min="13" max="13" width="17.77734375" customWidth="1"/>
    <col min="14" max="29" width="8.88671875" style="32"/>
  </cols>
  <sheetData>
    <row r="1" spans="2:13" ht="57" customHeight="1" thickBot="1" x14ac:dyDescent="0.3">
      <c r="B1" s="32"/>
      <c r="C1" s="32"/>
      <c r="D1" s="32"/>
      <c r="E1" s="32"/>
      <c r="F1" s="32"/>
      <c r="G1" s="32"/>
      <c r="H1" s="32"/>
      <c r="I1" s="32"/>
      <c r="J1" s="32"/>
      <c r="K1" s="32"/>
      <c r="L1" s="32"/>
      <c r="M1" s="32"/>
    </row>
    <row r="2" spans="2:13" ht="29.25" customHeight="1" x14ac:dyDescent="0.25">
      <c r="B2" s="1153" t="s">
        <v>264</v>
      </c>
      <c r="C2" s="1154"/>
      <c r="D2" s="1154"/>
      <c r="E2" s="1154"/>
      <c r="F2" s="1154"/>
      <c r="G2" s="1154"/>
      <c r="H2" s="1154"/>
      <c r="I2" s="1154"/>
      <c r="J2" s="1154"/>
      <c r="K2" s="1154"/>
      <c r="L2" s="1154"/>
      <c r="M2" s="1155"/>
    </row>
    <row r="3" spans="2:13" ht="25.5" customHeight="1" x14ac:dyDescent="0.25">
      <c r="B3" s="174"/>
      <c r="C3" s="175"/>
      <c r="D3" s="175"/>
      <c r="E3" s="178" t="s">
        <v>269</v>
      </c>
      <c r="F3" s="160"/>
      <c r="G3" s="179" t="s">
        <v>270</v>
      </c>
      <c r="H3" s="160"/>
      <c r="I3" s="179" t="s">
        <v>271</v>
      </c>
      <c r="J3" s="160"/>
      <c r="K3" s="179" t="s">
        <v>272</v>
      </c>
      <c r="L3" s="160" t="s">
        <v>273</v>
      </c>
      <c r="M3" s="182" t="s">
        <v>275</v>
      </c>
    </row>
    <row r="4" spans="2:13" ht="6.75" customHeight="1" x14ac:dyDescent="0.25">
      <c r="B4" s="174"/>
      <c r="C4" s="175"/>
      <c r="D4" s="175"/>
      <c r="E4" s="175"/>
      <c r="F4" s="176"/>
      <c r="G4" s="176"/>
      <c r="H4" s="176"/>
      <c r="I4" s="176"/>
      <c r="J4" s="176"/>
      <c r="K4" s="176"/>
      <c r="L4" s="185"/>
      <c r="M4" s="184"/>
    </row>
    <row r="5" spans="2:13" ht="20.25" customHeight="1" x14ac:dyDescent="0.25">
      <c r="B5" s="171"/>
      <c r="C5" s="172"/>
      <c r="D5" s="172"/>
      <c r="E5" s="180" t="s">
        <v>268</v>
      </c>
      <c r="F5" s="159"/>
      <c r="G5" s="159"/>
      <c r="H5" s="159"/>
      <c r="I5" s="160"/>
      <c r="J5" s="160"/>
      <c r="K5" s="159"/>
      <c r="L5" s="159"/>
      <c r="M5" s="183"/>
    </row>
    <row r="6" spans="2:13" ht="36" customHeight="1" x14ac:dyDescent="0.25">
      <c r="B6" s="173" t="s">
        <v>213</v>
      </c>
      <c r="C6" s="181" t="s">
        <v>267</v>
      </c>
      <c r="D6" s="181" t="s">
        <v>133</v>
      </c>
      <c r="E6" s="181" t="s">
        <v>168</v>
      </c>
      <c r="F6" s="181" t="s">
        <v>157</v>
      </c>
      <c r="G6" s="181" t="s">
        <v>157</v>
      </c>
      <c r="H6" s="181" t="s">
        <v>157</v>
      </c>
      <c r="I6" s="181" t="s">
        <v>157</v>
      </c>
      <c r="J6" s="181" t="s">
        <v>157</v>
      </c>
      <c r="K6" s="181" t="s">
        <v>157</v>
      </c>
      <c r="L6" s="181" t="s">
        <v>157</v>
      </c>
      <c r="M6" s="177" t="s">
        <v>265</v>
      </c>
    </row>
    <row r="7" spans="2:13" ht="21" customHeight="1" x14ac:dyDescent="0.25">
      <c r="B7" s="169">
        <v>1</v>
      </c>
      <c r="C7" s="161"/>
      <c r="D7" s="162"/>
      <c r="E7" s="161"/>
      <c r="F7" s="161"/>
      <c r="G7" s="161"/>
      <c r="H7" s="161"/>
      <c r="I7" s="161"/>
      <c r="J7" s="161"/>
      <c r="K7" s="161"/>
      <c r="L7" s="161"/>
      <c r="M7" s="165"/>
    </row>
    <row r="8" spans="2:13" ht="21" customHeight="1" x14ac:dyDescent="0.25">
      <c r="B8" s="169">
        <v>2</v>
      </c>
      <c r="C8" s="161"/>
      <c r="D8" s="162"/>
      <c r="E8" s="161"/>
      <c r="F8" s="161"/>
      <c r="G8" s="161"/>
      <c r="H8" s="161"/>
      <c r="I8" s="161"/>
      <c r="J8" s="161"/>
      <c r="K8" s="161"/>
      <c r="L8" s="161"/>
      <c r="M8" s="165"/>
    </row>
    <row r="9" spans="2:13" ht="21" customHeight="1" x14ac:dyDescent="0.25">
      <c r="B9" s="169">
        <v>3</v>
      </c>
      <c r="C9" s="161"/>
      <c r="D9" s="162"/>
      <c r="E9" s="161"/>
      <c r="F9" s="161"/>
      <c r="G9" s="161"/>
      <c r="H9" s="161"/>
      <c r="I9" s="161"/>
      <c r="J9" s="161"/>
      <c r="K9" s="161"/>
      <c r="L9" s="161"/>
      <c r="M9" s="165"/>
    </row>
    <row r="10" spans="2:13" ht="21" customHeight="1" x14ac:dyDescent="0.25">
      <c r="B10" s="169">
        <v>4</v>
      </c>
      <c r="C10" s="161"/>
      <c r="D10" s="162"/>
      <c r="E10" s="161"/>
      <c r="F10" s="161"/>
      <c r="G10" s="161"/>
      <c r="H10" s="161"/>
      <c r="I10" s="161"/>
      <c r="J10" s="161"/>
      <c r="K10" s="161"/>
      <c r="L10" s="161"/>
      <c r="M10" s="165"/>
    </row>
    <row r="11" spans="2:13" ht="21" customHeight="1" x14ac:dyDescent="0.25">
      <c r="B11" s="169">
        <v>5</v>
      </c>
      <c r="C11" s="161"/>
      <c r="D11" s="162"/>
      <c r="E11" s="161"/>
      <c r="F11" s="161"/>
      <c r="G11" s="161"/>
      <c r="H11" s="161"/>
      <c r="I11" s="161"/>
      <c r="J11" s="161"/>
      <c r="K11" s="161"/>
      <c r="L11" s="161"/>
      <c r="M11" s="165"/>
    </row>
    <row r="12" spans="2:13" ht="21" customHeight="1" x14ac:dyDescent="0.25">
      <c r="B12" s="169">
        <v>6</v>
      </c>
      <c r="C12" s="161"/>
      <c r="D12" s="162"/>
      <c r="E12" s="161"/>
      <c r="F12" s="161"/>
      <c r="G12" s="161"/>
      <c r="H12" s="161"/>
      <c r="I12" s="161"/>
      <c r="J12" s="161"/>
      <c r="K12" s="161"/>
      <c r="L12" s="161"/>
      <c r="M12" s="165"/>
    </row>
    <row r="13" spans="2:13" ht="21" customHeight="1" x14ac:dyDescent="0.25">
      <c r="B13" s="169">
        <v>7</v>
      </c>
      <c r="C13" s="161"/>
      <c r="D13" s="162"/>
      <c r="E13" s="161"/>
      <c r="F13" s="161"/>
      <c r="G13" s="161"/>
      <c r="H13" s="161"/>
      <c r="I13" s="161"/>
      <c r="J13" s="161"/>
      <c r="K13" s="161"/>
      <c r="L13" s="161"/>
      <c r="M13" s="165"/>
    </row>
    <row r="14" spans="2:13" ht="21" customHeight="1" x14ac:dyDescent="0.25">
      <c r="B14" s="169">
        <v>8</v>
      </c>
      <c r="C14" s="161"/>
      <c r="D14" s="162"/>
      <c r="E14" s="161"/>
      <c r="F14" s="161"/>
      <c r="G14" s="161"/>
      <c r="H14" s="161"/>
      <c r="I14" s="161"/>
      <c r="J14" s="161"/>
      <c r="K14" s="161"/>
      <c r="L14" s="161"/>
      <c r="M14" s="165"/>
    </row>
    <row r="15" spans="2:13" ht="21" customHeight="1" x14ac:dyDescent="0.25">
      <c r="B15" s="169">
        <v>9</v>
      </c>
      <c r="C15" s="161"/>
      <c r="D15" s="162"/>
      <c r="E15" s="161"/>
      <c r="F15" s="161"/>
      <c r="G15" s="161"/>
      <c r="H15" s="161"/>
      <c r="I15" s="161"/>
      <c r="J15" s="161"/>
      <c r="K15" s="161"/>
      <c r="L15" s="161"/>
      <c r="M15" s="165"/>
    </row>
    <row r="16" spans="2:13" ht="21" customHeight="1" x14ac:dyDescent="0.25">
      <c r="B16" s="169">
        <v>10</v>
      </c>
      <c r="C16" s="161"/>
      <c r="D16" s="162"/>
      <c r="E16" s="161"/>
      <c r="F16" s="161"/>
      <c r="G16" s="161"/>
      <c r="H16" s="161"/>
      <c r="I16" s="161"/>
      <c r="J16" s="161"/>
      <c r="K16" s="161"/>
      <c r="L16" s="161"/>
      <c r="M16" s="165"/>
    </row>
    <row r="17" spans="2:13" ht="21" customHeight="1" x14ac:dyDescent="0.25">
      <c r="B17" s="169">
        <v>11</v>
      </c>
      <c r="C17" s="161"/>
      <c r="D17" s="162"/>
      <c r="E17" s="161"/>
      <c r="F17" s="161"/>
      <c r="G17" s="161"/>
      <c r="H17" s="161"/>
      <c r="I17" s="161"/>
      <c r="J17" s="161"/>
      <c r="K17" s="161"/>
      <c r="L17" s="161"/>
      <c r="M17" s="165"/>
    </row>
    <row r="18" spans="2:13" ht="21" customHeight="1" x14ac:dyDescent="0.25">
      <c r="B18" s="169">
        <v>12</v>
      </c>
      <c r="C18" s="161"/>
      <c r="D18" s="162"/>
      <c r="E18" s="161"/>
      <c r="F18" s="161"/>
      <c r="G18" s="161"/>
      <c r="H18" s="161"/>
      <c r="I18" s="161"/>
      <c r="J18" s="161"/>
      <c r="K18" s="161"/>
      <c r="L18" s="161"/>
      <c r="M18" s="165"/>
    </row>
    <row r="19" spans="2:13" ht="21" customHeight="1" x14ac:dyDescent="0.25">
      <c r="B19" s="169">
        <v>13</v>
      </c>
      <c r="C19" s="163"/>
      <c r="D19" s="162"/>
      <c r="E19" s="161"/>
      <c r="F19" s="161"/>
      <c r="G19" s="161"/>
      <c r="H19" s="161"/>
      <c r="I19" s="161"/>
      <c r="J19" s="161"/>
      <c r="K19" s="161"/>
      <c r="L19" s="161"/>
      <c r="M19" s="165"/>
    </row>
    <row r="20" spans="2:13" ht="21" customHeight="1" x14ac:dyDescent="0.25">
      <c r="B20" s="169">
        <v>14</v>
      </c>
      <c r="C20" s="161"/>
      <c r="D20" s="162"/>
      <c r="E20" s="161"/>
      <c r="F20" s="161"/>
      <c r="G20" s="161"/>
      <c r="H20" s="161"/>
      <c r="I20" s="161"/>
      <c r="J20" s="161"/>
      <c r="K20" s="161"/>
      <c r="L20" s="161"/>
      <c r="M20" s="165"/>
    </row>
    <row r="21" spans="2:13" ht="21" customHeight="1" x14ac:dyDescent="0.25">
      <c r="B21" s="169">
        <v>15</v>
      </c>
      <c r="C21" s="161"/>
      <c r="D21" s="162"/>
      <c r="E21" s="161"/>
      <c r="F21" s="161"/>
      <c r="G21" s="161"/>
      <c r="H21" s="161"/>
      <c r="I21" s="161"/>
      <c r="J21" s="161"/>
      <c r="K21" s="161"/>
      <c r="L21" s="161"/>
      <c r="M21" s="165"/>
    </row>
    <row r="22" spans="2:13" ht="21" customHeight="1" x14ac:dyDescent="0.25">
      <c r="B22" s="169">
        <v>16</v>
      </c>
      <c r="C22" s="161"/>
      <c r="D22" s="162"/>
      <c r="E22" s="161"/>
      <c r="F22" s="161"/>
      <c r="G22" s="161"/>
      <c r="H22" s="161"/>
      <c r="I22" s="161"/>
      <c r="J22" s="161"/>
      <c r="K22" s="161"/>
      <c r="L22" s="161"/>
      <c r="M22" s="165"/>
    </row>
    <row r="23" spans="2:13" ht="21" customHeight="1" x14ac:dyDescent="0.25">
      <c r="B23" s="169">
        <v>17</v>
      </c>
      <c r="C23" s="161"/>
      <c r="D23" s="162"/>
      <c r="E23" s="161"/>
      <c r="F23" s="161"/>
      <c r="G23" s="161"/>
      <c r="H23" s="161"/>
      <c r="I23" s="161"/>
      <c r="J23" s="161"/>
      <c r="K23" s="161"/>
      <c r="L23" s="161"/>
      <c r="M23" s="165"/>
    </row>
    <row r="24" spans="2:13" ht="21" customHeight="1" x14ac:dyDescent="0.25">
      <c r="B24" s="169">
        <v>18</v>
      </c>
      <c r="C24" s="161"/>
      <c r="D24" s="162"/>
      <c r="E24" s="161"/>
      <c r="F24" s="161"/>
      <c r="G24" s="161"/>
      <c r="H24" s="161"/>
      <c r="I24" s="161"/>
      <c r="J24" s="161"/>
      <c r="K24" s="161"/>
      <c r="L24" s="161"/>
      <c r="M24" s="165"/>
    </row>
    <row r="25" spans="2:13" ht="21" customHeight="1" x14ac:dyDescent="0.25">
      <c r="B25" s="169">
        <v>19</v>
      </c>
      <c r="C25" s="161"/>
      <c r="D25" s="162"/>
      <c r="E25" s="161"/>
      <c r="F25" s="161"/>
      <c r="G25" s="161"/>
      <c r="H25" s="161"/>
      <c r="I25" s="161"/>
      <c r="J25" s="161"/>
      <c r="K25" s="161"/>
      <c r="L25" s="161"/>
      <c r="M25" s="165"/>
    </row>
    <row r="26" spans="2:13" ht="21" customHeight="1" x14ac:dyDescent="0.25">
      <c r="B26" s="169">
        <v>20</v>
      </c>
      <c r="C26" s="161"/>
      <c r="D26" s="162"/>
      <c r="E26" s="161"/>
      <c r="F26" s="161"/>
      <c r="G26" s="161"/>
      <c r="H26" s="161"/>
      <c r="I26" s="161"/>
      <c r="J26" s="161"/>
      <c r="K26" s="161"/>
      <c r="L26" s="161"/>
      <c r="M26" s="165"/>
    </row>
    <row r="27" spans="2:13" ht="21" customHeight="1" x14ac:dyDescent="0.25">
      <c r="B27" s="169">
        <v>21</v>
      </c>
      <c r="C27" s="163"/>
      <c r="D27" s="164"/>
      <c r="E27" s="161"/>
      <c r="F27" s="161"/>
      <c r="G27" s="161"/>
      <c r="H27" s="161"/>
      <c r="I27" s="161"/>
      <c r="J27" s="161"/>
      <c r="K27" s="161"/>
      <c r="L27" s="161"/>
      <c r="M27" s="165"/>
    </row>
    <row r="28" spans="2:13" ht="21" customHeight="1" x14ac:dyDescent="0.25">
      <c r="B28" s="169">
        <v>22</v>
      </c>
      <c r="C28" s="161"/>
      <c r="D28" s="162"/>
      <c r="E28" s="161"/>
      <c r="F28" s="161"/>
      <c r="G28" s="161"/>
      <c r="H28" s="161"/>
      <c r="I28" s="161"/>
      <c r="J28" s="161"/>
      <c r="K28" s="161"/>
      <c r="L28" s="161"/>
      <c r="M28" s="165"/>
    </row>
    <row r="29" spans="2:13" ht="21" customHeight="1" x14ac:dyDescent="0.25">
      <c r="B29" s="169">
        <v>23</v>
      </c>
      <c r="C29" s="161"/>
      <c r="D29" s="162"/>
      <c r="E29" s="161"/>
      <c r="F29" s="161"/>
      <c r="G29" s="161"/>
      <c r="H29" s="161"/>
      <c r="I29" s="161"/>
      <c r="J29" s="161"/>
      <c r="K29" s="161"/>
      <c r="L29" s="161"/>
      <c r="M29" s="165"/>
    </row>
    <row r="30" spans="2:13" ht="21" customHeight="1" x14ac:dyDescent="0.25">
      <c r="B30" s="169">
        <v>24</v>
      </c>
      <c r="C30" s="161"/>
      <c r="D30" s="162"/>
      <c r="E30" s="161"/>
      <c r="F30" s="161"/>
      <c r="G30" s="161"/>
      <c r="H30" s="161"/>
      <c r="I30" s="161"/>
      <c r="J30" s="161"/>
      <c r="K30" s="161"/>
      <c r="L30" s="161"/>
      <c r="M30" s="165"/>
    </row>
    <row r="31" spans="2:13" ht="21" customHeight="1" x14ac:dyDescent="0.25">
      <c r="B31" s="169">
        <v>25</v>
      </c>
      <c r="C31" s="161"/>
      <c r="D31" s="162"/>
      <c r="E31" s="161"/>
      <c r="F31" s="161"/>
      <c r="G31" s="161"/>
      <c r="H31" s="161"/>
      <c r="I31" s="161"/>
      <c r="J31" s="161"/>
      <c r="K31" s="161"/>
      <c r="L31" s="161"/>
      <c r="M31" s="165"/>
    </row>
    <row r="32" spans="2:13" ht="21" customHeight="1" x14ac:dyDescent="0.25">
      <c r="B32" s="169">
        <v>26</v>
      </c>
      <c r="C32" s="161"/>
      <c r="D32" s="162"/>
      <c r="E32" s="161"/>
      <c r="F32" s="161"/>
      <c r="G32" s="161"/>
      <c r="H32" s="161"/>
      <c r="I32" s="161"/>
      <c r="J32" s="161"/>
      <c r="K32" s="161"/>
      <c r="L32" s="161"/>
      <c r="M32" s="165"/>
    </row>
    <row r="33" spans="2:43" ht="21" customHeight="1" x14ac:dyDescent="0.25">
      <c r="B33" s="169">
        <v>27</v>
      </c>
      <c r="C33" s="161"/>
      <c r="D33" s="162"/>
      <c r="E33" s="161"/>
      <c r="F33" s="161"/>
      <c r="G33" s="161"/>
      <c r="H33" s="161"/>
      <c r="I33" s="161"/>
      <c r="J33" s="161"/>
      <c r="K33" s="161"/>
      <c r="L33" s="161"/>
      <c r="M33" s="165"/>
    </row>
    <row r="34" spans="2:43" ht="21" customHeight="1" x14ac:dyDescent="0.25">
      <c r="B34" s="169">
        <v>28</v>
      </c>
      <c r="C34" s="161"/>
      <c r="D34" s="162"/>
      <c r="E34" s="161"/>
      <c r="F34" s="161"/>
      <c r="G34" s="161"/>
      <c r="H34" s="161"/>
      <c r="I34" s="161"/>
      <c r="J34" s="161"/>
      <c r="K34" s="161"/>
      <c r="L34" s="161"/>
      <c r="M34" s="165"/>
    </row>
    <row r="35" spans="2:43" ht="21" customHeight="1" x14ac:dyDescent="0.25">
      <c r="B35" s="169">
        <v>29</v>
      </c>
      <c r="C35" s="163"/>
      <c r="D35" s="164"/>
      <c r="E35" s="161"/>
      <c r="F35" s="161"/>
      <c r="G35" s="161"/>
      <c r="H35" s="161"/>
      <c r="I35" s="161"/>
      <c r="J35" s="161"/>
      <c r="K35" s="161"/>
      <c r="L35" s="161"/>
      <c r="M35" s="165"/>
    </row>
    <row r="36" spans="2:43" ht="21" customHeight="1" thickBot="1" x14ac:dyDescent="0.3">
      <c r="B36" s="170">
        <v>30</v>
      </c>
      <c r="C36" s="166"/>
      <c r="D36" s="167"/>
      <c r="E36" s="166"/>
      <c r="F36" s="166"/>
      <c r="G36" s="166"/>
      <c r="H36" s="166"/>
      <c r="I36" s="166"/>
      <c r="J36" s="166"/>
      <c r="K36" s="166"/>
      <c r="L36" s="166"/>
      <c r="M36" s="168"/>
    </row>
    <row r="37" spans="2:43" s="32" customFormat="1" ht="15" customHeight="1" x14ac:dyDescent="0.25">
      <c r="AD37"/>
      <c r="AE37"/>
      <c r="AF37"/>
      <c r="AG37"/>
      <c r="AH37"/>
      <c r="AI37"/>
      <c r="AJ37"/>
      <c r="AK37"/>
      <c r="AL37"/>
      <c r="AM37"/>
      <c r="AN37"/>
      <c r="AO37"/>
      <c r="AP37"/>
      <c r="AQ37"/>
    </row>
    <row r="38" spans="2:43" s="32" customFormat="1" ht="15" customHeight="1" x14ac:dyDescent="0.25">
      <c r="AD38"/>
      <c r="AE38"/>
      <c r="AF38"/>
      <c r="AG38"/>
      <c r="AH38"/>
      <c r="AI38"/>
      <c r="AJ38"/>
      <c r="AK38"/>
      <c r="AL38"/>
      <c r="AM38"/>
      <c r="AN38"/>
      <c r="AO38"/>
      <c r="AP38"/>
      <c r="AQ38"/>
    </row>
    <row r="39" spans="2:43" s="32" customFormat="1" ht="15" customHeight="1" x14ac:dyDescent="0.25">
      <c r="AD39"/>
      <c r="AE39"/>
      <c r="AF39"/>
      <c r="AG39"/>
      <c r="AH39"/>
      <c r="AI39"/>
      <c r="AJ39"/>
      <c r="AK39"/>
      <c r="AL39"/>
      <c r="AM39"/>
      <c r="AN39"/>
      <c r="AO39"/>
      <c r="AP39"/>
      <c r="AQ39"/>
    </row>
    <row r="40" spans="2:43" s="32" customFormat="1" ht="15" customHeight="1" x14ac:dyDescent="0.25">
      <c r="AD40"/>
      <c r="AE40"/>
      <c r="AF40"/>
      <c r="AG40"/>
      <c r="AH40"/>
      <c r="AI40"/>
      <c r="AJ40"/>
      <c r="AK40"/>
      <c r="AL40"/>
      <c r="AM40"/>
      <c r="AN40"/>
      <c r="AO40"/>
      <c r="AP40"/>
      <c r="AQ40"/>
    </row>
    <row r="41" spans="2:43" s="32" customFormat="1" ht="15" customHeight="1" x14ac:dyDescent="0.25">
      <c r="AD41"/>
      <c r="AE41"/>
      <c r="AF41"/>
      <c r="AG41"/>
      <c r="AH41"/>
      <c r="AI41"/>
      <c r="AJ41"/>
      <c r="AK41"/>
      <c r="AL41"/>
      <c r="AM41"/>
      <c r="AN41"/>
      <c r="AO41"/>
      <c r="AP41"/>
      <c r="AQ41"/>
    </row>
    <row r="42" spans="2:43" s="32" customFormat="1" ht="15" customHeight="1" x14ac:dyDescent="0.25">
      <c r="AD42"/>
      <c r="AE42"/>
      <c r="AF42"/>
      <c r="AG42"/>
      <c r="AH42"/>
      <c r="AI42"/>
      <c r="AJ42"/>
      <c r="AK42"/>
      <c r="AL42"/>
      <c r="AM42"/>
      <c r="AN42"/>
      <c r="AO42"/>
      <c r="AP42"/>
      <c r="AQ42"/>
    </row>
    <row r="43" spans="2:43" s="32" customFormat="1" ht="15" customHeight="1" x14ac:dyDescent="0.25">
      <c r="AD43"/>
      <c r="AE43"/>
      <c r="AF43"/>
      <c r="AG43"/>
      <c r="AH43"/>
      <c r="AI43"/>
      <c r="AJ43"/>
      <c r="AK43"/>
      <c r="AL43"/>
      <c r="AM43"/>
      <c r="AN43"/>
      <c r="AO43"/>
      <c r="AP43"/>
      <c r="AQ43"/>
    </row>
    <row r="44" spans="2:43" s="32" customFormat="1" ht="15" customHeight="1" x14ac:dyDescent="0.25"/>
    <row r="45" spans="2:43" s="32" customFormat="1" ht="15" customHeight="1" x14ac:dyDescent="0.25"/>
    <row r="46" spans="2:43" s="32" customFormat="1" ht="15" customHeight="1" x14ac:dyDescent="0.25"/>
    <row r="47" spans="2:43" s="32" customFormat="1" ht="15" customHeight="1" x14ac:dyDescent="0.25"/>
    <row r="48" spans="2:43" s="32" customFormat="1" ht="15" customHeight="1" x14ac:dyDescent="0.25"/>
  </sheetData>
  <sheetProtection password="CAB5" sheet="1" objects="1" scenarios="1"/>
  <customSheetViews>
    <customSheetView guid="{3EA4A73F-A388-49D1-AD67-268667AF56E2}" showRuler="0">
      <selection activeCell="C5" sqref="C5"/>
      <rowBreaks count="1" manualBreakCount="1">
        <brk id="36" max="16383" man="1"/>
      </rowBreaks>
      <colBreaks count="1" manualBreakCount="1">
        <brk id="13" max="1048575" man="1"/>
      </colBreaks>
      <pageMargins left="0.48" right="0.46" top="0.56999999999999995" bottom="0.66" header="0.5" footer="0.5"/>
      <pageSetup paperSize="9" scale="72" orientation="landscape" horizontalDpi="4294967293" verticalDpi="4294967293" r:id="rId1"/>
      <headerFooter alignWithMargins="0"/>
    </customSheetView>
  </customSheetViews>
  <mergeCells count="1">
    <mergeCell ref="B2:M2"/>
  </mergeCells>
  <phoneticPr fontId="0" type="noConversion"/>
  <conditionalFormatting sqref="B7:B42">
    <cfRule type="cellIs" dxfId="1" priority="1" stopIfTrue="1" operator="equal">
      <formula>FALSE</formula>
    </cfRule>
  </conditionalFormatting>
  <dataValidations xWindow="629" yWindow="262" count="8">
    <dataValidation allowBlank="1" showInputMessage="1" showErrorMessage="1" prompt="The address of the person whose food you have weighed can be entered here if required._x000a__x000a_" sqref="D7"/>
    <dataValidation type="list" allowBlank="1" showInputMessage="1" showErrorMessage="1" prompt="Enter the family size (as given on their ration card) for the person collecting the food" sqref="E7">
      <formula1>"1,2,3,4,5,6,7,8,9,10,11,12,13,14,15,16,17,18,19,20,21,22,23,24,25,26,27,28,29,30,31,32,33,34,35,36,37,38,39,40"</formula1>
    </dataValidation>
    <dataValidation allowBlank="1" showInputMessage="1" showErrorMessage="1" prompt="Enter the weight of commodity received in this column. " sqref="G7:L7"/>
    <dataValidation allowBlank="1" showInputMessage="1" showErrorMessage="1" prompt="Enter the number of grams of commodity received in this column. " sqref="F7"/>
    <dataValidation type="list" allowBlank="1" showErrorMessage="1" prompt="Enter the family size (as given on their ration card) for the person collecting the food" sqref="E8:E36">
      <formula1>"1,2,3,4,5,6,7,8,9,10,11,12,13,14,15,16,17,18,19,20,21,22,23,24,25,26,27,28,29,30,31,32,33,34,35,36,37,38,39,40"</formula1>
    </dataValidation>
    <dataValidation type="list" allowBlank="1" showDropDown="1" showErrorMessage="1" error="Enter M for male or F for Female" prompt="Enter M for male or F for female." sqref="C8:C36">
      <formula1>"M,F,m,f"</formula1>
    </dataValidation>
    <dataValidation type="whole" allowBlank="1" showErrorMessage="1" error="Enter whole numbers only " prompt="Enter the sample number for each subject in this column.  Do not enter a sample number if you are not entering data in that row!" sqref="B8:B36">
      <formula1>1</formula1>
      <formula2>100000</formula2>
    </dataValidation>
    <dataValidation type="list" allowBlank="1" showDropDown="1" showInputMessage="1" showErrorMessage="1" errorTitle="NutVal 2004" error="Enter M for male or F for Female" prompt="Enter M for male or F for female." sqref="C7">
      <formula1>"M,F,m,f"</formula1>
    </dataValidation>
  </dataValidations>
  <pageMargins left="0.48" right="0.46" top="0.56999999999999995" bottom="0.66" header="0.5" footer="0.5"/>
  <pageSetup paperSize="9" scale="72" orientation="landscape" horizontalDpi="4294967293" verticalDpi="4294967293" r:id="rId2"/>
  <headerFooter alignWithMargins="0"/>
  <rowBreaks count="1" manualBreakCount="1">
    <brk id="36" max="16383" man="1"/>
  </rowBreaks>
  <colBreaks count="1" manualBreakCount="1">
    <brk id="13"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35845" r:id="rId5" name="Button 5">
              <controlPr defaultSize="0" print="0" autoFill="0" autoPict="0" macro="[0]!Return_FBM_Sheet">
                <anchor moveWithCells="1" sizeWithCells="1">
                  <from>
                    <xdr:col>1</xdr:col>
                    <xdr:colOff>0</xdr:colOff>
                    <xdr:row>0</xdr:row>
                    <xdr:rowOff>152400</xdr:rowOff>
                  </from>
                  <to>
                    <xdr:col>4</xdr:col>
                    <xdr:colOff>47625</xdr:colOff>
                    <xdr:row>0</xdr:row>
                    <xdr:rowOff>571500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fitToPage="1"/>
  </sheetPr>
  <dimension ref="B1:L44"/>
  <sheetViews>
    <sheetView showGridLines="0" showRowColHeaders="0" workbookViewId="0">
      <selection activeCell="B5" sqref="B5:J5"/>
    </sheetView>
  </sheetViews>
  <sheetFormatPr defaultRowHeight="15" x14ac:dyDescent="0.2"/>
  <cols>
    <col min="1" max="1" width="12.109375" style="22" customWidth="1"/>
    <col min="2" max="2" width="15.33203125" style="22" customWidth="1"/>
    <col min="3" max="3" width="6.88671875" style="22" customWidth="1"/>
    <col min="4" max="4" width="8.109375" style="22" customWidth="1"/>
    <col min="5" max="5" width="10.21875" style="22" customWidth="1"/>
    <col min="6" max="6" width="7.77734375" style="22" customWidth="1"/>
    <col min="7" max="7" width="8.88671875" style="22"/>
    <col min="8" max="8" width="7.5546875" style="22" customWidth="1"/>
    <col min="9" max="10" width="7.77734375" style="22" customWidth="1"/>
    <col min="11" max="11" width="0.77734375" style="22" customWidth="1"/>
    <col min="12" max="16384" width="8.88671875" style="22"/>
  </cols>
  <sheetData>
    <row r="1" spans="2:12" ht="9" customHeight="1" x14ac:dyDescent="0.2"/>
    <row r="2" spans="2:12" ht="25.5" customHeight="1" x14ac:dyDescent="0.3">
      <c r="B2" s="1156" t="s">
        <v>105</v>
      </c>
      <c r="C2" s="1156"/>
      <c r="D2" s="1156"/>
      <c r="E2" s="1156"/>
      <c r="F2" s="1156"/>
      <c r="G2" s="1156"/>
      <c r="H2" s="1156"/>
      <c r="I2" s="1156"/>
      <c r="J2" s="1156"/>
      <c r="K2" s="64"/>
      <c r="L2" s="66"/>
    </row>
    <row r="3" spans="2:12" ht="20.25" customHeight="1" x14ac:dyDescent="0.25">
      <c r="C3" s="67"/>
      <c r="D3" s="67"/>
      <c r="E3" s="1170" t="s">
        <v>189</v>
      </c>
      <c r="F3" s="1170"/>
      <c r="G3" s="67"/>
      <c r="H3" s="67"/>
      <c r="I3" s="1137"/>
      <c r="J3" s="1137"/>
      <c r="K3" s="67"/>
      <c r="L3" s="67"/>
    </row>
    <row r="4" spans="2:12" ht="15.75" x14ac:dyDescent="0.25">
      <c r="B4" s="67"/>
      <c r="C4" s="67"/>
      <c r="D4" s="67"/>
      <c r="E4" s="67"/>
      <c r="F4" s="67"/>
      <c r="G4" s="67"/>
      <c r="H4" s="67"/>
      <c r="I4" s="67"/>
      <c r="J4" s="67"/>
      <c r="K4" s="67"/>
      <c r="L4" s="67"/>
    </row>
    <row r="5" spans="2:12" ht="19.5" customHeight="1" x14ac:dyDescent="0.25">
      <c r="B5" s="1157" t="s">
        <v>196</v>
      </c>
      <c r="C5" s="1158"/>
      <c r="D5" s="1158"/>
      <c r="E5" s="1158"/>
      <c r="F5" s="1158"/>
      <c r="G5" s="1158"/>
      <c r="H5" s="1158"/>
      <c r="I5" s="1158"/>
      <c r="J5" s="1159"/>
      <c r="K5" s="32"/>
      <c r="L5" s="32"/>
    </row>
    <row r="6" spans="2:12" ht="15.75" x14ac:dyDescent="0.25">
      <c r="B6" s="191" t="s">
        <v>126</v>
      </c>
      <c r="C6" s="1168" t="str">
        <f>'Food Basket Monitoring '!F12</f>
        <v>Area Name</v>
      </c>
      <c r="D6" s="1168"/>
      <c r="E6" s="1168"/>
      <c r="F6" s="187" t="s">
        <v>127</v>
      </c>
      <c r="G6" s="186"/>
      <c r="H6" s="1168" t="str">
        <f>'Food Basket Monitoring '!F14</f>
        <v>Site 1</v>
      </c>
      <c r="I6" s="1168"/>
      <c r="J6" s="1169"/>
      <c r="K6" s="32"/>
      <c r="L6" s="32"/>
    </row>
    <row r="7" spans="2:12" ht="15.75" x14ac:dyDescent="0.25">
      <c r="B7" s="193"/>
      <c r="C7" s="72"/>
      <c r="D7" s="188"/>
      <c r="E7" s="188"/>
      <c r="F7" s="189"/>
      <c r="G7" s="189"/>
      <c r="H7" s="190"/>
      <c r="I7" s="190"/>
      <c r="J7" s="194"/>
      <c r="K7" s="32"/>
      <c r="L7" s="32"/>
    </row>
    <row r="8" spans="2:12" ht="15.75" x14ac:dyDescent="0.25">
      <c r="B8" s="191" t="s">
        <v>128</v>
      </c>
      <c r="C8" s="1168" t="str">
        <f>'Food Basket Monitoring '!F16</f>
        <v>01/10/2014</v>
      </c>
      <c r="D8" s="1168"/>
      <c r="E8" s="1168"/>
      <c r="F8" s="187" t="s">
        <v>129</v>
      </c>
      <c r="G8" s="186"/>
      <c r="H8" s="76" t="str">
        <f>'Food Basket Monitoring '!F18</f>
        <v>09:00</v>
      </c>
      <c r="I8" s="187" t="s">
        <v>211</v>
      </c>
      <c r="J8" s="192" t="str">
        <f>'Food Basket Monitoring '!F20</f>
        <v>12:30</v>
      </c>
      <c r="K8" s="32"/>
      <c r="L8" s="32"/>
    </row>
    <row r="9" spans="2:12" ht="20.25" customHeight="1" x14ac:dyDescent="0.25">
      <c r="B9" s="195"/>
      <c r="C9" s="196"/>
      <c r="D9" s="197"/>
      <c r="E9" s="197"/>
      <c r="F9" s="198"/>
      <c r="G9" s="198"/>
      <c r="H9" s="199"/>
      <c r="I9" s="199"/>
      <c r="J9" s="200"/>
      <c r="K9" s="32"/>
      <c r="L9" s="32"/>
    </row>
    <row r="10" spans="2:12" ht="6.75" customHeight="1" x14ac:dyDescent="0.25">
      <c r="B10" s="67"/>
      <c r="C10" s="67"/>
      <c r="D10" s="67"/>
      <c r="E10" s="67"/>
      <c r="F10" s="67"/>
      <c r="G10" s="67"/>
      <c r="H10" s="67"/>
      <c r="I10" s="67"/>
      <c r="J10" s="77"/>
      <c r="K10" s="67"/>
      <c r="L10" s="67"/>
    </row>
    <row r="11" spans="2:12" ht="10.5" customHeight="1" x14ac:dyDescent="0.2">
      <c r="G11" s="9"/>
      <c r="H11" s="9"/>
      <c r="I11" s="9"/>
      <c r="J11" s="9"/>
    </row>
    <row r="12" spans="2:12" ht="16.5" customHeight="1" x14ac:dyDescent="0.25">
      <c r="B12" s="1162" t="s">
        <v>144</v>
      </c>
      <c r="C12" s="1163"/>
      <c r="D12" s="1163"/>
      <c r="E12" s="1163"/>
      <c r="F12" s="1163"/>
      <c r="G12" s="1163"/>
      <c r="H12" s="1163"/>
      <c r="I12" s="1163"/>
      <c r="J12" s="1164"/>
      <c r="K12" s="32"/>
    </row>
    <row r="13" spans="2:12" ht="15.75" x14ac:dyDescent="0.25">
      <c r="B13" s="201" t="s">
        <v>139</v>
      </c>
      <c r="C13" s="8"/>
      <c r="D13" s="8"/>
      <c r="E13" s="79">
        <f>'Food Basket Monitoring '!AU12</f>
        <v>1</v>
      </c>
      <c r="F13" s="73" t="s">
        <v>161</v>
      </c>
      <c r="G13" s="12"/>
      <c r="H13" s="12"/>
      <c r="I13" s="12"/>
      <c r="J13" s="202">
        <f>'Food Basket Monitoring '!AU17</f>
        <v>1</v>
      </c>
      <c r="K13" s="32"/>
      <c r="L13" s="209"/>
    </row>
    <row r="14" spans="2:12" ht="15.75" x14ac:dyDescent="0.25">
      <c r="B14" s="201" t="s">
        <v>147</v>
      </c>
      <c r="C14" s="8"/>
      <c r="D14" s="8"/>
      <c r="E14" s="80">
        <f>'Food Basket Monitoring '!AG19</f>
        <v>2070.25</v>
      </c>
      <c r="F14" s="73" t="s">
        <v>164</v>
      </c>
      <c r="G14" s="12"/>
      <c r="H14" s="12"/>
      <c r="I14" s="12"/>
      <c r="J14" s="203">
        <f>'Food Basket Monitoring '!AU18</f>
        <v>1</v>
      </c>
      <c r="K14" s="32"/>
    </row>
    <row r="15" spans="2:12" ht="15.75" x14ac:dyDescent="0.25">
      <c r="B15" s="201" t="s">
        <v>148</v>
      </c>
      <c r="C15" s="8"/>
      <c r="D15" s="8"/>
      <c r="E15" s="80">
        <f>'Food Basket Monitoring '!AU15</f>
        <v>1717.3214285714287</v>
      </c>
      <c r="F15" s="73" t="s">
        <v>162</v>
      </c>
      <c r="G15" s="12"/>
      <c r="H15" s="12"/>
      <c r="I15" s="12"/>
      <c r="J15" s="202">
        <f>'Food Basket Monitoring '!AU19</f>
        <v>0</v>
      </c>
      <c r="K15" s="32"/>
    </row>
    <row r="16" spans="2:12" ht="15.75" x14ac:dyDescent="0.25">
      <c r="B16" s="204" t="s">
        <v>163</v>
      </c>
      <c r="C16" s="205"/>
      <c r="D16" s="205"/>
      <c r="E16" s="206">
        <f>E15/E14</f>
        <v>0.82952369451584529</v>
      </c>
      <c r="F16" s="207" t="s">
        <v>165</v>
      </c>
      <c r="G16" s="196"/>
      <c r="H16" s="196"/>
      <c r="I16" s="196"/>
      <c r="J16" s="208">
        <f>'Food Basket Monitoring '!AU20</f>
        <v>0</v>
      </c>
      <c r="K16" s="32"/>
    </row>
    <row r="17" spans="2:11" ht="7.5" customHeight="1" x14ac:dyDescent="0.2"/>
    <row r="18" spans="2:11" ht="6.75" customHeight="1" x14ac:dyDescent="0.2">
      <c r="B18" s="9"/>
      <c r="C18" s="9"/>
      <c r="D18" s="9"/>
      <c r="E18" s="9"/>
      <c r="F18" s="9"/>
      <c r="G18" s="9"/>
      <c r="H18" s="9"/>
      <c r="I18" s="9"/>
      <c r="J18" s="9"/>
    </row>
    <row r="19" spans="2:11" ht="19.5" customHeight="1" x14ac:dyDescent="0.25">
      <c r="B19" s="1162" t="s">
        <v>166</v>
      </c>
      <c r="C19" s="1163"/>
      <c r="D19" s="1163"/>
      <c r="E19" s="1163"/>
      <c r="F19" s="1163"/>
      <c r="G19" s="1163"/>
      <c r="H19" s="1163"/>
      <c r="I19" s="1163"/>
      <c r="J19" s="1164"/>
      <c r="K19" s="32"/>
    </row>
    <row r="20" spans="2:11" ht="15.75" x14ac:dyDescent="0.25">
      <c r="B20" s="1165" t="s">
        <v>143</v>
      </c>
      <c r="C20" s="1166"/>
      <c r="D20" s="1166"/>
      <c r="E20" s="1166" t="s">
        <v>208</v>
      </c>
      <c r="F20" s="1166"/>
      <c r="G20" s="1166"/>
      <c r="H20" s="1166"/>
      <c r="I20" s="1166"/>
      <c r="J20" s="1167"/>
      <c r="K20" s="32"/>
    </row>
    <row r="21" spans="2:11" ht="15.75" customHeight="1" x14ac:dyDescent="0.25">
      <c r="B21" s="218"/>
      <c r="C21" s="219"/>
      <c r="D21" s="219"/>
      <c r="E21" s="220" t="s">
        <v>149</v>
      </c>
      <c r="F21" s="220" t="s">
        <v>150</v>
      </c>
      <c r="G21" s="220" t="s">
        <v>140</v>
      </c>
      <c r="H21" s="220" t="s">
        <v>142</v>
      </c>
      <c r="I21" s="1160" t="s">
        <v>151</v>
      </c>
      <c r="J21" s="1161"/>
      <c r="K21" s="32"/>
    </row>
    <row r="22" spans="2:11" ht="15.75" x14ac:dyDescent="0.25">
      <c r="B22" s="221" t="s">
        <v>134</v>
      </c>
      <c r="C22" s="222" t="s">
        <v>135</v>
      </c>
      <c r="D22" s="223" t="s">
        <v>137</v>
      </c>
      <c r="E22" s="223" t="s">
        <v>135</v>
      </c>
      <c r="F22" s="223" t="s">
        <v>135</v>
      </c>
      <c r="G22" s="223" t="s">
        <v>135</v>
      </c>
      <c r="H22" s="223" t="s">
        <v>141</v>
      </c>
      <c r="I22" s="223" t="s">
        <v>145</v>
      </c>
      <c r="J22" s="224" t="s">
        <v>146</v>
      </c>
      <c r="K22" s="32"/>
    </row>
    <row r="23" spans="2:11" ht="15.75" x14ac:dyDescent="0.25">
      <c r="B23" s="201" t="str">
        <f>'Food Basket Monitoring '!R12</f>
        <v>Maize</v>
      </c>
      <c r="C23" s="10">
        <f>'Food Basket Monitoring '!W12</f>
        <v>400</v>
      </c>
      <c r="D23" s="74">
        <f>'Food Basket Monitoring '!AG12</f>
        <v>1400</v>
      </c>
      <c r="E23" s="18">
        <f t="array" ref="E23:J29">'Food Basket Monitoring '!BD11:BI17</f>
        <v>375</v>
      </c>
      <c r="F23" s="18">
        <v>375</v>
      </c>
      <c r="G23" s="18">
        <v>375</v>
      </c>
      <c r="H23" s="17">
        <v>0.9375</v>
      </c>
      <c r="I23" s="18">
        <v>0</v>
      </c>
      <c r="J23" s="210">
        <v>0</v>
      </c>
      <c r="K23" s="32"/>
    </row>
    <row r="24" spans="2:11" ht="15.75" x14ac:dyDescent="0.25">
      <c r="B24" s="201" t="str">
        <f>'Food Basket Monitoring '!R13</f>
        <v>Beans</v>
      </c>
      <c r="C24" s="10">
        <f>'Food Basket Monitoring '!W13</f>
        <v>60</v>
      </c>
      <c r="D24" s="75">
        <f>'Food Basket Monitoring '!AG13</f>
        <v>201</v>
      </c>
      <c r="E24" s="18">
        <v>1.7857142857142858</v>
      </c>
      <c r="F24" s="18">
        <v>1.7857142857142858</v>
      </c>
      <c r="G24" s="18">
        <v>1.7857142857142858</v>
      </c>
      <c r="H24" s="17">
        <v>2.9761904761904764E-2</v>
      </c>
      <c r="I24" s="18">
        <v>1</v>
      </c>
      <c r="J24" s="210">
        <v>0</v>
      </c>
      <c r="K24" s="32"/>
    </row>
    <row r="25" spans="2:11" ht="15.75" x14ac:dyDescent="0.25">
      <c r="B25" s="201" t="str">
        <f>'Food Basket Monitoring '!R14</f>
        <v>Oil</v>
      </c>
      <c r="C25" s="21">
        <f>'Food Basket Monitoring '!W14</f>
        <v>25</v>
      </c>
      <c r="D25" s="75">
        <f>'Food Basket Monitoring '!AG14</f>
        <v>221.25</v>
      </c>
      <c r="E25" s="18">
        <v>19.642857142857142</v>
      </c>
      <c r="F25" s="18">
        <v>19.642857142857142</v>
      </c>
      <c r="G25" s="18">
        <v>19.642857142857142</v>
      </c>
      <c r="H25" s="17">
        <v>0.7857142857142857</v>
      </c>
      <c r="I25" s="18">
        <v>1</v>
      </c>
      <c r="J25" s="210">
        <v>0</v>
      </c>
      <c r="K25" s="32"/>
    </row>
    <row r="26" spans="2:11" ht="15.75" x14ac:dyDescent="0.25">
      <c r="B26" s="201" t="str">
        <f>'Food Basket Monitoring '!R15</f>
        <v>CSB</v>
      </c>
      <c r="C26" s="10">
        <f>'Food Basket Monitoring '!W15</f>
        <v>50</v>
      </c>
      <c r="D26" s="75">
        <f>'Food Basket Monitoring '!AG15</f>
        <v>188</v>
      </c>
      <c r="E26" s="18">
        <v>44.642857142857146</v>
      </c>
      <c r="F26" s="18">
        <v>44.642857142857146</v>
      </c>
      <c r="G26" s="18">
        <v>44.642857142857146</v>
      </c>
      <c r="H26" s="17">
        <v>0.8928571428571429</v>
      </c>
      <c r="I26" s="18">
        <v>1</v>
      </c>
      <c r="J26" s="210">
        <v>0</v>
      </c>
      <c r="K26" s="32"/>
    </row>
    <row r="27" spans="2:11" ht="15.75" x14ac:dyDescent="0.25">
      <c r="B27" s="201" t="str">
        <f>'Food Basket Monitoring '!R16</f>
        <v>Sugar</v>
      </c>
      <c r="C27" s="10">
        <f>'Food Basket Monitoring '!W16</f>
        <v>15</v>
      </c>
      <c r="D27" s="75">
        <f>'Food Basket Monitoring '!AG16</f>
        <v>60</v>
      </c>
      <c r="E27" s="18">
        <v>14.285714285714286</v>
      </c>
      <c r="F27" s="18">
        <v>14.285714285714286</v>
      </c>
      <c r="G27" s="18">
        <v>14.285714285714286</v>
      </c>
      <c r="H27" s="17">
        <v>0.95238095238095244</v>
      </c>
      <c r="I27" s="18">
        <v>0</v>
      </c>
      <c r="J27" s="210">
        <v>0</v>
      </c>
      <c r="K27" s="32"/>
    </row>
    <row r="28" spans="2:11" ht="15.75" x14ac:dyDescent="0.25">
      <c r="B28" s="201" t="str">
        <f>'Food Basket Monitoring '!R17</f>
        <v>Salt</v>
      </c>
      <c r="C28" s="10">
        <f>'Food Basket Monitoring '!W17</f>
        <v>5</v>
      </c>
      <c r="D28" s="75">
        <f>'Food Basket Monitoring '!AG17</f>
        <v>0</v>
      </c>
      <c r="E28" s="18">
        <v>5.8928571428571432</v>
      </c>
      <c r="F28" s="18">
        <v>5.8928571428571432</v>
      </c>
      <c r="G28" s="18">
        <v>5.8928571428571432</v>
      </c>
      <c r="H28" s="17">
        <v>1.1785714285714286</v>
      </c>
      <c r="I28" s="18">
        <v>0</v>
      </c>
      <c r="J28" s="210">
        <v>1</v>
      </c>
      <c r="K28" s="32"/>
    </row>
    <row r="29" spans="2:11" ht="15.75" x14ac:dyDescent="0.25">
      <c r="B29" s="201">
        <f>'Food Basket Monitoring '!R18</f>
        <v>0</v>
      </c>
      <c r="C29" s="10">
        <f>'Food Basket Monitoring '!W18</f>
        <v>0</v>
      </c>
      <c r="D29" s="75">
        <f>'Food Basket Monitoring '!AG18</f>
        <v>0</v>
      </c>
      <c r="E29" s="18">
        <v>0</v>
      </c>
      <c r="F29" s="18">
        <v>0</v>
      </c>
      <c r="G29" s="18">
        <v>0</v>
      </c>
      <c r="H29" s="17" t="e">
        <v>#DIV/0!</v>
      </c>
      <c r="I29" s="18">
        <v>0</v>
      </c>
      <c r="J29" s="210">
        <v>0</v>
      </c>
      <c r="K29" s="32"/>
    </row>
    <row r="30" spans="2:11" ht="15.75" x14ac:dyDescent="0.25">
      <c r="B30" s="211" t="s">
        <v>136</v>
      </c>
      <c r="C30" s="212">
        <f>SUM(C23:C29)</f>
        <v>555</v>
      </c>
      <c r="D30" s="213">
        <f>SUM(D23:D29)</f>
        <v>2070.25</v>
      </c>
      <c r="E30" s="214"/>
      <c r="F30" s="215"/>
      <c r="G30" s="216"/>
      <c r="H30" s="215"/>
      <c r="I30" s="214"/>
      <c r="J30" s="217"/>
      <c r="K30" s="32"/>
    </row>
    <row r="31" spans="2:11" ht="9" customHeight="1" x14ac:dyDescent="0.2">
      <c r="B31" s="28"/>
      <c r="C31" s="29"/>
      <c r="D31" s="68"/>
      <c r="E31" s="69"/>
      <c r="F31" s="70"/>
      <c r="G31" s="71"/>
      <c r="H31" s="70"/>
      <c r="I31" s="69"/>
      <c r="J31" s="69"/>
    </row>
    <row r="32" spans="2:11" ht="6.75" customHeight="1" x14ac:dyDescent="0.2">
      <c r="B32" s="28"/>
      <c r="C32" s="29"/>
      <c r="D32" s="68"/>
      <c r="E32" s="69"/>
      <c r="F32" s="70"/>
      <c r="G32" s="71"/>
      <c r="H32" s="70"/>
      <c r="I32" s="69"/>
      <c r="J32" s="69"/>
    </row>
    <row r="33" spans="2:12" ht="15.75" x14ac:dyDescent="0.25">
      <c r="B33" s="1162" t="s">
        <v>190</v>
      </c>
      <c r="C33" s="1163"/>
      <c r="D33" s="1163"/>
      <c r="E33" s="1163"/>
      <c r="F33" s="1163"/>
      <c r="G33" s="1163"/>
      <c r="H33" s="1163"/>
      <c r="I33" s="1163"/>
      <c r="J33" s="1164"/>
      <c r="K33" s="32"/>
      <c r="L33" s="32"/>
    </row>
    <row r="34" spans="2:12" ht="16.5" customHeight="1" x14ac:dyDescent="0.25">
      <c r="B34" s="1165" t="s">
        <v>209</v>
      </c>
      <c r="C34" s="1166"/>
      <c r="D34" s="1166"/>
      <c r="E34" s="1166"/>
      <c r="F34" s="1166"/>
      <c r="G34" s="1166"/>
      <c r="H34" s="1166"/>
      <c r="I34" s="1166"/>
      <c r="J34" s="1167"/>
      <c r="K34" s="32"/>
      <c r="L34" s="32"/>
    </row>
    <row r="35" spans="2:12" ht="16.5" customHeight="1" x14ac:dyDescent="0.25">
      <c r="B35" s="1171" t="s">
        <v>210</v>
      </c>
      <c r="C35" s="220" t="s">
        <v>149</v>
      </c>
      <c r="D35" s="220" t="s">
        <v>150</v>
      </c>
      <c r="E35" s="220" t="s">
        <v>140</v>
      </c>
      <c r="F35" s="220" t="s">
        <v>142</v>
      </c>
      <c r="G35" s="1173" t="s">
        <v>204</v>
      </c>
      <c r="H35" s="1173"/>
      <c r="I35" s="1173" t="s">
        <v>207</v>
      </c>
      <c r="J35" s="1174"/>
      <c r="K35" s="32"/>
      <c r="L35" s="32"/>
    </row>
    <row r="36" spans="2:12" ht="12" customHeight="1" x14ac:dyDescent="0.25">
      <c r="B36" s="1172"/>
      <c r="C36" s="225" t="s">
        <v>117</v>
      </c>
      <c r="D36" s="225" t="s">
        <v>117</v>
      </c>
      <c r="E36" s="225" t="s">
        <v>117</v>
      </c>
      <c r="F36" s="225" t="s">
        <v>141</v>
      </c>
      <c r="G36" s="225" t="s">
        <v>206</v>
      </c>
      <c r="H36" s="225" t="s">
        <v>205</v>
      </c>
      <c r="I36" s="226" t="s">
        <v>206</v>
      </c>
      <c r="J36" s="227" t="s">
        <v>205</v>
      </c>
      <c r="K36" s="32"/>
      <c r="L36" s="32"/>
    </row>
    <row r="37" spans="2:12" ht="5.25" customHeight="1" x14ac:dyDescent="0.25">
      <c r="B37" s="228"/>
      <c r="C37" s="70"/>
      <c r="D37" s="70"/>
      <c r="E37" s="70"/>
      <c r="F37" s="70"/>
      <c r="G37" s="70"/>
      <c r="H37" s="70"/>
      <c r="I37" s="29"/>
      <c r="J37" s="229"/>
      <c r="K37" s="32"/>
      <c r="L37" s="32"/>
    </row>
    <row r="38" spans="2:12" ht="15.75" customHeight="1" x14ac:dyDescent="0.25">
      <c r="B38" s="230" t="s">
        <v>191</v>
      </c>
      <c r="C38" s="18">
        <f>'Food Basket Monitoring '!AV13</f>
        <v>0</v>
      </c>
      <c r="D38" s="18">
        <f>'Food Basket Monitoring '!AV14</f>
        <v>0</v>
      </c>
      <c r="E38" s="18" t="e">
        <f>'Food Basket Monitoring '!AV15</f>
        <v>#DIV/0!</v>
      </c>
      <c r="F38" s="17" t="e">
        <f>E38/$D$30</f>
        <v>#DIV/0!</v>
      </c>
      <c r="G38" s="18">
        <f>'Food Basket Monitoring '!AV17</f>
        <v>0</v>
      </c>
      <c r="H38" s="17" t="e">
        <f>'Food Basket Monitoring '!AV18</f>
        <v>#DIV/0!</v>
      </c>
      <c r="I38" s="18">
        <f>'Food Basket Monitoring '!AV19</f>
        <v>0</v>
      </c>
      <c r="J38" s="231" t="e">
        <f>'Food Basket Monitoring '!AV20</f>
        <v>#DIV/0!</v>
      </c>
      <c r="K38" s="32"/>
      <c r="L38" s="32"/>
    </row>
    <row r="39" spans="2:12" ht="15.75" x14ac:dyDescent="0.25">
      <c r="B39" s="201" t="s">
        <v>192</v>
      </c>
      <c r="C39" s="18">
        <f>'Food Basket Monitoring '!AW13</f>
        <v>0</v>
      </c>
      <c r="D39" s="18">
        <f>'Food Basket Monitoring '!AW14</f>
        <v>0</v>
      </c>
      <c r="E39" s="18" t="e">
        <f>'Food Basket Monitoring '!AW15</f>
        <v>#DIV/0!</v>
      </c>
      <c r="F39" s="17" t="e">
        <f>E39/$D$30</f>
        <v>#DIV/0!</v>
      </c>
      <c r="G39" s="18">
        <f>'Food Basket Monitoring '!AW17</f>
        <v>0</v>
      </c>
      <c r="H39" s="17" t="e">
        <f>'Food Basket Monitoring '!AW18</f>
        <v>#DIV/0!</v>
      </c>
      <c r="I39" s="18">
        <f>'Food Basket Monitoring '!AW19</f>
        <v>0</v>
      </c>
      <c r="J39" s="231" t="e">
        <f>'Food Basket Monitoring '!AW20</f>
        <v>#DIV/0!</v>
      </c>
      <c r="K39" s="32"/>
      <c r="L39" s="32"/>
    </row>
    <row r="40" spans="2:12" ht="8.25" customHeight="1" x14ac:dyDescent="0.25">
      <c r="B40" s="201"/>
      <c r="C40" s="18"/>
      <c r="D40" s="18"/>
      <c r="E40" s="18"/>
      <c r="F40" s="17"/>
      <c r="G40" s="18"/>
      <c r="H40" s="18"/>
      <c r="I40" s="72"/>
      <c r="J40" s="232"/>
      <c r="K40" s="32"/>
      <c r="L40" s="32"/>
    </row>
    <row r="41" spans="2:12" ht="15.75" x14ac:dyDescent="0.25">
      <c r="B41" s="201" t="s">
        <v>193</v>
      </c>
      <c r="C41" s="18"/>
      <c r="D41" s="72"/>
      <c r="E41" s="18">
        <f>'Food Basket Monitoring '!AV12</f>
        <v>0</v>
      </c>
      <c r="F41" s="18"/>
      <c r="G41" s="18"/>
      <c r="H41" s="18"/>
      <c r="I41" s="72"/>
      <c r="J41" s="232"/>
      <c r="K41" s="32"/>
      <c r="L41" s="32"/>
    </row>
    <row r="42" spans="2:12" ht="15.75" x14ac:dyDescent="0.25">
      <c r="B42" s="201" t="s">
        <v>194</v>
      </c>
      <c r="C42" s="10"/>
      <c r="D42" s="72"/>
      <c r="E42" s="18">
        <f>'Food Basket Monitoring '!AW12</f>
        <v>0</v>
      </c>
      <c r="F42" s="18"/>
      <c r="G42" s="18"/>
      <c r="H42" s="17"/>
      <c r="I42" s="18"/>
      <c r="J42" s="210"/>
      <c r="K42" s="32"/>
      <c r="L42" s="32"/>
    </row>
    <row r="43" spans="2:12" ht="15.75" x14ac:dyDescent="0.25">
      <c r="B43" s="201" t="s">
        <v>195</v>
      </c>
      <c r="C43" s="10"/>
      <c r="D43" s="72"/>
      <c r="E43" s="17" t="e">
        <f>E42/(E42+E41)</f>
        <v>#DIV/0!</v>
      </c>
      <c r="F43" s="18"/>
      <c r="G43" s="18"/>
      <c r="H43" s="17"/>
      <c r="I43" s="18"/>
      <c r="J43" s="210"/>
      <c r="K43" s="32"/>
      <c r="L43" s="32"/>
    </row>
    <row r="44" spans="2:12" ht="18.75" customHeight="1" x14ac:dyDescent="0.25">
      <c r="B44" s="211"/>
      <c r="C44" s="212"/>
      <c r="D44" s="233"/>
      <c r="E44" s="214"/>
      <c r="F44" s="215"/>
      <c r="G44" s="216"/>
      <c r="H44" s="215"/>
      <c r="I44" s="214"/>
      <c r="J44" s="217"/>
      <c r="K44" s="32"/>
      <c r="L44" s="32"/>
    </row>
  </sheetData>
  <sheetProtection password="CAB5" sheet="1" objects="1" scenarios="1"/>
  <customSheetViews>
    <customSheetView guid="{662328B1-0775-4F70-9698-998A355FC5BA}" showRowCol="0" showRuler="0">
      <selection activeCell="B21" sqref="B21:E21"/>
      <pageMargins left="0.75" right="0.75" top="1" bottom="1" header="0.5" footer="0.5"/>
      <pageSetup paperSize="9" orientation="portrait" horizontalDpi="4294967293" verticalDpi="4294967293" r:id="rId1"/>
      <headerFooter alignWithMargins="0"/>
    </customSheetView>
    <customSheetView guid="{0765DE49-5067-4ED5-85D4-D9739E06A59B}" showRowCol="0" showRuler="0">
      <selection activeCell="B21" sqref="B21:E21"/>
      <pageMargins left="0.75" right="0.75" top="1" bottom="1" header="0.5" footer="0.5"/>
      <headerFooter alignWithMargins="0"/>
    </customSheetView>
    <customSheetView guid="{05B716BD-D5FA-43A1-BE8D-50F5C9430082}" showRowCol="0" showRuler="0">
      <selection activeCell="B28" sqref="B28:E28"/>
      <pageMargins left="0.75" right="0.75" top="1" bottom="1" header="0.5" footer="0.5"/>
      <headerFooter alignWithMargins="0"/>
    </customSheetView>
    <customSheetView guid="{D9DE8450-BFB9-43C9-99CE-F387EC95D082}" showRowCol="0" showRuler="0">
      <selection activeCell="B28" sqref="B28:E28"/>
      <pageMargins left="0.75" right="0.75" top="1" bottom="1" header="0.5" footer="0.5"/>
      <headerFooter alignWithMargins="0"/>
    </customSheetView>
    <customSheetView guid="{5C3D267B-61EB-4FFE-BD22-532277CBABA0}" showRowCol="0" showRuler="0">
      <selection activeCell="B28" sqref="B28:E28"/>
      <pageMargins left="0.75" right="0.75" top="1" bottom="1" header="0.5" footer="0.5"/>
      <headerFooter alignWithMargins="0"/>
    </customSheetView>
    <customSheetView guid="{BA4F6A8B-B7E1-468F-AE8D-B0079A2D20E5}" showRowCol="0" showRuler="0">
      <selection activeCell="B28" sqref="B28:E28"/>
      <pageMargins left="0.75" right="0.75" top="1" bottom="1" header="0.5" footer="0.5"/>
      <headerFooter alignWithMargins="0"/>
    </customSheetView>
    <customSheetView guid="{93429E49-92B0-4925-8D04-D425145938FD}" showRowCol="0" showRuler="0">
      <selection activeCell="B28" sqref="B28:E28"/>
      <pageMargins left="0.75" right="0.75" top="1" bottom="1" header="0.5" footer="0.5"/>
      <headerFooter alignWithMargins="0"/>
    </customSheetView>
    <customSheetView guid="{E422BA57-AFCC-4512-A22E-E75FB5198808}" showRowCol="0" showRuler="0">
      <selection activeCell="B28" sqref="B28:E28"/>
      <pageMargins left="0.75" right="0.75" top="1" bottom="1" header="0.5" footer="0.5"/>
      <headerFooter alignWithMargins="0"/>
    </customSheetView>
    <customSheetView guid="{818A4ACB-56B8-4736-9E14-BA18A36B5B2F}" showRowCol="0" showRuler="0">
      <selection activeCell="B28" sqref="B28:E28"/>
      <pageMargins left="0.75" right="0.75" top="1" bottom="1" header="0.5" footer="0.5"/>
      <headerFooter alignWithMargins="0"/>
    </customSheetView>
    <customSheetView guid="{3EA4A73F-A388-49D1-AD67-268667AF56E2}" showGridLines="0" showRowCol="0" fitToPage="1" showRuler="0">
      <selection activeCell="A4" sqref="A4"/>
      <colBreaks count="3" manualBreakCount="3">
        <brk id="1" max="1048575" man="1"/>
        <brk id="11" max="1048575" man="1"/>
        <brk id="23" max="43" man="1"/>
      </colBreaks>
      <pageMargins left="0.75" right="0.75" top="1" bottom="1" header="0.5" footer="0.5"/>
      <pageSetup paperSize="9" scale="27" orientation="portrait" horizontalDpi="4294967293" verticalDpi="4294967293" r:id="rId2"/>
      <headerFooter alignWithMargins="0"/>
    </customSheetView>
  </customSheetViews>
  <mergeCells count="17">
    <mergeCell ref="B34:J34"/>
    <mergeCell ref="B35:B36"/>
    <mergeCell ref="I35:J35"/>
    <mergeCell ref="B12:J12"/>
    <mergeCell ref="B33:J33"/>
    <mergeCell ref="G35:H35"/>
    <mergeCell ref="B2:J2"/>
    <mergeCell ref="B5:J5"/>
    <mergeCell ref="I21:J21"/>
    <mergeCell ref="B19:J19"/>
    <mergeCell ref="B20:D20"/>
    <mergeCell ref="E20:J20"/>
    <mergeCell ref="C6:E6"/>
    <mergeCell ref="C8:E8"/>
    <mergeCell ref="H6:J6"/>
    <mergeCell ref="I3:J3"/>
    <mergeCell ref="E3:F3"/>
  </mergeCells>
  <phoneticPr fontId="0" type="noConversion"/>
  <conditionalFormatting sqref="B23:B29">
    <cfRule type="cellIs" dxfId="0" priority="1" stopIfTrue="1" operator="equal">
      <formula>0</formula>
    </cfRule>
  </conditionalFormatting>
  <pageMargins left="0.75" right="0.75" top="1" bottom="1" header="0.5" footer="0.5"/>
  <pageSetup paperSize="9" scale="27" orientation="portrait" horizontalDpi="4294967293" verticalDpi="4294967293" r:id="rId3"/>
  <headerFooter alignWithMargins="0"/>
  <colBreaks count="2" manualBreakCount="2">
    <brk id="1" max="1048575" man="1"/>
    <brk id="11" max="1048575" man="1"/>
  </colBreaks>
  <drawing r:id="rId4"/>
  <legacyDrawing r:id="rId5"/>
  <mc:AlternateContent xmlns:mc="http://schemas.openxmlformats.org/markup-compatibility/2006">
    <mc:Choice Requires="x14">
      <controls>
        <mc:AlternateContent xmlns:mc="http://schemas.openxmlformats.org/markup-compatibility/2006">
          <mc:Choice Requires="x14">
            <control shapeId="8228" r:id="rId6" name="Button 36">
              <controlPr defaultSize="0" print="0" autoFill="0" autoPict="0" macro="[0]!Return_FBM_Sheet">
                <anchor moveWithCells="1" sizeWithCells="1">
                  <from>
                    <xdr:col>8</xdr:col>
                    <xdr:colOff>190500</xdr:colOff>
                    <xdr:row>2</xdr:row>
                    <xdr:rowOff>9525</xdr:rowOff>
                  </from>
                  <to>
                    <xdr:col>9</xdr:col>
                    <xdr:colOff>657225</xdr:colOff>
                    <xdr:row>3</xdr:row>
                    <xdr:rowOff>85725</xdr:rowOff>
                  </to>
                </anchor>
              </controlPr>
            </control>
          </mc:Choice>
        </mc:AlternateContent>
        <mc:AlternateContent xmlns:mc="http://schemas.openxmlformats.org/markup-compatibility/2006">
          <mc:Choice Requires="x14">
            <control shapeId="8229" r:id="rId7" name="Button 37">
              <controlPr defaultSize="0" print="0" autoFill="0" autoPict="0" macro="[0]!OSDM_Results_Save">
                <anchor moveWithCells="1" sizeWithCells="1">
                  <from>
                    <xdr:col>1</xdr:col>
                    <xdr:colOff>0</xdr:colOff>
                    <xdr:row>2</xdr:row>
                    <xdr:rowOff>28575</xdr:rowOff>
                  </from>
                  <to>
                    <xdr:col>1</xdr:col>
                    <xdr:colOff>1133475</xdr:colOff>
                    <xdr:row>3</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Home</vt:lpstr>
      <vt:lpstr>Help on Whats New</vt:lpstr>
      <vt:lpstr>Help on Screen view</vt:lpstr>
      <vt:lpstr>Help on Macros</vt:lpstr>
      <vt:lpstr>Help on Calculation</vt:lpstr>
      <vt:lpstr>Help on Database</vt:lpstr>
      <vt:lpstr>Help on OSDM</vt:lpstr>
      <vt:lpstr>Help on tracking</vt:lpstr>
      <vt:lpstr>Help on Logistics</vt:lpstr>
      <vt:lpstr>Acknowledgments</vt:lpstr>
      <vt:lpstr>Abbreviations</vt:lpstr>
      <vt:lpstr>Database</vt:lpstr>
      <vt:lpstr>Calculation Sheet</vt:lpstr>
      <vt:lpstr>SavedData</vt:lpstr>
      <vt:lpstr>LogisticsCalculator</vt:lpstr>
      <vt:lpstr>PivotTable1</vt:lpstr>
      <vt:lpstr>PivotChart1</vt:lpstr>
      <vt:lpstr>PivotChart2</vt:lpstr>
      <vt:lpstr>PivotChart3</vt:lpstr>
      <vt:lpstr>PivotChart4</vt:lpstr>
      <vt:lpstr>Macronutrient Pie Chart</vt:lpstr>
      <vt:lpstr>Vitamin Bar Chart</vt:lpstr>
      <vt:lpstr>Vitamin Radar Chart</vt:lpstr>
      <vt:lpstr>Mineral Bar Chart</vt:lpstr>
      <vt:lpstr>Mineral Radar Chart</vt:lpstr>
      <vt:lpstr>Food Basket Monitoring </vt:lpstr>
      <vt:lpstr>FBM Data Collection Sheet</vt:lpstr>
      <vt:lpstr>FBM Results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NutVal</dc:title>
  <dc:creator>AJS</dc:creator>
  <cp:lastModifiedBy>Yentl-PC</cp:lastModifiedBy>
  <cp:lastPrinted>2006-09-13T14:50:11Z</cp:lastPrinted>
  <dcterms:created xsi:type="dcterms:W3CDTF">2000-02-24T15:30:24Z</dcterms:created>
  <dcterms:modified xsi:type="dcterms:W3CDTF">2017-03-01T10:42:15Z</dcterms:modified>
</cp:coreProperties>
</file>